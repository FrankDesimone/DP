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Reports\"/>
    </mc:Choice>
  </mc:AlternateContent>
  <xr:revisionPtr revIDLastSave="0" documentId="13_ncr:1_{BDD6CE16-CD44-4BD4-8946-418FB7DFB84C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Cleaning" sheetId="3" r:id="rId1"/>
    <sheet name="QAProcess" sheetId="5" r:id="rId2"/>
    <sheet name="OutData" sheetId="4" r:id="rId3"/>
  </sheets>
  <externalReferences>
    <externalReference r:id="rId4"/>
  </externalReferences>
  <definedNames>
    <definedName name="MaxHertz" localSheetId="1">QAProcess!$F$6</definedName>
    <definedName name="MaxSpaceVelocity" localSheetId="1">QAProcess!$F$5</definedName>
    <definedName name="NoteQAProcess">QAProcess!$I$4</definedName>
    <definedName name="P0a" localSheetId="1">QAProcess!$I$11</definedName>
    <definedName name="P0AirTemp" localSheetId="1">QAProcess!$D$11</definedName>
    <definedName name="P0b" localSheetId="1">QAProcess!$I$12</definedName>
    <definedName name="P0BackPress" localSheetId="1">QAProcess!$D$13</definedName>
    <definedName name="P0BaroPress" localSheetId="1">QAProcess!$D$12</definedName>
    <definedName name="P0c" localSheetId="2">[1]QAProcess!$H$32</definedName>
    <definedName name="P0c" localSheetId="1">QAProcess!$I$13</definedName>
    <definedName name="P0c">[1]QAProcess!$H$36</definedName>
    <definedName name="P0PSI" localSheetId="1">QAProcess!$D$16:$D$26</definedName>
    <definedName name="P0SV" localSheetId="1">QAProcess!$G$16:$G$26</definedName>
    <definedName name="P1a" localSheetId="1">QAProcess!$I$28</definedName>
    <definedName name="P1AirTemp" localSheetId="1">QAProcess!$D$28</definedName>
    <definedName name="P1b" localSheetId="1">QAProcess!$I$29</definedName>
    <definedName name="P1BackPress" localSheetId="1">QAProcess!$D$30</definedName>
    <definedName name="P1BaroPress" localSheetId="1">QAProcess!$D$29</definedName>
    <definedName name="P1c" localSheetId="1">QAProcess!$I$30</definedName>
    <definedName name="P1PSI" localSheetId="1">QAProcess!$D$33:$D$43</definedName>
    <definedName name="P1SV" localSheetId="1">QAProcess!$G$33:$G$43</definedName>
    <definedName name="P2a" localSheetId="1">QAProcess!$I$45</definedName>
    <definedName name="P2AirTemp" localSheetId="1">QAProcess!$D$45</definedName>
    <definedName name="P2b" localSheetId="1">QAProcess!$I$46</definedName>
    <definedName name="P2BackPress" localSheetId="1">QAProcess!$D$47</definedName>
    <definedName name="P2BaroPress" localSheetId="1">QAProcess!$D$46</definedName>
    <definedName name="P2c" localSheetId="1">QAProcess!$I$47</definedName>
    <definedName name="P2PSI">QAProcess!$D$50:$D$60</definedName>
    <definedName name="P2SV" localSheetId="1">QAProcess!$G$50:$G$60</definedName>
    <definedName name="SubDiameter" localSheetId="1">QAProcess!$C$5</definedName>
    <definedName name="SubDiameter">#REF!</definedName>
    <definedName name="SubLength" localSheetId="1">QAProcess!$C$6</definedName>
    <definedName name="SubLength">#REF!</definedName>
    <definedName name="Volume" localSheetId="1">QAProcess!$C$7</definedName>
    <definedName name="Volume">#REF!</definedName>
    <definedName name="WorkorderIDQAProcess">QAProcess!$C$3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7" i="5" l="1"/>
  <c r="I46" i="5"/>
  <c r="I45" i="5"/>
  <c r="I30" i="5"/>
  <c r="I29" i="5"/>
  <c r="I28" i="5"/>
  <c r="I13" i="5"/>
  <c r="I12" i="5"/>
  <c r="C6" i="5" l="1"/>
  <c r="C5" i="5"/>
  <c r="D60" i="5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F7" i="5" l="1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H53" i="5"/>
  <c r="H54" i="5"/>
  <c r="B6" i="3"/>
  <c r="B4" i="3"/>
  <c r="B60" i="5" l="1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</calcChain>
</file>

<file path=xl/sharedStrings.xml><?xml version="1.0" encoding="utf-8"?>
<sst xmlns="http://schemas.openxmlformats.org/spreadsheetml/2006/main" count="300" uniqueCount="156">
  <si>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</si>
  <si>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</si>
  <si>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</si>
  <si>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</si>
  <si>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</si>
  <si>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</si>
  <si>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</si>
  <si>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</si>
  <si>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</si>
  <si>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</si>
  <si>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</si>
  <si>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</si>
  <si>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</si>
  <si>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</si>
  <si>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</si>
  <si>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</si>
  <si>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</si>
  <si>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</si>
  <si>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</si>
  <si>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</si>
  <si>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</si>
  <si>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</si>
  <si>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</si>
  <si>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</si>
  <si>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</si>
  <si>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</si>
  <si>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</si>
  <si>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</si>
  <si>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</si>
  <si>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</si>
  <si>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</si>
  <si>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</si>
  <si>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</si>
  <si>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</si>
  <si>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</si>
  <si>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</si>
  <si>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</si>
  <si>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</si>
  <si>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</si>
  <si>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</si>
  <si>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</si>
  <si>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</si>
  <si>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</si>
  <si>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</si>
  <si>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</si>
  <si>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</si>
  <si>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</si>
  <si>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</si>
  <si>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</si>
  <si>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</si>
  <si>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</si>
  <si>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</si>
  <si>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</si>
  <si>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</si>
  <si>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</si>
  <si>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</si>
  <si>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</si>
  <si>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</si>
  <si>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</si>
  <si>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</si>
  <si>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</si>
  <si>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</si>
  <si>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</si>
  <si>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</si>
  <si>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</si>
  <si>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</si>
  <si>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</si>
  <si>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PA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</si>
  <si>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</si>
  <si>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</si>
  <si>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</si>
  <si>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</si>
  <si>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</si>
  <si>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</si>
  <si>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</si>
  <si>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</si>
  <si>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</si>
  <si>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</si>
  <si>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</si>
  <si>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</si>
  <si>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</si>
  <si>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</si>
  <si>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</si>
  <si>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</si>
  <si>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</si>
  <si>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</si>
  <si>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</si>
  <si>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</si>
  <si>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</si>
  <si>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</si>
  <si>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</si>
  <si>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</si>
  <si>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</si>
  <si>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Detroit Diesel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</si>
  <si>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</si>
  <si>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</si>
  <si>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</si>
  <si>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</si>
  <si>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</si>
  <si>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</si>
  <si>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</si>
  <si>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</si>
  <si>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</si>
  <si>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</si>
  <si>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</si>
  <si>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</si>
  <si>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</si>
  <si>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</si>
  <si>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</si>
  <si>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</si>
  <si>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</si>
  <si>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</si>
  <si>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</si>
  <si>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</si>
  <si>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</si>
  <si>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</si>
  <si>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</si>
  <si>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</si>
  <si>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</si>
  <si>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</si>
  <si>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</si>
  <si>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</si>
  <si>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</si>
  <si>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</si>
  <si>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</si>
  <si>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</si>
  <si>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</si>
  <si>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</si>
  <si>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</si>
  <si>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</si>
  <si>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</si>
  <si>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</si>
  <si>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</si>
  <si>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</si>
  <si>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</si>
  <si>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</si>
  <si>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Van-65</t>
  </si>
  <si>
    <t>frank d</t>
  </si>
  <si>
    <t>tracking # a</t>
  </si>
  <si>
    <t>Vanderleleys Truck Sales and Service</t>
  </si>
  <si>
    <t>Van</t>
  </si>
  <si>
    <t>34 Durham Road</t>
  </si>
  <si>
    <t>Ottsville</t>
  </si>
  <si>
    <t>18942</t>
  </si>
  <si>
    <t>18777</t>
  </si>
  <si>
    <t>1.23456789123456E+16</t>
  </si>
  <si>
    <t>2305</t>
  </si>
  <si>
    <t>DD13</t>
  </si>
  <si>
    <t>On Road</t>
  </si>
  <si>
    <t>Cummins</t>
  </si>
  <si>
    <t>12345</t>
  </si>
  <si>
    <t>ISX15</t>
  </si>
  <si>
    <t>32132132</t>
  </si>
  <si>
    <t>Main Office</t>
  </si>
  <si>
    <t>1 main street</t>
  </si>
  <si>
    <t>Allantown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</si>
</sst>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2">
          <cell r="H32" t="str">
            <v>ACFM</v>
          </cell>
        </row>
        <row r="36">
          <cell r="H36">
            <v>784.99999999999989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68</v>
      </c>
      <c r="B2" t="s">
        <v>70</v>
      </c>
    </row>
    <row r="3" spans="1:2" x14ac:dyDescent="0.25">
      <c r="A3" t="s">
        <v>69</v>
      </c>
      <c r="B3">
        <f>OutData!A2</f>
        <v>0</v>
      </c>
    </row>
    <row r="4" spans="1:2" x14ac:dyDescent="0.25">
      <c r="A4" t="s">
        <v>72</v>
      </c>
      <c r="B4" s="1" t="str">
        <f>OutData!AY2</f>
        <v>34 Durham Road</v>
      </c>
    </row>
    <row r="6" spans="1:2" x14ac:dyDescent="0.25">
      <c r="A6" t="s">
        <v>73</v>
      </c>
      <c r="B6" s="1">
        <f>OutData!CG2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workbookViewId="0">
      <selection activeCell="D26" sqref="D2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3" t="s">
        <v>94</v>
      </c>
      <c r="C3" s="4"/>
    </row>
    <row r="4" spans="2:9" ht="18.75" x14ac:dyDescent="0.3">
      <c r="I4" s="5"/>
    </row>
    <row r="5" spans="2:9" x14ac:dyDescent="0.25">
      <c r="B5" s="6" t="s">
        <v>95</v>
      </c>
      <c r="C5" s="7">
        <f>OutData!CC2</f>
        <v>0</v>
      </c>
      <c r="D5" s="8"/>
      <c r="E5" s="8" t="s">
        <v>96</v>
      </c>
      <c r="F5" s="9">
        <v>110000</v>
      </c>
      <c r="G5" s="10" t="s">
        <v>97</v>
      </c>
      <c r="H5" s="11"/>
    </row>
    <row r="6" spans="2:9" x14ac:dyDescent="0.25">
      <c r="B6" s="12" t="s">
        <v>98</v>
      </c>
      <c r="C6" s="13">
        <f>OutData!CE2</f>
        <v>0</v>
      </c>
      <c r="D6" s="11"/>
      <c r="E6" s="11" t="s">
        <v>99</v>
      </c>
      <c r="F6" s="14">
        <v>60</v>
      </c>
      <c r="G6" s="15" t="s">
        <v>100</v>
      </c>
      <c r="H6" s="11"/>
    </row>
    <row r="7" spans="2:9" x14ac:dyDescent="0.25">
      <c r="B7" s="16" t="s">
        <v>101</v>
      </c>
      <c r="C7" s="13">
        <f>(3.14*(SubDiameter/2)^2)*(SubLength)*(1/12)^3</f>
        <v>0</v>
      </c>
      <c r="D7" s="17"/>
      <c r="E7" s="11" t="s">
        <v>102</v>
      </c>
      <c r="F7" s="14">
        <f>(Volume*MaxSpaceVelocity)*(1/60)*(61.7)/(2350*0.395)</f>
        <v>0</v>
      </c>
      <c r="G7" s="15" t="s">
        <v>100</v>
      </c>
      <c r="H7" s="11"/>
    </row>
    <row r="8" spans="2:9" x14ac:dyDescent="0.25">
      <c r="B8" s="18" t="s">
        <v>103</v>
      </c>
      <c r="C8" s="19">
        <f>Volume*28.317</f>
        <v>0</v>
      </c>
      <c r="D8" s="20"/>
      <c r="E8" s="21" t="s">
        <v>104</v>
      </c>
      <c r="F8" s="22">
        <f>IF(F7&gt;MaxHertz,"60",F7)</f>
        <v>0</v>
      </c>
      <c r="G8" s="23" t="s">
        <v>100</v>
      </c>
      <c r="H8" s="11"/>
    </row>
    <row r="9" spans="2:9" x14ac:dyDescent="0.25">
      <c r="H9" s="11"/>
    </row>
    <row r="11" spans="2:9" x14ac:dyDescent="0.25">
      <c r="B11" s="24" t="s">
        <v>105</v>
      </c>
      <c r="C11" s="8"/>
      <c r="D11" s="25">
        <f>OutData!C2</f>
        <v>0</v>
      </c>
      <c r="E11" s="8" t="s">
        <v>106</v>
      </c>
      <c r="F11" s="8"/>
      <c r="G11" s="26" t="s">
        <v>107</v>
      </c>
      <c r="H11" s="26" t="s">
        <v>108</v>
      </c>
      <c r="I11" s="27">
        <f>OutData!L2</f>
        <v>0</v>
      </c>
    </row>
    <row r="12" spans="2:9" x14ac:dyDescent="0.25">
      <c r="B12" s="28" t="s">
        <v>109</v>
      </c>
      <c r="C12" s="11"/>
      <c r="D12" s="25">
        <f>OutData!D2</f>
        <v>0</v>
      </c>
      <c r="E12" s="11" t="s">
        <v>110</v>
      </c>
      <c r="F12" s="11"/>
      <c r="G12" s="11"/>
      <c r="H12" s="29" t="s">
        <v>111</v>
      </c>
      <c r="I12" s="30">
        <f>OutData!M2</f>
        <v>0</v>
      </c>
    </row>
    <row r="13" spans="2:9" x14ac:dyDescent="0.25">
      <c r="B13" s="28" t="s">
        <v>112</v>
      </c>
      <c r="C13" s="11"/>
      <c r="D13" s="25">
        <f>OutData!E2</f>
        <v>0</v>
      </c>
      <c r="E13" s="11"/>
      <c r="F13" s="11"/>
      <c r="G13" s="11"/>
      <c r="H13" s="29" t="s">
        <v>113</v>
      </c>
      <c r="I13" s="30">
        <f>OutData!N2</f>
        <v>0</v>
      </c>
    </row>
    <row r="14" spans="2:9" x14ac:dyDescent="0.25">
      <c r="B14" s="31" t="s">
        <v>114</v>
      </c>
      <c r="C14" s="32" t="s">
        <v>115</v>
      </c>
      <c r="D14" s="32" t="s">
        <v>116</v>
      </c>
      <c r="E14" s="32" t="s">
        <v>117</v>
      </c>
      <c r="F14" s="11"/>
      <c r="G14" s="32" t="s">
        <v>118</v>
      </c>
      <c r="H14" s="32"/>
      <c r="I14" s="33"/>
    </row>
    <row r="15" spans="2:9" x14ac:dyDescent="0.25">
      <c r="B15" s="34" t="s">
        <v>119</v>
      </c>
      <c r="C15" s="35" t="s">
        <v>120</v>
      </c>
      <c r="D15" s="35" t="s">
        <v>121</v>
      </c>
      <c r="E15" s="35" t="s">
        <v>120</v>
      </c>
      <c r="F15" s="35" t="s">
        <v>122</v>
      </c>
      <c r="G15" s="32" t="s">
        <v>123</v>
      </c>
      <c r="H15" s="32" t="s">
        <v>120</v>
      </c>
      <c r="I15" s="33" t="s">
        <v>124</v>
      </c>
    </row>
    <row r="16" spans="2:9" x14ac:dyDescent="0.25">
      <c r="B16" s="36">
        <f>0.25*$F$8</f>
        <v>0</v>
      </c>
      <c r="C16" s="4">
        <f>(2350/61.7)*B16*0.395</f>
        <v>0</v>
      </c>
      <c r="D16" s="37">
        <f>OutData!O2</f>
        <v>0</v>
      </c>
      <c r="E16" s="4">
        <f t="shared" ref="E16:E26" si="0">C16-(34.4764881*D16-4.325744048*D16^2+0.369475446*D16^3-0.01733631*D16^4+0.000339472*D16^5)</f>
        <v>0</v>
      </c>
      <c r="F16" s="4" t="e">
        <f t="shared" ref="F16:F26" si="1">(E16*60)/Volume</f>
        <v>#DIV/0!</v>
      </c>
      <c r="G16" s="38">
        <v>20000</v>
      </c>
      <c r="H16" s="39">
        <f t="shared" ref="H16:H26" si="2">G16*Volume/60</f>
        <v>0</v>
      </c>
      <c r="I16" s="40">
        <f t="shared" ref="I16:I26" si="3">G16^2*P0a+G16*P0b+P0c</f>
        <v>0</v>
      </c>
    </row>
    <row r="17" spans="2:9" x14ac:dyDescent="0.25">
      <c r="B17" s="36">
        <f>0.4*$F$8</f>
        <v>0</v>
      </c>
      <c r="C17" s="4">
        <f t="shared" ref="C17:C26" si="4">(2350/61.7)*B17*0.395</f>
        <v>0</v>
      </c>
      <c r="D17" s="37">
        <f>OutData!P2</f>
        <v>0</v>
      </c>
      <c r="E17" s="4">
        <f t="shared" si="0"/>
        <v>0</v>
      </c>
      <c r="F17" s="4" t="e">
        <f t="shared" si="1"/>
        <v>#DIV/0!</v>
      </c>
      <c r="G17" s="38">
        <v>35000</v>
      </c>
      <c r="H17" s="39">
        <f t="shared" si="2"/>
        <v>0</v>
      </c>
      <c r="I17" s="40">
        <f t="shared" si="3"/>
        <v>0</v>
      </c>
    </row>
    <row r="18" spans="2:9" x14ac:dyDescent="0.25">
      <c r="B18" s="36">
        <f>0.5*$F$8</f>
        <v>0</v>
      </c>
      <c r="C18" s="4">
        <f t="shared" si="4"/>
        <v>0</v>
      </c>
      <c r="D18" s="37">
        <f>OutData!Q2</f>
        <v>0</v>
      </c>
      <c r="E18" s="4">
        <f t="shared" si="0"/>
        <v>0</v>
      </c>
      <c r="F18" s="4" t="e">
        <f t="shared" si="1"/>
        <v>#DIV/0!</v>
      </c>
      <c r="G18" s="38">
        <v>50000</v>
      </c>
      <c r="H18" s="39">
        <f t="shared" si="2"/>
        <v>0</v>
      </c>
      <c r="I18" s="40">
        <f t="shared" si="3"/>
        <v>0</v>
      </c>
    </row>
    <row r="19" spans="2:9" x14ac:dyDescent="0.25">
      <c r="B19" s="36">
        <f>0.6*$F$8</f>
        <v>0</v>
      </c>
      <c r="C19" s="4">
        <f t="shared" si="4"/>
        <v>0</v>
      </c>
      <c r="D19" s="37">
        <f>OutData!R2</f>
        <v>0</v>
      </c>
      <c r="E19" s="4">
        <f t="shared" si="0"/>
        <v>0</v>
      </c>
      <c r="F19" s="4" t="e">
        <f t="shared" si="1"/>
        <v>#DIV/0!</v>
      </c>
      <c r="G19" s="38">
        <v>60000</v>
      </c>
      <c r="H19" s="39">
        <f t="shared" si="2"/>
        <v>0</v>
      </c>
      <c r="I19" s="40">
        <f t="shared" si="3"/>
        <v>0</v>
      </c>
    </row>
    <row r="20" spans="2:9" x14ac:dyDescent="0.25">
      <c r="B20" s="36">
        <f>0.7*$F$8</f>
        <v>0</v>
      </c>
      <c r="C20" s="4">
        <f t="shared" si="4"/>
        <v>0</v>
      </c>
      <c r="D20" s="37">
        <f>OutData!S2</f>
        <v>0</v>
      </c>
      <c r="E20" s="4">
        <f t="shared" si="0"/>
        <v>0</v>
      </c>
      <c r="F20" s="4" t="e">
        <f t="shared" si="1"/>
        <v>#DIV/0!</v>
      </c>
      <c r="G20" s="38">
        <v>70000</v>
      </c>
      <c r="H20" s="39">
        <f t="shared" si="2"/>
        <v>0</v>
      </c>
      <c r="I20" s="40">
        <f t="shared" si="3"/>
        <v>0</v>
      </c>
    </row>
    <row r="21" spans="2:9" x14ac:dyDescent="0.25">
      <c r="B21" s="36">
        <f>0.75*$F$8</f>
        <v>0</v>
      </c>
      <c r="C21" s="4">
        <f t="shared" si="4"/>
        <v>0</v>
      </c>
      <c r="D21" s="37">
        <f>OutData!T2</f>
        <v>0</v>
      </c>
      <c r="E21" s="4">
        <f t="shared" si="0"/>
        <v>0</v>
      </c>
      <c r="F21" s="4" t="e">
        <f t="shared" si="1"/>
        <v>#DIV/0!</v>
      </c>
      <c r="G21" s="38">
        <v>75000</v>
      </c>
      <c r="H21" s="39">
        <f t="shared" si="2"/>
        <v>0</v>
      </c>
      <c r="I21" s="40">
        <f t="shared" si="3"/>
        <v>0</v>
      </c>
    </row>
    <row r="22" spans="2:9" x14ac:dyDescent="0.25">
      <c r="B22" s="36">
        <f>0.8*$F$8</f>
        <v>0</v>
      </c>
      <c r="C22" s="4">
        <f t="shared" si="4"/>
        <v>0</v>
      </c>
      <c r="D22" s="37">
        <f>OutData!U2</f>
        <v>0</v>
      </c>
      <c r="E22" s="4">
        <f t="shared" si="0"/>
        <v>0</v>
      </c>
      <c r="F22" s="4" t="e">
        <f t="shared" si="1"/>
        <v>#DIV/0!</v>
      </c>
      <c r="G22" s="38">
        <v>80000</v>
      </c>
      <c r="H22" s="39">
        <f t="shared" si="2"/>
        <v>0</v>
      </c>
      <c r="I22" s="40">
        <f t="shared" si="3"/>
        <v>0</v>
      </c>
    </row>
    <row r="23" spans="2:9" x14ac:dyDescent="0.25">
      <c r="B23" s="36">
        <f>0.85*$F$8</f>
        <v>0</v>
      </c>
      <c r="C23" s="4">
        <f t="shared" si="4"/>
        <v>0</v>
      </c>
      <c r="D23" s="37">
        <f>OutData!V2</f>
        <v>0</v>
      </c>
      <c r="E23" s="4">
        <f t="shared" si="0"/>
        <v>0</v>
      </c>
      <c r="F23" s="4" t="e">
        <f t="shared" si="1"/>
        <v>#DIV/0!</v>
      </c>
      <c r="G23" s="38">
        <v>85000</v>
      </c>
      <c r="H23" s="39">
        <f t="shared" si="2"/>
        <v>0</v>
      </c>
      <c r="I23" s="40">
        <f t="shared" si="3"/>
        <v>0</v>
      </c>
    </row>
    <row r="24" spans="2:9" x14ac:dyDescent="0.25">
      <c r="B24" s="36">
        <f>0.9*$F$8</f>
        <v>0</v>
      </c>
      <c r="C24" s="4">
        <f t="shared" si="4"/>
        <v>0</v>
      </c>
      <c r="D24" s="37">
        <f>OutData!W2</f>
        <v>0</v>
      </c>
      <c r="E24" s="4">
        <f t="shared" si="0"/>
        <v>0</v>
      </c>
      <c r="F24" s="4" t="e">
        <f t="shared" si="1"/>
        <v>#DIV/0!</v>
      </c>
      <c r="G24" s="38">
        <v>90000</v>
      </c>
      <c r="H24" s="39">
        <f t="shared" si="2"/>
        <v>0</v>
      </c>
      <c r="I24" s="40">
        <f t="shared" si="3"/>
        <v>0</v>
      </c>
    </row>
    <row r="25" spans="2:9" x14ac:dyDescent="0.25">
      <c r="B25" s="36">
        <f>0.95*$F$8</f>
        <v>0</v>
      </c>
      <c r="C25" s="4">
        <f t="shared" si="4"/>
        <v>0</v>
      </c>
      <c r="D25" s="37">
        <f>OutData!X2</f>
        <v>0</v>
      </c>
      <c r="E25" s="4">
        <f t="shared" si="0"/>
        <v>0</v>
      </c>
      <c r="F25" s="4" t="e">
        <f t="shared" si="1"/>
        <v>#DIV/0!</v>
      </c>
      <c r="G25" s="38">
        <v>95000</v>
      </c>
      <c r="H25" s="39">
        <f t="shared" si="2"/>
        <v>0</v>
      </c>
      <c r="I25" s="40">
        <f t="shared" si="3"/>
        <v>0</v>
      </c>
    </row>
    <row r="26" spans="2:9" x14ac:dyDescent="0.25">
      <c r="B26" s="41">
        <f>1*$F$8</f>
        <v>0</v>
      </c>
      <c r="C26" s="42">
        <f t="shared" si="4"/>
        <v>0</v>
      </c>
      <c r="D26" s="37">
        <f>OutData!Y2</f>
        <v>0</v>
      </c>
      <c r="E26" s="42">
        <f t="shared" si="0"/>
        <v>0</v>
      </c>
      <c r="F26" s="42" t="e">
        <f t="shared" si="1"/>
        <v>#DIV/0!</v>
      </c>
      <c r="G26" s="43">
        <v>100000</v>
      </c>
      <c r="H26" s="44">
        <f t="shared" si="2"/>
        <v>0</v>
      </c>
      <c r="I26" s="45">
        <f t="shared" si="3"/>
        <v>0</v>
      </c>
    </row>
    <row r="28" spans="2:9" x14ac:dyDescent="0.25">
      <c r="B28" s="24" t="s">
        <v>105</v>
      </c>
      <c r="C28" s="8"/>
      <c r="D28" s="25">
        <f>OutData!C3</f>
        <v>0</v>
      </c>
      <c r="E28" s="8" t="s">
        <v>106</v>
      </c>
      <c r="F28" s="8"/>
      <c r="G28" s="26" t="s">
        <v>107</v>
      </c>
      <c r="H28" s="26" t="s">
        <v>108</v>
      </c>
      <c r="I28" s="27">
        <f>OutData!L3</f>
        <v>0</v>
      </c>
    </row>
    <row r="29" spans="2:9" x14ac:dyDescent="0.25">
      <c r="B29" s="28" t="s">
        <v>109</v>
      </c>
      <c r="C29" s="11"/>
      <c r="D29" s="25">
        <f>OutData!D3</f>
        <v>0</v>
      </c>
      <c r="E29" s="11" t="s">
        <v>110</v>
      </c>
      <c r="F29" s="11"/>
      <c r="G29" s="11"/>
      <c r="H29" s="29" t="s">
        <v>111</v>
      </c>
      <c r="I29" s="27">
        <f>OutData!M3</f>
        <v>0</v>
      </c>
    </row>
    <row r="30" spans="2:9" x14ac:dyDescent="0.25">
      <c r="B30" s="28" t="s">
        <v>112</v>
      </c>
      <c r="C30" s="11"/>
      <c r="D30" s="25">
        <f>OutData!E3</f>
        <v>0</v>
      </c>
      <c r="E30" s="11"/>
      <c r="F30" s="11"/>
      <c r="G30" s="11"/>
      <c r="H30" s="29" t="s">
        <v>113</v>
      </c>
      <c r="I30" s="27">
        <f>OutData!N3</f>
        <v>0</v>
      </c>
    </row>
    <row r="31" spans="2:9" x14ac:dyDescent="0.25">
      <c r="B31" s="31" t="s">
        <v>114</v>
      </c>
      <c r="C31" s="32" t="s">
        <v>115</v>
      </c>
      <c r="D31" s="32" t="s">
        <v>116</v>
      </c>
      <c r="E31" s="32" t="s">
        <v>117</v>
      </c>
      <c r="F31" s="46"/>
      <c r="G31" s="32" t="s">
        <v>118</v>
      </c>
      <c r="H31" s="32"/>
      <c r="I31" s="33"/>
    </row>
    <row r="32" spans="2:9" x14ac:dyDescent="0.25">
      <c r="B32" s="47" t="s">
        <v>119</v>
      </c>
      <c r="C32" s="32" t="s">
        <v>120</v>
      </c>
      <c r="D32" s="32" t="s">
        <v>121</v>
      </c>
      <c r="E32" s="32" t="s">
        <v>120</v>
      </c>
      <c r="F32" s="32" t="s">
        <v>122</v>
      </c>
      <c r="G32" s="32" t="s">
        <v>123</v>
      </c>
      <c r="H32" s="32" t="s">
        <v>120</v>
      </c>
      <c r="I32" s="33" t="s">
        <v>124</v>
      </c>
    </row>
    <row r="33" spans="2:9" x14ac:dyDescent="0.25">
      <c r="B33" s="36">
        <f>0.25*$F$8</f>
        <v>0</v>
      </c>
      <c r="C33" s="4">
        <f>(2350/61.7)*B33*0.395</f>
        <v>0</v>
      </c>
      <c r="D33" s="37">
        <f>OutData!O3</f>
        <v>0</v>
      </c>
      <c r="E33" s="4">
        <f t="shared" ref="E33:E43" si="5">C33-(34.4764881*D33-4.325744048*D33^2+0.369475446*D33^3-0.01733631*D33^4+0.000339472*D33^5)</f>
        <v>0</v>
      </c>
      <c r="F33" s="4" t="e">
        <f t="shared" ref="F33:F43" si="6">(E33*60)/Volume</f>
        <v>#DIV/0!</v>
      </c>
      <c r="G33" s="38">
        <v>20000</v>
      </c>
      <c r="H33" s="39">
        <f t="shared" ref="H33:H43" si="7">G33*Volume/60</f>
        <v>0</v>
      </c>
      <c r="I33" s="40">
        <f t="shared" ref="I33:I43" si="8">G33^2*P1a+G33*P1b+P1c</f>
        <v>0</v>
      </c>
    </row>
    <row r="34" spans="2:9" x14ac:dyDescent="0.25">
      <c r="B34" s="36">
        <f>0.4*$F$8</f>
        <v>0</v>
      </c>
      <c r="C34" s="4">
        <f t="shared" ref="C34:C42" si="9">(2350/61.7)*B34*0.395</f>
        <v>0</v>
      </c>
      <c r="D34" s="37">
        <f>OutData!P3</f>
        <v>0</v>
      </c>
      <c r="E34" s="4">
        <f t="shared" si="5"/>
        <v>0</v>
      </c>
      <c r="F34" s="4" t="e">
        <f t="shared" si="6"/>
        <v>#DIV/0!</v>
      </c>
      <c r="G34" s="38">
        <v>35000</v>
      </c>
      <c r="H34" s="39">
        <f t="shared" si="7"/>
        <v>0</v>
      </c>
      <c r="I34" s="40">
        <f t="shared" si="8"/>
        <v>0</v>
      </c>
    </row>
    <row r="35" spans="2:9" x14ac:dyDescent="0.25">
      <c r="B35" s="36">
        <f>0.5*$F$8</f>
        <v>0</v>
      </c>
      <c r="C35" s="4">
        <f t="shared" si="9"/>
        <v>0</v>
      </c>
      <c r="D35" s="48">
        <f>OutData!Q3</f>
        <v>0</v>
      </c>
      <c r="E35" s="4">
        <f t="shared" si="5"/>
        <v>0</v>
      </c>
      <c r="F35" s="4" t="e">
        <f t="shared" si="6"/>
        <v>#DIV/0!</v>
      </c>
      <c r="G35" s="38">
        <v>50000</v>
      </c>
      <c r="H35" s="39">
        <f t="shared" si="7"/>
        <v>0</v>
      </c>
      <c r="I35" s="40">
        <f t="shared" si="8"/>
        <v>0</v>
      </c>
    </row>
    <row r="36" spans="2:9" x14ac:dyDescent="0.25">
      <c r="B36" s="36">
        <f>0.6*$F$8</f>
        <v>0</v>
      </c>
      <c r="C36" s="4">
        <f t="shared" si="9"/>
        <v>0</v>
      </c>
      <c r="D36" s="48">
        <f>OutData!R3</f>
        <v>0</v>
      </c>
      <c r="E36" s="4">
        <f t="shared" si="5"/>
        <v>0</v>
      </c>
      <c r="F36" s="4" t="e">
        <f t="shared" si="6"/>
        <v>#DIV/0!</v>
      </c>
      <c r="G36" s="38">
        <v>60000</v>
      </c>
      <c r="H36" s="39">
        <f t="shared" si="7"/>
        <v>0</v>
      </c>
      <c r="I36" s="40">
        <f t="shared" si="8"/>
        <v>0</v>
      </c>
    </row>
    <row r="37" spans="2:9" x14ac:dyDescent="0.25">
      <c r="B37" s="36">
        <f>0.7*$F$8</f>
        <v>0</v>
      </c>
      <c r="C37" s="4">
        <f t="shared" si="9"/>
        <v>0</v>
      </c>
      <c r="D37" s="48">
        <f>OutData!S3</f>
        <v>0</v>
      </c>
      <c r="E37" s="4">
        <f t="shared" si="5"/>
        <v>0</v>
      </c>
      <c r="F37" s="4" t="e">
        <f t="shared" si="6"/>
        <v>#DIV/0!</v>
      </c>
      <c r="G37" s="38">
        <v>70000</v>
      </c>
      <c r="H37" s="39">
        <f t="shared" si="7"/>
        <v>0</v>
      </c>
      <c r="I37" s="40">
        <f t="shared" si="8"/>
        <v>0</v>
      </c>
    </row>
    <row r="38" spans="2:9" x14ac:dyDescent="0.25">
      <c r="B38" s="36">
        <f>0.75*$F$8</f>
        <v>0</v>
      </c>
      <c r="C38" s="4">
        <f t="shared" si="9"/>
        <v>0</v>
      </c>
      <c r="D38" s="48">
        <f>OutData!T3</f>
        <v>0</v>
      </c>
      <c r="E38" s="4">
        <f t="shared" si="5"/>
        <v>0</v>
      </c>
      <c r="F38" s="4" t="e">
        <f t="shared" si="6"/>
        <v>#DIV/0!</v>
      </c>
      <c r="G38" s="38">
        <v>75000</v>
      </c>
      <c r="H38" s="39">
        <f t="shared" si="7"/>
        <v>0</v>
      </c>
      <c r="I38" s="40">
        <f t="shared" si="8"/>
        <v>0</v>
      </c>
    </row>
    <row r="39" spans="2:9" x14ac:dyDescent="0.25">
      <c r="B39" s="36">
        <f>0.8*$F$8</f>
        <v>0</v>
      </c>
      <c r="C39" s="4">
        <f t="shared" si="9"/>
        <v>0</v>
      </c>
      <c r="D39" s="48">
        <f>OutData!U3</f>
        <v>0</v>
      </c>
      <c r="E39" s="4">
        <f t="shared" si="5"/>
        <v>0</v>
      </c>
      <c r="F39" s="4" t="e">
        <f t="shared" si="6"/>
        <v>#DIV/0!</v>
      </c>
      <c r="G39" s="38">
        <v>80000</v>
      </c>
      <c r="H39" s="39">
        <f t="shared" si="7"/>
        <v>0</v>
      </c>
      <c r="I39" s="40">
        <f t="shared" si="8"/>
        <v>0</v>
      </c>
    </row>
    <row r="40" spans="2:9" x14ac:dyDescent="0.25">
      <c r="B40" s="36">
        <f>0.85*$F$8</f>
        <v>0</v>
      </c>
      <c r="C40" s="4">
        <f t="shared" si="9"/>
        <v>0</v>
      </c>
      <c r="D40" s="48">
        <f>OutData!V3</f>
        <v>0</v>
      </c>
      <c r="E40" s="4">
        <f t="shared" si="5"/>
        <v>0</v>
      </c>
      <c r="F40" s="4" t="e">
        <f t="shared" si="6"/>
        <v>#DIV/0!</v>
      </c>
      <c r="G40" s="38">
        <v>85000</v>
      </c>
      <c r="H40" s="39">
        <f t="shared" si="7"/>
        <v>0</v>
      </c>
      <c r="I40" s="40">
        <f t="shared" si="8"/>
        <v>0</v>
      </c>
    </row>
    <row r="41" spans="2:9" x14ac:dyDescent="0.25">
      <c r="B41" s="36">
        <f>0.9*$F$8</f>
        <v>0</v>
      </c>
      <c r="C41" s="4">
        <f t="shared" si="9"/>
        <v>0</v>
      </c>
      <c r="D41" s="48">
        <f>OutData!W3</f>
        <v>0</v>
      </c>
      <c r="E41" s="4">
        <f t="shared" si="5"/>
        <v>0</v>
      </c>
      <c r="F41" s="4" t="e">
        <f t="shared" si="6"/>
        <v>#DIV/0!</v>
      </c>
      <c r="G41" s="38">
        <v>90000</v>
      </c>
      <c r="H41" s="39">
        <f t="shared" si="7"/>
        <v>0</v>
      </c>
      <c r="I41" s="40">
        <f t="shared" si="8"/>
        <v>0</v>
      </c>
    </row>
    <row r="42" spans="2:9" x14ac:dyDescent="0.25">
      <c r="B42" s="36">
        <f>0.95*$F$8</f>
        <v>0</v>
      </c>
      <c r="C42" s="4">
        <f t="shared" si="9"/>
        <v>0</v>
      </c>
      <c r="D42" s="48">
        <f>OutData!X3</f>
        <v>0</v>
      </c>
      <c r="E42" s="4">
        <f t="shared" si="5"/>
        <v>0</v>
      </c>
      <c r="F42" s="4" t="e">
        <f t="shared" si="6"/>
        <v>#DIV/0!</v>
      </c>
      <c r="G42" s="38">
        <v>95000</v>
      </c>
      <c r="H42" s="39">
        <f t="shared" si="7"/>
        <v>0</v>
      </c>
      <c r="I42" s="40">
        <f t="shared" si="8"/>
        <v>0</v>
      </c>
    </row>
    <row r="43" spans="2:9" x14ac:dyDescent="0.25">
      <c r="B43" s="41">
        <f>1*$F$8</f>
        <v>0</v>
      </c>
      <c r="C43" s="42">
        <f>(2350/61.7)*B43*0.395</f>
        <v>0</v>
      </c>
      <c r="D43" s="49">
        <f>OutData!Y3</f>
        <v>0</v>
      </c>
      <c r="E43" s="42">
        <f t="shared" si="5"/>
        <v>0</v>
      </c>
      <c r="F43" s="42" t="e">
        <f t="shared" si="6"/>
        <v>#DIV/0!</v>
      </c>
      <c r="G43" s="43">
        <v>100000</v>
      </c>
      <c r="H43" s="44">
        <f t="shared" si="7"/>
        <v>0</v>
      </c>
      <c r="I43" s="45">
        <f t="shared" si="8"/>
        <v>0</v>
      </c>
    </row>
    <row r="45" spans="2:9" x14ac:dyDescent="0.25">
      <c r="B45" s="24" t="s">
        <v>105</v>
      </c>
      <c r="C45" s="8"/>
      <c r="D45" s="25">
        <f>OutData!C4</f>
        <v>0</v>
      </c>
      <c r="E45" s="8" t="s">
        <v>106</v>
      </c>
      <c r="F45" s="8"/>
      <c r="G45" s="26" t="s">
        <v>107</v>
      </c>
      <c r="H45" s="26" t="s">
        <v>108</v>
      </c>
      <c r="I45" s="27">
        <f>OutData!L4</f>
        <v>0</v>
      </c>
    </row>
    <row r="46" spans="2:9" x14ac:dyDescent="0.25">
      <c r="B46" s="28" t="s">
        <v>109</v>
      </c>
      <c r="C46" s="11"/>
      <c r="D46" s="25">
        <f>OutData!D4</f>
        <v>0</v>
      </c>
      <c r="E46" s="11" t="s">
        <v>110</v>
      </c>
      <c r="F46" s="11"/>
      <c r="G46" s="11"/>
      <c r="H46" s="29" t="s">
        <v>111</v>
      </c>
      <c r="I46" s="27">
        <f>OutData!M4</f>
        <v>0</v>
      </c>
    </row>
    <row r="47" spans="2:9" x14ac:dyDescent="0.25">
      <c r="B47" s="28" t="s">
        <v>112</v>
      </c>
      <c r="C47" s="11"/>
      <c r="D47" s="25">
        <f>OutData!E4</f>
        <v>0</v>
      </c>
      <c r="E47" s="11"/>
      <c r="F47" s="11"/>
      <c r="G47" s="11"/>
      <c r="H47" s="29" t="s">
        <v>113</v>
      </c>
      <c r="I47" s="27">
        <f>OutData!N4</f>
        <v>0</v>
      </c>
    </row>
    <row r="48" spans="2:9" x14ac:dyDescent="0.25">
      <c r="B48" s="31" t="s">
        <v>114</v>
      </c>
      <c r="C48" s="32" t="s">
        <v>115</v>
      </c>
      <c r="D48" s="32" t="s">
        <v>116</v>
      </c>
      <c r="E48" s="32" t="s">
        <v>117</v>
      </c>
      <c r="F48" s="46"/>
      <c r="G48" s="32" t="s">
        <v>118</v>
      </c>
      <c r="H48" s="32"/>
      <c r="I48" s="33"/>
    </row>
    <row r="49" spans="2:9" x14ac:dyDescent="0.25">
      <c r="B49" s="47" t="s">
        <v>119</v>
      </c>
      <c r="C49" s="32" t="s">
        <v>120</v>
      </c>
      <c r="D49" s="32" t="s">
        <v>121</v>
      </c>
      <c r="E49" s="32" t="s">
        <v>120</v>
      </c>
      <c r="F49" s="32" t="s">
        <v>122</v>
      </c>
      <c r="G49" s="32" t="s">
        <v>123</v>
      </c>
      <c r="H49" s="32" t="s">
        <v>120</v>
      </c>
      <c r="I49" s="33" t="s">
        <v>124</v>
      </c>
    </row>
    <row r="50" spans="2:9" x14ac:dyDescent="0.25">
      <c r="B50" s="36">
        <f>0.25*$F$8</f>
        <v>0</v>
      </c>
      <c r="C50" s="4">
        <f>(2350/61.7)*B50*0.395</f>
        <v>0</v>
      </c>
      <c r="D50" s="37">
        <f>OutData!O4</f>
        <v>0</v>
      </c>
      <c r="E50" s="4">
        <f t="shared" ref="E50:E60" si="10">C50-(34.4764881*D50-4.325744048*D50^2+0.369475446*D50^3-0.01733631*D50^4+0.000339472*D50^5)</f>
        <v>0</v>
      </c>
      <c r="F50" s="4" t="e">
        <f t="shared" ref="F50:F60" si="11">(E50*60)/Volume</f>
        <v>#DIV/0!</v>
      </c>
      <c r="G50" s="38">
        <v>20000</v>
      </c>
      <c r="H50" s="39">
        <f t="shared" ref="H50:H60" si="12">G50*Volume/60</f>
        <v>0</v>
      </c>
      <c r="I50" s="40">
        <f t="shared" ref="I50:I60" si="13">G50^2*P2a+G50*P2b+P2c</f>
        <v>0</v>
      </c>
    </row>
    <row r="51" spans="2:9" x14ac:dyDescent="0.25">
      <c r="B51" s="36">
        <f>0.4*$F$8</f>
        <v>0</v>
      </c>
      <c r="C51" s="4">
        <f t="shared" ref="C51:C60" si="14">(2350/61.7)*B51*0.395</f>
        <v>0</v>
      </c>
      <c r="D51" s="37">
        <f>OutData!P4</f>
        <v>0</v>
      </c>
      <c r="E51" s="4">
        <f t="shared" si="10"/>
        <v>0</v>
      </c>
      <c r="F51" s="4" t="e">
        <f t="shared" si="11"/>
        <v>#DIV/0!</v>
      </c>
      <c r="G51" s="38">
        <v>35000</v>
      </c>
      <c r="H51" s="39">
        <f t="shared" si="12"/>
        <v>0</v>
      </c>
      <c r="I51" s="40">
        <f t="shared" si="13"/>
        <v>0</v>
      </c>
    </row>
    <row r="52" spans="2:9" x14ac:dyDescent="0.25">
      <c r="B52" s="36">
        <f>0.5*$F$8</f>
        <v>0</v>
      </c>
      <c r="C52" s="4">
        <f t="shared" si="14"/>
        <v>0</v>
      </c>
      <c r="D52" s="37">
        <f>OutData!Q4</f>
        <v>0</v>
      </c>
      <c r="E52" s="4">
        <f t="shared" si="10"/>
        <v>0</v>
      </c>
      <c r="F52" s="4" t="e">
        <f t="shared" si="11"/>
        <v>#DIV/0!</v>
      </c>
      <c r="G52" s="38">
        <v>50000</v>
      </c>
      <c r="H52" s="39">
        <f t="shared" si="12"/>
        <v>0</v>
      </c>
      <c r="I52" s="40">
        <f t="shared" si="13"/>
        <v>0</v>
      </c>
    </row>
    <row r="53" spans="2:9" x14ac:dyDescent="0.25">
      <c r="B53" s="36">
        <f>0.6*$F$8</f>
        <v>0</v>
      </c>
      <c r="C53" s="4">
        <f t="shared" si="14"/>
        <v>0</v>
      </c>
      <c r="D53" s="37">
        <f>OutData!R4</f>
        <v>0</v>
      </c>
      <c r="E53" s="4">
        <f t="shared" si="10"/>
        <v>0</v>
      </c>
      <c r="F53" s="4" t="e">
        <f t="shared" si="11"/>
        <v>#DIV/0!</v>
      </c>
      <c r="G53" s="38">
        <v>60000</v>
      </c>
      <c r="H53" s="39">
        <f t="shared" si="12"/>
        <v>0</v>
      </c>
      <c r="I53" s="40">
        <f t="shared" si="13"/>
        <v>0</v>
      </c>
    </row>
    <row r="54" spans="2:9" x14ac:dyDescent="0.25">
      <c r="B54" s="36">
        <f>0.7*$F$8</f>
        <v>0</v>
      </c>
      <c r="C54" s="4">
        <f t="shared" si="14"/>
        <v>0</v>
      </c>
      <c r="D54" s="37">
        <f>OutData!S4</f>
        <v>0</v>
      </c>
      <c r="E54" s="4">
        <f t="shared" si="10"/>
        <v>0</v>
      </c>
      <c r="F54" s="4" t="e">
        <f t="shared" si="11"/>
        <v>#DIV/0!</v>
      </c>
      <c r="G54" s="38">
        <v>70000</v>
      </c>
      <c r="H54" s="39">
        <f t="shared" si="12"/>
        <v>0</v>
      </c>
      <c r="I54" s="40">
        <f t="shared" si="13"/>
        <v>0</v>
      </c>
    </row>
    <row r="55" spans="2:9" x14ac:dyDescent="0.25">
      <c r="B55" s="36">
        <f>0.75*$F$8</f>
        <v>0</v>
      </c>
      <c r="C55" s="4">
        <f t="shared" si="14"/>
        <v>0</v>
      </c>
      <c r="D55" s="37">
        <f>OutData!T4</f>
        <v>0</v>
      </c>
      <c r="E55" s="4">
        <f t="shared" si="10"/>
        <v>0</v>
      </c>
      <c r="F55" s="4" t="e">
        <f t="shared" si="11"/>
        <v>#DIV/0!</v>
      </c>
      <c r="G55" s="38">
        <v>75000</v>
      </c>
      <c r="H55" s="39">
        <f t="shared" si="12"/>
        <v>0</v>
      </c>
      <c r="I55" s="40">
        <f t="shared" si="13"/>
        <v>0</v>
      </c>
    </row>
    <row r="56" spans="2:9" x14ac:dyDescent="0.25">
      <c r="B56" s="36">
        <f>0.8*$F$8</f>
        <v>0</v>
      </c>
      <c r="C56" s="4">
        <f t="shared" si="14"/>
        <v>0</v>
      </c>
      <c r="D56" s="37">
        <f>OutData!U4</f>
        <v>0</v>
      </c>
      <c r="E56" s="4">
        <f t="shared" si="10"/>
        <v>0</v>
      </c>
      <c r="F56" s="4" t="e">
        <f t="shared" si="11"/>
        <v>#DIV/0!</v>
      </c>
      <c r="G56" s="38">
        <v>80000</v>
      </c>
      <c r="H56" s="39">
        <f t="shared" si="12"/>
        <v>0</v>
      </c>
      <c r="I56" s="40">
        <f t="shared" si="13"/>
        <v>0</v>
      </c>
    </row>
    <row r="57" spans="2:9" x14ac:dyDescent="0.25">
      <c r="B57" s="36">
        <f>0.85*$F$8</f>
        <v>0</v>
      </c>
      <c r="C57" s="4">
        <f t="shared" si="14"/>
        <v>0</v>
      </c>
      <c r="D57" s="37">
        <f>OutData!V4</f>
        <v>0</v>
      </c>
      <c r="E57" s="4">
        <f t="shared" si="10"/>
        <v>0</v>
      </c>
      <c r="F57" s="4" t="e">
        <f t="shared" si="11"/>
        <v>#DIV/0!</v>
      </c>
      <c r="G57" s="38">
        <v>85000</v>
      </c>
      <c r="H57" s="39">
        <f t="shared" si="12"/>
        <v>0</v>
      </c>
      <c r="I57" s="40">
        <f t="shared" si="13"/>
        <v>0</v>
      </c>
    </row>
    <row r="58" spans="2:9" x14ac:dyDescent="0.25">
      <c r="B58" s="36">
        <f>0.9*$F$8</f>
        <v>0</v>
      </c>
      <c r="C58" s="4">
        <f t="shared" si="14"/>
        <v>0</v>
      </c>
      <c r="D58" s="37">
        <f>OutData!W4</f>
        <v>0</v>
      </c>
      <c r="E58" s="4">
        <f t="shared" si="10"/>
        <v>0</v>
      </c>
      <c r="F58" s="4" t="e">
        <f t="shared" si="11"/>
        <v>#DIV/0!</v>
      </c>
      <c r="G58" s="38">
        <v>90000</v>
      </c>
      <c r="H58" s="39">
        <f t="shared" si="12"/>
        <v>0</v>
      </c>
      <c r="I58" s="40">
        <f t="shared" si="13"/>
        <v>0</v>
      </c>
    </row>
    <row r="59" spans="2:9" x14ac:dyDescent="0.25">
      <c r="B59" s="36">
        <f>0.95*$F$8</f>
        <v>0</v>
      </c>
      <c r="C59" s="4">
        <f t="shared" si="14"/>
        <v>0</v>
      </c>
      <c r="D59" s="37">
        <f>OutData!X4</f>
        <v>0</v>
      </c>
      <c r="E59" s="4">
        <f t="shared" si="10"/>
        <v>0</v>
      </c>
      <c r="F59" s="4" t="e">
        <f t="shared" si="11"/>
        <v>#DIV/0!</v>
      </c>
      <c r="G59" s="38">
        <v>95000</v>
      </c>
      <c r="H59" s="39">
        <f t="shared" si="12"/>
        <v>0</v>
      </c>
      <c r="I59" s="40">
        <f t="shared" si="13"/>
        <v>0</v>
      </c>
    </row>
    <row r="60" spans="2:9" x14ac:dyDescent="0.25">
      <c r="B60" s="41">
        <f>1*$F$8</f>
        <v>0</v>
      </c>
      <c r="C60" s="42">
        <f t="shared" si="14"/>
        <v>0</v>
      </c>
      <c r="D60" s="37">
        <f>OutData!Y4</f>
        <v>0</v>
      </c>
      <c r="E60" s="42">
        <f t="shared" si="10"/>
        <v>0</v>
      </c>
      <c r="F60" s="42" t="e">
        <f t="shared" si="11"/>
        <v>#DIV/0!</v>
      </c>
      <c r="G60" s="43">
        <v>100000</v>
      </c>
      <c r="H60" s="44">
        <f t="shared" si="12"/>
        <v>0</v>
      </c>
      <c r="I60" s="45">
        <f t="shared" si="13"/>
        <v>0</v>
      </c>
    </row>
    <row r="62" spans="2:9" x14ac:dyDescent="0.25">
      <c r="F62" s="50"/>
    </row>
    <row r="63" spans="2:9" x14ac:dyDescent="0.25">
      <c r="B63" s="51"/>
      <c r="C63" s="52"/>
      <c r="D63" s="52"/>
      <c r="F63" s="53"/>
    </row>
    <row r="64" spans="2:9" x14ac:dyDescent="0.25">
      <c r="B64" s="51"/>
      <c r="C64" s="52"/>
      <c r="D64" s="52"/>
      <c r="E64" s="54"/>
      <c r="F64" s="53"/>
    </row>
    <row r="65" spans="3:6" x14ac:dyDescent="0.25">
      <c r="C65" s="55"/>
      <c r="D65" s="56"/>
      <c r="F65" s="53"/>
    </row>
  </sheetData>
  <dataConsolidate link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J4"/>
  <sheetViews>
    <sheetView tabSelected="1" workbookViewId="0">
      <selection sqref="A1:DD4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3" width="12" bestFit="1" customWidth="1"/>
    <col min="14" max="14" width="11.5703125" bestFit="1" customWidth="1"/>
    <col min="15" max="23" width="4.28515625" bestFit="1" customWidth="1"/>
    <col min="24" max="24" width="5.28515625" bestFit="1" customWidth="1"/>
    <col min="25" max="25" width="5.42578125" bestFit="1" customWidth="1"/>
    <col min="26" max="26" width="11.85546875" bestFit="1" customWidth="1"/>
    <col min="27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19.14062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14.28515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74</v>
      </c>
      <c r="AB1" t="s">
        <v>31</v>
      </c>
      <c r="AC1" t="s">
        <v>75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125</v>
      </c>
      <c r="AN1" t="s">
        <v>126</v>
      </c>
      <c r="AO1" t="s">
        <v>71</v>
      </c>
      <c r="AP1" t="s">
        <v>76</v>
      </c>
      <c r="AQ1" t="s">
        <v>77</v>
      </c>
      <c r="AR1" t="s">
        <v>42</v>
      </c>
      <c r="AS1" t="s">
        <v>43</v>
      </c>
      <c r="AT1" t="s">
        <v>44</v>
      </c>
      <c r="AU1" t="s">
        <v>45</v>
      </c>
      <c r="AV1" t="s">
        <v>4</v>
      </c>
      <c r="AW1" t="s">
        <v>41</v>
      </c>
      <c r="AX1" t="s">
        <v>77</v>
      </c>
      <c r="AY1" t="s">
        <v>47</v>
      </c>
      <c r="AZ1" t="s">
        <v>48</v>
      </c>
      <c r="BA1" t="s">
        <v>5</v>
      </c>
      <c r="BB1" t="s">
        <v>3</v>
      </c>
      <c r="BC1" t="s">
        <v>4</v>
      </c>
      <c r="BD1" t="s">
        <v>46</v>
      </c>
      <c r="BE1" t="s">
        <v>47</v>
      </c>
      <c r="BF1" t="s">
        <v>48</v>
      </c>
      <c r="BG1" t="s">
        <v>5</v>
      </c>
      <c r="BH1" t="s">
        <v>3</v>
      </c>
      <c r="BI1" t="s">
        <v>4</v>
      </c>
      <c r="BJ1" t="s">
        <v>78</v>
      </c>
      <c r="BK1" t="s">
        <v>50</v>
      </c>
      <c r="BL1" t="s">
        <v>0</v>
      </c>
      <c r="BM1" t="s">
        <v>2</v>
      </c>
      <c r="BN1" t="s">
        <v>1</v>
      </c>
      <c r="BO1" t="s">
        <v>127</v>
      </c>
      <c r="BP1" t="s">
        <v>128</v>
      </c>
      <c r="BQ1" t="s">
        <v>79</v>
      </c>
      <c r="BR1" t="s">
        <v>49</v>
      </c>
      <c r="BS1" t="s">
        <v>2</v>
      </c>
      <c r="BT1" t="s">
        <v>1</v>
      </c>
      <c r="BU1" t="s">
        <v>51</v>
      </c>
      <c r="BV1" t="s">
        <v>80</v>
      </c>
      <c r="BW1" t="s">
        <v>52</v>
      </c>
      <c r="BX1" t="s">
        <v>53</v>
      </c>
      <c r="BY1" t="s">
        <v>54</v>
      </c>
      <c r="BZ1" t="s">
        <v>49</v>
      </c>
      <c r="CA1" t="s">
        <v>55</v>
      </c>
      <c r="CB1" t="s">
        <v>56</v>
      </c>
      <c r="CC1" t="s">
        <v>57</v>
      </c>
      <c r="CD1" t="s">
        <v>58</v>
      </c>
      <c r="CE1" t="s">
        <v>59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60</v>
      </c>
      <c r="CN1" t="s">
        <v>61</v>
      </c>
      <c r="CO1" t="s">
        <v>62</v>
      </c>
      <c r="CP1" t="s">
        <v>88</v>
      </c>
      <c r="CQ1" t="s">
        <v>89</v>
      </c>
      <c r="CR1" t="s">
        <v>90</v>
      </c>
      <c r="CS1" t="s">
        <v>91</v>
      </c>
      <c r="CT1" t="s">
        <v>64</v>
      </c>
      <c r="CU1" t="s">
        <v>65</v>
      </c>
      <c r="CV1" t="s">
        <v>66</v>
      </c>
      <c r="CW1" t="s">
        <v>92</v>
      </c>
      <c r="CX1" t="s">
        <v>129</v>
      </c>
      <c r="CY1" t="s">
        <v>130</v>
      </c>
      <c r="CZ1" t="s">
        <v>131</v>
      </c>
      <c r="DA1" t="s">
        <v>132</v>
      </c>
      <c r="DB1" t="s">
        <v>133</v>
      </c>
      <c r="DC1" t="s">
        <v>134</v>
      </c>
      <c r="DD1" t="s">
        <v>135</v>
      </c>
      <c r="DE1" t="s">
        <v>61</v>
      </c>
      <c r="DF1" t="s">
        <v>62</v>
      </c>
      <c r="DG1" t="s">
        <v>63</v>
      </c>
      <c r="DH1" t="s">
        <v>64</v>
      </c>
      <c r="DI1" t="s">
        <v>65</v>
      </c>
      <c r="DJ1" t="s">
        <v>66</v>
      </c>
    </row>
    <row r="2" spans="1:114" x14ac:dyDescent="0.25">
      <c r="Z2">
        <v>83</v>
      </c>
      <c r="AA2" t="s">
        <v>136</v>
      </c>
      <c r="AB2" t="s">
        <v>137</v>
      </c>
      <c r="AC2" t="s">
        <v>138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12</v>
      </c>
      <c r="AN2">
        <v>1</v>
      </c>
      <c r="AO2" s="1">
        <v>43709.842994641207</v>
      </c>
      <c r="AP2" t="s">
        <v>139</v>
      </c>
      <c r="AQ2" t="s">
        <v>140</v>
      </c>
      <c r="AR2" t="s">
        <v>141</v>
      </c>
      <c r="AT2" t="s">
        <v>142</v>
      </c>
      <c r="AU2" t="s">
        <v>143</v>
      </c>
      <c r="AV2" t="s">
        <v>67</v>
      </c>
      <c r="AW2" t="s">
        <v>139</v>
      </c>
      <c r="AX2" t="s">
        <v>140</v>
      </c>
      <c r="AY2" s="1" t="s">
        <v>141</v>
      </c>
      <c r="AZ2" s="1"/>
      <c r="BA2" t="s">
        <v>142</v>
      </c>
      <c r="BB2" t="s">
        <v>143</v>
      </c>
      <c r="BC2" t="s">
        <v>67</v>
      </c>
      <c r="BD2" t="s">
        <v>142</v>
      </c>
      <c r="BE2" t="s">
        <v>141</v>
      </c>
      <c r="BG2" t="s">
        <v>142</v>
      </c>
      <c r="BH2" t="s">
        <v>144</v>
      </c>
      <c r="BI2" t="s">
        <v>67</v>
      </c>
      <c r="BJ2" t="s">
        <v>145</v>
      </c>
      <c r="BK2" t="s">
        <v>146</v>
      </c>
      <c r="BL2" t="s">
        <v>93</v>
      </c>
      <c r="BM2" t="s">
        <v>147</v>
      </c>
      <c r="BN2">
        <v>2015</v>
      </c>
      <c r="BO2" t="s">
        <v>148</v>
      </c>
      <c r="BQ2" t="s">
        <v>149</v>
      </c>
      <c r="BR2" t="s">
        <v>150</v>
      </c>
      <c r="BS2" t="s">
        <v>151</v>
      </c>
      <c r="BT2">
        <v>2015</v>
      </c>
      <c r="CF2" s="2"/>
      <c r="CH2" s="2"/>
      <c r="CJ2" s="2"/>
      <c r="CM2" s="2"/>
      <c r="CX2" t="s">
        <v>152</v>
      </c>
      <c r="CY2" t="s">
        <v>153</v>
      </c>
      <c r="CZ2" t="s">
        <v>154</v>
      </c>
      <c r="DB2" t="s">
        <v>155</v>
      </c>
      <c r="DC2" t="s">
        <v>67</v>
      </c>
      <c r="DD2" t="s">
        <v>150</v>
      </c>
      <c r="DE2" t="b">
        <v>1</v>
      </c>
      <c r="DF2" t="b">
        <v>0</v>
      </c>
      <c r="DG2" t="b">
        <v>1</v>
      </c>
    </row>
    <row r="3" spans="1:114" x14ac:dyDescent="0.25">
      <c r="Z3">
        <v>83</v>
      </c>
      <c r="AA3" t="s">
        <v>136</v>
      </c>
      <c r="AB3" t="s">
        <v>137</v>
      </c>
      <c r="AC3" t="s">
        <v>138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12</v>
      </c>
      <c r="AN3">
        <v>1</v>
      </c>
      <c r="AO3" s="1">
        <v>43709.842994641207</v>
      </c>
      <c r="AP3" t="s">
        <v>139</v>
      </c>
      <c r="AQ3" t="s">
        <v>140</v>
      </c>
      <c r="AR3" t="s">
        <v>141</v>
      </c>
      <c r="AT3" t="s">
        <v>142</v>
      </c>
      <c r="AU3" t="s">
        <v>143</v>
      </c>
      <c r="AV3" t="s">
        <v>67</v>
      </c>
      <c r="AW3" t="s">
        <v>139</v>
      </c>
      <c r="AX3" t="s">
        <v>140</v>
      </c>
      <c r="AY3" s="1" t="s">
        <v>141</v>
      </c>
      <c r="AZ3" s="1"/>
      <c r="BA3" t="s">
        <v>142</v>
      </c>
      <c r="BB3" t="s">
        <v>143</v>
      </c>
      <c r="BC3" t="s">
        <v>67</v>
      </c>
      <c r="BD3" t="s">
        <v>142</v>
      </c>
      <c r="BE3" t="s">
        <v>141</v>
      </c>
      <c r="BG3" t="s">
        <v>142</v>
      </c>
      <c r="BH3" t="s">
        <v>144</v>
      </c>
      <c r="BI3" t="s">
        <v>67</v>
      </c>
      <c r="BJ3" t="s">
        <v>145</v>
      </c>
      <c r="BK3" t="s">
        <v>146</v>
      </c>
      <c r="BL3" t="s">
        <v>93</v>
      </c>
      <c r="BM3" t="s">
        <v>147</v>
      </c>
      <c r="BN3">
        <v>2015</v>
      </c>
      <c r="BO3" t="s">
        <v>148</v>
      </c>
      <c r="BQ3" t="s">
        <v>149</v>
      </c>
      <c r="BR3" t="s">
        <v>150</v>
      </c>
      <c r="BS3" t="s">
        <v>151</v>
      </c>
      <c r="BT3">
        <v>2015</v>
      </c>
      <c r="CF3" s="2"/>
      <c r="CH3" s="2"/>
      <c r="CJ3" s="2"/>
      <c r="CM3" s="2"/>
      <c r="CX3" t="s">
        <v>152</v>
      </c>
      <c r="CY3" t="s">
        <v>153</v>
      </c>
      <c r="CZ3" t="s">
        <v>154</v>
      </c>
      <c r="DB3" t="s">
        <v>155</v>
      </c>
      <c r="DC3" t="s">
        <v>67</v>
      </c>
      <c r="DD3" t="s">
        <v>150</v>
      </c>
      <c r="DE3" t="b">
        <v>1</v>
      </c>
      <c r="DF3" t="b">
        <v>0</v>
      </c>
      <c r="DG3" t="b">
        <v>1</v>
      </c>
    </row>
    <row r="4" spans="1:114" x14ac:dyDescent="0.25">
      <c r="Z4">
        <v>83</v>
      </c>
      <c r="AA4" t="s">
        <v>136</v>
      </c>
      <c r="AB4" t="s">
        <v>137</v>
      </c>
      <c r="AC4" t="s">
        <v>138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12</v>
      </c>
      <c r="AN4">
        <v>1</v>
      </c>
      <c r="AO4" s="1">
        <v>43709.842994641207</v>
      </c>
      <c r="AP4" t="s">
        <v>139</v>
      </c>
      <c r="AQ4" t="s">
        <v>140</v>
      </c>
      <c r="AR4" t="s">
        <v>141</v>
      </c>
      <c r="AT4" t="s">
        <v>142</v>
      </c>
      <c r="AU4" t="s">
        <v>143</v>
      </c>
      <c r="AV4" t="s">
        <v>67</v>
      </c>
      <c r="AW4" t="s">
        <v>139</v>
      </c>
      <c r="AX4" t="s">
        <v>140</v>
      </c>
      <c r="AY4" s="1" t="s">
        <v>141</v>
      </c>
      <c r="AZ4" s="1"/>
      <c r="BA4" t="s">
        <v>142</v>
      </c>
      <c r="BB4" t="s">
        <v>143</v>
      </c>
      <c r="BC4" t="s">
        <v>67</v>
      </c>
      <c r="BD4" t="s">
        <v>142</v>
      </c>
      <c r="BE4" t="s">
        <v>141</v>
      </c>
      <c r="BG4" t="s">
        <v>142</v>
      </c>
      <c r="BH4" t="s">
        <v>144</v>
      </c>
      <c r="BI4" t="s">
        <v>67</v>
      </c>
      <c r="BJ4" t="s">
        <v>145</v>
      </c>
      <c r="BK4" t="s">
        <v>146</v>
      </c>
      <c r="BL4" t="s">
        <v>93</v>
      </c>
      <c r="BM4" t="s">
        <v>147</v>
      </c>
      <c r="BN4">
        <v>2015</v>
      </c>
      <c r="BO4" t="s">
        <v>148</v>
      </c>
      <c r="BQ4" t="s">
        <v>149</v>
      </c>
      <c r="BR4" t="s">
        <v>150</v>
      </c>
      <c r="BS4" t="s">
        <v>151</v>
      </c>
      <c r="BT4">
        <v>2015</v>
      </c>
      <c r="CF4" s="2"/>
      <c r="CH4" s="2"/>
      <c r="CJ4" s="2"/>
      <c r="CM4" s="2"/>
      <c r="CX4" t="s">
        <v>152</v>
      </c>
      <c r="CY4" t="s">
        <v>153</v>
      </c>
      <c r="CZ4" t="s">
        <v>154</v>
      </c>
      <c r="DB4" t="s">
        <v>155</v>
      </c>
      <c r="DC4" t="s">
        <v>67</v>
      </c>
      <c r="DD4" t="s">
        <v>150</v>
      </c>
      <c r="DE4" t="b">
        <v>1</v>
      </c>
      <c r="DF4" t="b">
        <v>0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Cleaning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2019-09-01T20:30:21Z</dcterms:modified>
</cp:coreProperties>
</file>