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esktop\Project Cloud Files\RH Database 01.07.20\Templates\"/>
    </mc:Choice>
  </mc:AlternateContent>
  <xr:revisionPtr revIDLastSave="0" documentId="13_ncr:1_{B7AA0FF1-E373-4D25-8170-3A499A7D76DC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Cleaning" sheetId="3" r:id="rId1"/>
    <sheet name="DPF v.2" sheetId="7" r:id="rId2"/>
    <sheet name="Flow Chart" sheetId="8" r:id="rId3"/>
    <sheet name="QAProcess" sheetId="5" r:id="rId4"/>
    <sheet name="OutData" sheetId="4" r:id="rId5"/>
  </sheets>
  <externalReferences>
    <externalReference r:id="rId6"/>
    <externalReference r:id="rId7"/>
    <externalReference r:id="rId8"/>
  </externalReferences>
  <definedNames>
    <definedName name="area">#REF!</definedName>
    <definedName name="benchmark">'[1]10.21 DPF TESTING'!$B$2</definedName>
    <definedName name="maxfreq">'[1]10.21 Flowrate Testing &amp; Analys'!$B$5</definedName>
    <definedName name="MaxHertz" localSheetId="3">QAProcess!$F$6</definedName>
    <definedName name="maxrpm">'[1]10.21 Flowrate Testing &amp; Analys'!$B$4</definedName>
    <definedName name="MaxSpaceVelocity" localSheetId="3">QAProcess!$F$5</definedName>
    <definedName name="NoteQAProcess">QAProcess!$I$4</definedName>
    <definedName name="o">#REF!</definedName>
    <definedName name="oi">#REF!</definedName>
    <definedName name="oo">#REF!</definedName>
    <definedName name="op">#REF!</definedName>
    <definedName name="ororo">#REF!</definedName>
    <definedName name="p">#REF!</definedName>
    <definedName name="P0a" localSheetId="3">QAProcess!$I$11</definedName>
    <definedName name="P0AirTemp" localSheetId="3">QAProcess!$D$11</definedName>
    <definedName name="P0b" localSheetId="3">QAProcess!$I$12</definedName>
    <definedName name="P0BackPress" localSheetId="3">QAProcess!$D$13</definedName>
    <definedName name="P0BaroPress" localSheetId="3">QAProcess!$D$12</definedName>
    <definedName name="P0c" localSheetId="4">[2]QAProcess!$H$32</definedName>
    <definedName name="P0c" localSheetId="3">QAProcess!$I$13</definedName>
    <definedName name="P0c">[2]QAProcess!$H$36</definedName>
    <definedName name="P0PSI" localSheetId="3">QAProcess!$D$16:$D$26</definedName>
    <definedName name="P0SV" localSheetId="3">QAProcess!$G$16:$G$26</definedName>
    <definedName name="P1a" localSheetId="3">QAProcess!$I$28</definedName>
    <definedName name="P1AirTemp" localSheetId="3">QAProcess!$D$28</definedName>
    <definedName name="P1b" localSheetId="3">QAProcess!$I$29</definedName>
    <definedName name="P1BackPress" localSheetId="3">QAProcess!$D$30</definedName>
    <definedName name="P1BaroPress" localSheetId="3">QAProcess!$D$29</definedName>
    <definedName name="P1c" localSheetId="3">QAProcess!$I$30</definedName>
    <definedName name="P1PSI" localSheetId="3">QAProcess!$D$33:$D$43</definedName>
    <definedName name="P1SV" localSheetId="3">QAProcess!$G$33:$G$43</definedName>
    <definedName name="P2a" localSheetId="3">QAProcess!$I$45</definedName>
    <definedName name="P2AirTemp" localSheetId="3">QAProcess!$D$45</definedName>
    <definedName name="P2b" localSheetId="3">QAProcess!$I$46</definedName>
    <definedName name="P2BackPress" localSheetId="3">QAProcess!$D$47</definedName>
    <definedName name="P2BaroPress" localSheetId="3">QAProcess!$D$46</definedName>
    <definedName name="P2c" localSheetId="3">QAProcess!$I$47</definedName>
    <definedName name="P2PSI">QAProcess!$D$50:$D$60</definedName>
    <definedName name="P2SV" localSheetId="3">QAProcess!$G$50:$G$60</definedName>
    <definedName name="PO">#REF!</definedName>
    <definedName name="poppo">#REF!</definedName>
    <definedName name="pp">#REF!</definedName>
    <definedName name="ppp">#REF!</definedName>
    <definedName name="pq">#REF!</definedName>
    <definedName name="_xlnm.Print_Area" localSheetId="1">'DPF v.2'!$A$1:$P$53</definedName>
    <definedName name="_xlnm.Print_Area" localSheetId="2">'Flow Chart'!$B$1:$L$36</definedName>
    <definedName name="SubDiameter" localSheetId="3">QAProcess!$C$5</definedName>
    <definedName name="SubDiameter">#REF!</definedName>
    <definedName name="SubLength" localSheetId="3">QAProcess!$C$6</definedName>
    <definedName name="SubLength">#REF!</definedName>
    <definedName name="two">'[3]Back Pressure Test Log'!$B$2</definedName>
    <definedName name="Volume" localSheetId="3">QAProcess!$C$7</definedName>
    <definedName name="Volume">#REF!</definedName>
    <definedName name="washl">#REF!</definedName>
    <definedName name="washlog">#REF!</definedName>
    <definedName name="Washlog6.15.2015">#REF!</definedName>
    <definedName name="washlog61515">#REF!</definedName>
    <definedName name="WorkorderIDQAProcess">QAProcess!$C$3</definedName>
    <definedName name="WorkOrderIDQualit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7" l="1"/>
  <c r="N8" i="7"/>
  <c r="N10" i="7"/>
  <c r="N52" i="7" l="1"/>
  <c r="O52" i="7"/>
  <c r="J52" i="7"/>
  <c r="K52" i="7"/>
  <c r="J20" i="7"/>
  <c r="G32" i="8" l="1"/>
  <c r="F10" i="7"/>
  <c r="N34" i="7" l="1"/>
  <c r="J2" i="8" l="1"/>
  <c r="P2" i="7"/>
  <c r="P12" i="7"/>
  <c r="N12" i="7"/>
  <c r="P13" i="7"/>
  <c r="N13" i="7"/>
  <c r="D10" i="7"/>
  <c r="J17" i="7"/>
  <c r="N38" i="7" l="1"/>
  <c r="F41" i="7"/>
  <c r="H42" i="7" l="1"/>
  <c r="E32" i="8" l="1"/>
  <c r="S40" i="7" l="1"/>
  <c r="E26" i="7"/>
  <c r="E25" i="7"/>
  <c r="D5" i="7"/>
  <c r="F4" i="7"/>
  <c r="E4" i="8" l="1"/>
  <c r="B2" i="8"/>
  <c r="F1" i="8" l="1"/>
  <c r="B32" i="8"/>
  <c r="C32" i="8"/>
  <c r="R37" i="7"/>
  <c r="N30" i="7"/>
  <c r="C45" i="7"/>
  <c r="N40" i="7"/>
  <c r="F32" i="8" s="1"/>
  <c r="F42" i="7"/>
  <c r="A42" i="7"/>
  <c r="A41" i="7"/>
  <c r="C6" i="5"/>
  <c r="C5" i="5"/>
  <c r="N27" i="7"/>
  <c r="N26" i="7"/>
  <c r="N25" i="7"/>
  <c r="N24" i="7"/>
  <c r="N29" i="7"/>
  <c r="N28" i="7"/>
  <c r="E28" i="7"/>
  <c r="E27" i="7"/>
  <c r="D8" i="7"/>
  <c r="D7" i="7"/>
  <c r="N11" i="7" l="1"/>
  <c r="N9" i="7"/>
  <c r="N7" i="7"/>
  <c r="N5" i="7"/>
  <c r="A12" i="7"/>
  <c r="A13" i="7"/>
  <c r="C20" i="7"/>
  <c r="L20" i="7"/>
  <c r="E38" i="7"/>
  <c r="R36" i="7" l="1"/>
  <c r="S36" i="7" s="1"/>
  <c r="N36" i="7" s="1"/>
  <c r="T36" i="7" l="1"/>
  <c r="N37" i="7" s="1"/>
  <c r="D32" i="8"/>
  <c r="L36" i="8" l="1"/>
  <c r="A31" i="8" s="1"/>
  <c r="J1" i="8"/>
  <c r="B1" i="8"/>
  <c r="P53" i="7" l="1"/>
  <c r="A20" i="7" l="1"/>
  <c r="A19" i="7"/>
  <c r="A18" i="7"/>
  <c r="A17" i="7"/>
  <c r="J19" i="7"/>
  <c r="J18" i="7"/>
  <c r="P1" i="7" l="1"/>
  <c r="I47" i="5" l="1"/>
  <c r="I46" i="5"/>
  <c r="I45" i="5"/>
  <c r="I30" i="5"/>
  <c r="I29" i="5"/>
  <c r="I28" i="5"/>
  <c r="I13" i="5"/>
  <c r="I12" i="5"/>
  <c r="D60" i="5" l="1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7" i="5"/>
  <c r="C8" i="5" s="1"/>
  <c r="H32" i="8" s="1"/>
  <c r="I32" i="8" l="1"/>
  <c r="E34" i="7"/>
  <c r="J32" i="8"/>
  <c r="E35" i="7"/>
  <c r="F7" i="5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L29" i="8" s="1"/>
  <c r="H53" i="5"/>
  <c r="H54" i="5"/>
  <c r="B6" i="3"/>
  <c r="B4" i="3"/>
  <c r="K32" i="8" l="1"/>
  <c r="E36" i="7" s="1"/>
  <c r="B60" i="5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  <c r="N35" i="7" l="1"/>
</calcChain>
</file>

<file path=xl/sharedStrings.xml><?xml version="1.0" encoding="utf-8"?>
<sst xmlns="http://schemas.openxmlformats.org/spreadsheetml/2006/main" count="468" uniqueCount="271">
  <si>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</si>
  <si>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</si>
  <si>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</si>
  <si>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</si>
  <si>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</si>
  <si>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</si>
  <si>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</si>
  <si>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</si>
  <si>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</si>
  <si>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</si>
  <si>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</si>
  <si>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</si>
  <si>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</si>
  <si>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</si>
  <si>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</si>
  <si>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</si>
  <si>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</si>
  <si>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</si>
  <si>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</si>
  <si>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</si>
  <si>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</si>
  <si>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</si>
  <si>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</si>
  <si>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</si>
  <si>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</si>
  <si>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</si>
  <si>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</si>
  <si>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</si>
  <si>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</si>
  <si>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</si>
  <si>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</si>
  <si>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</si>
  <si>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</si>
  <si>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</si>
  <si>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</si>
  <si>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</si>
  <si>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</si>
  <si>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</si>
  <si>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</si>
  <si>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</si>
  <si>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</si>
  <si>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</si>
  <si>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</si>
  <si>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</si>
  <si>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</si>
  <si>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</si>
  <si>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</si>
  <si>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</si>
  <si>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</si>
  <si>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</si>
  <si>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</si>
  <si>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</si>
  <si>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</si>
  <si>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</si>
  <si>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</si>
  <si>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</si>
  <si>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</si>
  <si>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</si>
  <si>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</si>
  <si>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</si>
  <si>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</si>
  <si>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</si>
  <si>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</si>
  <si>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</si>
  <si>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</si>
  <si>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</si>
  <si>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PA</t>
  </si>
  <si>
    <t>Cordierite (ceramic)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</si>
  <si>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</si>
  <si>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</si>
  <si>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</si>
  <si>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</si>
  <si>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</si>
  <si>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</si>
  <si>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</si>
  <si>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</si>
  <si>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Billing_CompanyName</t>
  </si>
  <si>
    <t>CompanyInitials</t>
  </si>
  <si>
    <t>Vehicle_SerialNumber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</si>
  <si>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</si>
  <si>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</si>
  <si>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</si>
  <si>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</si>
  <si>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</si>
  <si>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</si>
  <si>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</si>
  <si>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</si>
  <si>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</si>
  <si>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</si>
  <si>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</si>
  <si>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</si>
  <si>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</si>
  <si>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</si>
  <si>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None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</si>
  <si>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</si>
  <si>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</si>
  <si>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</si>
  <si>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</si>
  <si>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</si>
  <si>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</si>
  <si>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</si>
  <si>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</si>
  <si>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</si>
  <si>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</si>
  <si>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</si>
  <si>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</si>
  <si>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</si>
  <si>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</si>
  <si>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</si>
  <si>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</si>
  <si>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</si>
  <si>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</si>
  <si>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</si>
  <si>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</si>
  <si>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</si>
  <si>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</si>
  <si>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</si>
  <si>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</si>
  <si>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</si>
  <si>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</si>
  <si>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</si>
  <si>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</si>
  <si>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</si>
  <si>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</si>
  <si>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</si>
  <si>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Type Of Device (DOC, DPF, SCR):</t>
  </si>
  <si>
    <t xml:space="preserve"> </t>
  </si>
  <si>
    <t>Service Date:</t>
  </si>
  <si>
    <t>Serial Number:</t>
  </si>
  <si>
    <t>Customer Provided Info.</t>
  </si>
  <si>
    <t>Part Number:</t>
  </si>
  <si>
    <t>Owner:</t>
  </si>
  <si>
    <t>Mileage / Hours</t>
  </si>
  <si>
    <t>/</t>
  </si>
  <si>
    <t>Soot on Inlet Face</t>
  </si>
  <si>
    <t>Ash on Inlet Face</t>
  </si>
  <si>
    <t>Stains on Outlet Face</t>
  </si>
  <si>
    <t>Evidence of Contaminant(s):</t>
  </si>
  <si>
    <t>Over the Road / Highway</t>
  </si>
  <si>
    <t>Fuel / Oil</t>
  </si>
  <si>
    <t>Start &amp; Stop</t>
  </si>
  <si>
    <t>Engine / EGR Coolant</t>
  </si>
  <si>
    <t>High Idle</t>
  </si>
  <si>
    <t>Wear / Corrosion (rust)</t>
  </si>
  <si>
    <t>Other</t>
  </si>
  <si>
    <t>Preventative Maintenance Interval</t>
  </si>
  <si>
    <t>Filter Pressure Drop at 1/2 Max Exhaust Flow</t>
  </si>
  <si>
    <t>High Soot Load / CEL Warning</t>
  </si>
  <si>
    <t>As Received, psi</t>
  </si>
  <si>
    <t>Engine Failure / Fluids in Exhaust</t>
  </si>
  <si>
    <t>Post Cleaning, psi</t>
  </si>
  <si>
    <t>Reduction, %</t>
  </si>
  <si>
    <t>Mass of Soot and Ash Removed</t>
  </si>
  <si>
    <t>Hours</t>
  </si>
  <si>
    <t>Vehicle Operating Condition(s):</t>
  </si>
  <si>
    <t>Job Information</t>
  </si>
  <si>
    <t>lbs</t>
  </si>
  <si>
    <t>Substrate Crack(s)</t>
  </si>
  <si>
    <t>Miles</t>
  </si>
  <si>
    <t>MPG</t>
  </si>
  <si>
    <t>HPG</t>
  </si>
  <si>
    <t>VehicleType</t>
  </si>
  <si>
    <t>PinTest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</si>
  <si>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</si>
  <si>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</si>
  <si>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</si>
  <si>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</si>
  <si>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</si>
  <si>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</si>
  <si>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</si>
  <si>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Allentown - 1337 N. Nelson Street</t>
  </si>
  <si>
    <t>1337 North Nelson Street</t>
  </si>
  <si>
    <t>Allentown</t>
  </si>
  <si>
    <t>18109</t>
  </si>
  <si>
    <t>Last Cleaning:</t>
  </si>
  <si>
    <t>Other Info.:</t>
  </si>
  <si>
    <t>Vehicle / Equipment</t>
  </si>
  <si>
    <t>Color of ash</t>
  </si>
  <si>
    <t>Breached Channels</t>
  </si>
  <si>
    <t>% above Benchmark</t>
  </si>
  <si>
    <t>% Reduction</t>
  </si>
  <si>
    <t>g/L substrate</t>
  </si>
  <si>
    <t>%</t>
  </si>
  <si>
    <t>g /L substrate</t>
  </si>
  <si>
    <t>Comments:</t>
  </si>
  <si>
    <t xml:space="preserve">   * Note: Whichever comes first</t>
  </si>
  <si>
    <t>inches</t>
  </si>
  <si>
    <t>(Pass / Fail)</t>
  </si>
  <si>
    <t>* Manufacturer's recommended Ash Cleaning intervals</t>
  </si>
  <si>
    <t>* Next recommended cleaning interval for this device</t>
  </si>
  <si>
    <t>Reason(s) For Cleaning:</t>
  </si>
  <si>
    <t>Substrate Material</t>
  </si>
  <si>
    <t>Substrate Size, Length</t>
  </si>
  <si>
    <t>Volume</t>
  </si>
  <si>
    <t>(Like New, Good, Fair, Replace with New)</t>
  </si>
  <si>
    <t>Liters</t>
  </si>
  <si>
    <t>Structural Condition:</t>
  </si>
  <si>
    <t>Description:</t>
  </si>
  <si>
    <t>Performance Tests -  Summary</t>
  </si>
  <si>
    <t>Tracking No. / P.O. No.</t>
  </si>
  <si>
    <t>Overall Condition:</t>
  </si>
  <si>
    <t>Loss in Weight, Ash</t>
  </si>
  <si>
    <t>Part No.</t>
  </si>
  <si>
    <t>Condition</t>
  </si>
  <si>
    <t>g / L substrate</t>
  </si>
  <si>
    <t>Unit / Asset No.:</t>
  </si>
  <si>
    <t>VIN  / S/N:</t>
  </si>
  <si>
    <t>Unit / Asset No.</t>
  </si>
  <si>
    <t>Service Date</t>
  </si>
  <si>
    <t>Sales Order</t>
  </si>
  <si>
    <t>Device Cleaning / Reconditioning Results</t>
  </si>
  <si>
    <t>Device from</t>
  </si>
  <si>
    <t>Device</t>
  </si>
  <si>
    <t>Overall</t>
  </si>
  <si>
    <t>Pressure Drop Measured at</t>
  </si>
  <si>
    <t>Veh. / Unit #</t>
  </si>
  <si>
    <t xml:space="preserve">Work </t>
  </si>
  <si>
    <t>No.</t>
  </si>
  <si>
    <t>Order</t>
  </si>
  <si>
    <r>
      <rPr>
        <i/>
        <sz val="10"/>
        <color theme="1"/>
        <rFont val="Arial"/>
        <family val="2"/>
      </rPr>
      <t>Est.</t>
    </r>
    <r>
      <rPr>
        <sz val="10"/>
        <color theme="1"/>
        <rFont val="Arial"/>
        <family val="2"/>
      </rPr>
      <t xml:space="preserve"> Ash Exposure</t>
    </r>
    <r>
      <rPr>
        <vertAlign val="superscript"/>
        <sz val="10"/>
        <color theme="1"/>
        <rFont val="Arial"/>
        <family val="2"/>
      </rPr>
      <t>1</t>
    </r>
  </si>
  <si>
    <t>hpg</t>
  </si>
  <si>
    <t>mpg</t>
  </si>
  <si>
    <t>Fuel Economy to gallons</t>
  </si>
  <si>
    <t>gallons</t>
  </si>
  <si>
    <t>Excel Equations:</t>
  </si>
  <si>
    <t>InitialCleaningMiles</t>
  </si>
  <si>
    <t>InitialCleaningHours</t>
  </si>
  <si>
    <r>
      <t>(</t>
    </r>
    <r>
      <rPr>
        <vertAlign val="super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 xml:space="preserve"> from engine use &amp; F.E.)</t>
    </r>
  </si>
  <si>
    <t>FE</t>
  </si>
  <si>
    <t>to est. ash exposure</t>
  </si>
  <si>
    <t>DPF</t>
  </si>
  <si>
    <t>Device Last</t>
  </si>
  <si>
    <t>Cleaned</t>
  </si>
  <si>
    <t>Truck</t>
  </si>
  <si>
    <t>Miles / Hrs</t>
  </si>
  <si>
    <r>
      <t xml:space="preserve">Pressure Drop, at </t>
    </r>
    <r>
      <rPr>
        <i/>
        <sz val="10"/>
        <color theme="1"/>
        <rFont val="Times New Roman"/>
        <family val="1"/>
      </rPr>
      <t>est.</t>
    </r>
    <r>
      <rPr>
        <sz val="10"/>
        <color theme="1"/>
        <rFont val="Times New Roman"/>
        <family val="1"/>
      </rPr>
      <t xml:space="preserve"> 1/2 max exhaust flow,    SCFM =</t>
    </r>
  </si>
  <si>
    <t>Weight Loss, lbs</t>
  </si>
  <si>
    <t>As Received</t>
  </si>
  <si>
    <t>Post Cleaning</t>
  </si>
  <si>
    <t>Benchmark (when new)</t>
  </si>
  <si>
    <t>est. F.E., mpg / hpg</t>
  </si>
  <si>
    <t>Pre-Cleaning Pin Test</t>
  </si>
  <si>
    <t>From Inlet</t>
  </si>
  <si>
    <t>Post-cleaning Pin Test</t>
  </si>
  <si>
    <t>Inspection - As Received</t>
  </si>
  <si>
    <t>From Outlet</t>
  </si>
  <si>
    <t>Damage to Flange(s)</t>
  </si>
  <si>
    <t>Damage to Bung(s)</t>
  </si>
  <si>
    <t>ServiceDate</t>
  </si>
  <si>
    <t>Light</t>
  </si>
  <si>
    <t>Good</t>
  </si>
  <si>
    <t>&lt;15</t>
  </si>
  <si>
    <t>*  Lowered DPF Filter Pressure Drop by &gt; 65%.  The post cleaning Filter Pressure Drop curve is slightly above the curve of a new, Benchmark DPF of similar P/N, but well within acceptable limits.</t>
  </si>
  <si>
    <t>EAG-1996</t>
  </si>
  <si>
    <t>Vince Jr</t>
  </si>
  <si>
    <t>M000571</t>
  </si>
  <si>
    <t>Non-Road / Off-Road</t>
  </si>
  <si>
    <t>Eagle Power &amp; Equipment</t>
  </si>
  <si>
    <t>EAG</t>
  </si>
  <si>
    <t>953 Bethlehem Pike</t>
  </si>
  <si>
    <t>Montgomeryville</t>
  </si>
  <si>
    <t>18936</t>
  </si>
  <si>
    <t>50001250-2</t>
  </si>
  <si>
    <t>CASE</t>
  </si>
  <si>
    <t>CX145</t>
  </si>
  <si>
    <t>Off Road</t>
  </si>
  <si>
    <t>898185386</t>
  </si>
  <si>
    <t>Sub 898213340 000283</t>
  </si>
  <si>
    <t>Reddish Purple</t>
  </si>
  <si>
    <t>Medium</t>
  </si>
  <si>
    <t>The DPF ceramic substrate is in good structural condition. Less than 5 breached channels indicates minimal degradation due to excessive high substrate temperature.  Removed 0.38 lbs of soot and lube ash using a combination of pneumatic air cleaning, catalyst wash, and kiln baking.  The DPF is clean and ready for re-use.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</si>
</sst>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i/>
      <sz val="11"/>
      <color theme="1"/>
      <name val="Times New Roman"/>
      <family val="1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06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3" fontId="0" fillId="0" borderId="0" xfId="0" applyNumberFormat="1" applyBorder="1" applyAlignment="1">
      <alignment horizontal="left" vertic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10" xfId="0" applyBorder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left" vertical="center" indent="1"/>
    </xf>
    <xf numFmtId="0" fontId="7" fillId="0" borderId="0" xfId="0" applyFont="1" applyAlignment="1">
      <alignment horizontal="left" indent="1"/>
    </xf>
    <xf numFmtId="0" fontId="7" fillId="0" borderId="0" xfId="0" applyFont="1"/>
    <xf numFmtId="0" fontId="7" fillId="0" borderId="0" xfId="0" applyFont="1" applyBorder="1"/>
    <xf numFmtId="0" fontId="7" fillId="0" borderId="0" xfId="0" applyFont="1" applyAlignment="1">
      <alignment horizontal="left" vertical="center" indent="1"/>
    </xf>
    <xf numFmtId="0" fontId="7" fillId="0" borderId="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 inden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3" fontId="7" fillId="0" borderId="10" xfId="0" applyNumberFormat="1" applyFont="1" applyBorder="1" applyAlignment="1">
      <alignment horizontal="right" vertical="center" indent="1"/>
    </xf>
    <xf numFmtId="0" fontId="7" fillId="0" borderId="10" xfId="0" quotePrefix="1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14" fontId="7" fillId="0" borderId="0" xfId="0" applyNumberFormat="1" applyFont="1" applyAlignment="1">
      <alignment horizontal="left" vertical="center" indent="1"/>
    </xf>
    <xf numFmtId="0" fontId="7" fillId="0" borderId="0" xfId="0" applyFont="1" applyAlignment="1">
      <alignment horizontal="left" vertical="center" indent="2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center"/>
    </xf>
    <xf numFmtId="167" fontId="7" fillId="0" borderId="0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/>
    </xf>
    <xf numFmtId="0" fontId="7" fillId="0" borderId="5" xfId="0" applyFont="1" applyBorder="1"/>
    <xf numFmtId="0" fontId="7" fillId="0" borderId="4" xfId="0" applyFont="1" applyBorder="1"/>
    <xf numFmtId="0" fontId="7" fillId="0" borderId="5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6" xfId="0" applyFont="1" applyBorder="1" applyAlignment="1">
      <alignment horizontal="left" vertical="center" indent="1"/>
    </xf>
    <xf numFmtId="0" fontId="7" fillId="0" borderId="7" xfId="0" applyFont="1" applyBorder="1"/>
    <xf numFmtId="0" fontId="7" fillId="0" borderId="7" xfId="0" quotePrefix="1" applyFont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10" fillId="0" borderId="0" xfId="0" applyFont="1" applyBorder="1" applyAlignment="1">
      <alignment vertical="center"/>
    </xf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7" xfId="0" applyFont="1" applyBorder="1" applyAlignment="1">
      <alignment horizontal="left" vertical="center"/>
    </xf>
    <xf numFmtId="0" fontId="8" fillId="0" borderId="7" xfId="0" applyNumberFormat="1" applyFont="1" applyBorder="1" applyAlignment="1">
      <alignment horizontal="right" vertical="center" indent="1"/>
    </xf>
    <xf numFmtId="0" fontId="7" fillId="0" borderId="7" xfId="0" applyFont="1" applyBorder="1" applyAlignment="1">
      <alignment horizontal="center"/>
    </xf>
    <xf numFmtId="0" fontId="8" fillId="0" borderId="7" xfId="0" applyFont="1" applyBorder="1" applyAlignment="1">
      <alignment horizontal="left" vertical="center" indent="1"/>
    </xf>
    <xf numFmtId="0" fontId="7" fillId="0" borderId="2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7" fillId="0" borderId="0" xfId="0" applyFont="1" applyBorder="1" applyAlignment="1">
      <alignment horizontal="left" vertical="center" indent="1"/>
    </xf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2" fontId="7" fillId="0" borderId="0" xfId="0" applyNumberFormat="1" applyFont="1" applyBorder="1" applyAlignment="1">
      <alignment horizontal="left"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 indent="1"/>
    </xf>
    <xf numFmtId="2" fontId="7" fillId="0" borderId="7" xfId="0" applyNumberFormat="1" applyFont="1" applyBorder="1" applyAlignment="1">
      <alignment horizontal="left" vertical="center"/>
    </xf>
    <xf numFmtId="0" fontId="10" fillId="0" borderId="4" xfId="0" applyFont="1" applyBorder="1"/>
    <xf numFmtId="0" fontId="7" fillId="0" borderId="0" xfId="0" applyFont="1" applyFill="1" applyBorder="1" applyAlignment="1">
      <alignment horizontal="left" vertical="center" indent="1"/>
    </xf>
    <xf numFmtId="2" fontId="10" fillId="0" borderId="9" xfId="0" applyNumberFormat="1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0" fontId="7" fillId="0" borderId="0" xfId="0" applyFont="1" applyFill="1" applyBorder="1"/>
    <xf numFmtId="0" fontId="7" fillId="0" borderId="9" xfId="0" applyFont="1" applyBorder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Border="1"/>
    <xf numFmtId="2" fontId="7" fillId="0" borderId="9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horizontal="left" vertical="center" indent="1"/>
    </xf>
    <xf numFmtId="0" fontId="10" fillId="0" borderId="0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/>
    <xf numFmtId="0" fontId="7" fillId="0" borderId="0" xfId="0" applyFont="1" applyBorder="1" applyAlignment="1"/>
    <xf numFmtId="0" fontId="7" fillId="0" borderId="6" xfId="0" applyFont="1" applyBorder="1" applyAlignment="1"/>
    <xf numFmtId="0" fontId="9" fillId="0" borderId="1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center" indent="2"/>
    </xf>
    <xf numFmtId="1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>
      <alignment horizontal="left" vertical="center" indent="2"/>
    </xf>
    <xf numFmtId="0" fontId="7" fillId="0" borderId="6" xfId="0" applyFont="1" applyFill="1" applyBorder="1" applyAlignment="1">
      <alignment horizontal="left" vertical="center" indent="1"/>
    </xf>
    <xf numFmtId="0" fontId="1" fillId="0" borderId="5" xfId="0" applyFont="1" applyBorder="1"/>
    <xf numFmtId="0" fontId="11" fillId="0" borderId="0" xfId="0" applyFont="1" applyBorder="1"/>
    <xf numFmtId="3" fontId="7" fillId="0" borderId="0" xfId="0" applyNumberFormat="1" applyFont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0" borderId="0" xfId="0" applyBorder="1" applyAlignment="1"/>
    <xf numFmtId="3" fontId="7" fillId="0" borderId="0" xfId="0" applyNumberFormat="1" applyFont="1" applyBorder="1" applyAlignment="1">
      <alignment horizontal="right" vertical="center"/>
    </xf>
    <xf numFmtId="0" fontId="7" fillId="0" borderId="0" xfId="0" quotePrefix="1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left" vertical="center"/>
    </xf>
    <xf numFmtId="0" fontId="7" fillId="0" borderId="0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1" fontId="7" fillId="0" borderId="0" xfId="0" applyNumberFormat="1" applyFont="1" applyBorder="1" applyAlignment="1">
      <alignment horizontal="left" vertical="center"/>
    </xf>
    <xf numFmtId="2" fontId="7" fillId="0" borderId="0" xfId="0" applyNumberFormat="1" applyFont="1" applyBorder="1" applyAlignment="1">
      <alignment vertical="center"/>
    </xf>
    <xf numFmtId="1" fontId="7" fillId="0" borderId="0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1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/>
    <xf numFmtId="0" fontId="7" fillId="0" borderId="0" xfId="0" applyFont="1" applyFill="1" applyBorder="1" applyAlignment="1"/>
    <xf numFmtId="2" fontId="7" fillId="0" borderId="0" xfId="0" applyNumberFormat="1" applyFont="1" applyBorder="1" applyAlignment="1">
      <alignment horizontal="center"/>
    </xf>
    <xf numFmtId="0" fontId="1" fillId="0" borderId="0" xfId="0" applyFont="1" applyBorder="1" applyAlignment="1"/>
    <xf numFmtId="0" fontId="9" fillId="0" borderId="0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center"/>
    </xf>
    <xf numFmtId="14" fontId="7" fillId="0" borderId="0" xfId="0" applyNumberFormat="1" applyFont="1" applyAlignment="1">
      <alignment horizontal="left" vertical="center"/>
    </xf>
    <xf numFmtId="166" fontId="2" fillId="0" borderId="0" xfId="0" applyNumberFormat="1" applyFont="1" applyAlignment="1">
      <alignment horizontal="left" vertical="center"/>
    </xf>
    <xf numFmtId="167" fontId="7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0" fontId="0" fillId="0" borderId="1" xfId="0" applyBorder="1"/>
    <xf numFmtId="0" fontId="0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4" xfId="0" applyBorder="1"/>
    <xf numFmtId="2" fontId="0" fillId="0" borderId="0" xfId="0" applyNumberFormat="1" applyBorder="1"/>
    <xf numFmtId="0" fontId="0" fillId="0" borderId="7" xfId="0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13" fillId="0" borderId="7" xfId="0" applyFont="1" applyBorder="1" applyAlignment="1">
      <alignment horizontal="left" vertical="center" indent="1"/>
    </xf>
    <xf numFmtId="3" fontId="7" fillId="0" borderId="0" xfId="0" applyNumberFormat="1" applyFont="1" applyBorder="1" applyAlignment="1">
      <alignment horizontal="right" vertical="center" indent="1"/>
    </xf>
    <xf numFmtId="0" fontId="10" fillId="0" borderId="6" xfId="0" applyFont="1" applyBorder="1" applyAlignment="1">
      <alignment horizontal="left" vertical="center" indent="1"/>
    </xf>
    <xf numFmtId="0" fontId="14" fillId="0" borderId="0" xfId="0" applyFont="1" applyAlignment="1">
      <alignment horizontal="left"/>
    </xf>
    <xf numFmtId="0" fontId="14" fillId="2" borderId="1" xfId="0" applyFont="1" applyFill="1" applyBorder="1"/>
    <xf numFmtId="0" fontId="14" fillId="2" borderId="2" xfId="0" applyFont="1" applyFill="1" applyBorder="1"/>
    <xf numFmtId="49" fontId="14" fillId="0" borderId="0" xfId="0" applyNumberFormat="1" applyFont="1" applyAlignment="1">
      <alignment horizontal="left"/>
    </xf>
    <xf numFmtId="0" fontId="14" fillId="2" borderId="4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1" fontId="14" fillId="2" borderId="5" xfId="0" applyNumberFormat="1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1" fontId="14" fillId="0" borderId="0" xfId="0" applyNumberFormat="1" applyFont="1" applyAlignment="1">
      <alignment horizontal="left"/>
    </xf>
    <xf numFmtId="0" fontId="14" fillId="0" borderId="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67" fontId="14" fillId="0" borderId="0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0" xfId="0" applyFont="1"/>
    <xf numFmtId="0" fontId="14" fillId="0" borderId="0" xfId="0" applyFont="1" applyBorder="1"/>
    <xf numFmtId="0" fontId="14" fillId="0" borderId="0" xfId="0" applyFont="1" applyAlignment="1">
      <alignment horizontal="center" vertical="center"/>
    </xf>
    <xf numFmtId="0" fontId="14" fillId="0" borderId="0" xfId="0" applyFont="1" applyBorder="1" applyAlignment="1"/>
    <xf numFmtId="0" fontId="14" fillId="0" borderId="0" xfId="0" applyFont="1" applyBorder="1" applyAlignment="1">
      <alignment horizontal="left" vertical="center"/>
    </xf>
    <xf numFmtId="0" fontId="17" fillId="0" borderId="0" xfId="0" applyFont="1" applyBorder="1" applyAlignment="1"/>
    <xf numFmtId="3" fontId="14" fillId="0" borderId="0" xfId="0" applyNumberFormat="1" applyFont="1" applyBorder="1" applyAlignment="1">
      <alignment horizontal="center" vertical="center"/>
    </xf>
    <xf numFmtId="0" fontId="14" fillId="2" borderId="21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9" fontId="14" fillId="0" borderId="14" xfId="0" applyNumberFormat="1" applyFont="1" applyBorder="1" applyAlignment="1">
      <alignment horizontal="center" vertical="center"/>
    </xf>
    <xf numFmtId="0" fontId="16" fillId="5" borderId="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167" fontId="16" fillId="5" borderId="7" xfId="0" applyNumberFormat="1" applyFont="1" applyFill="1" applyBorder="1" applyAlignment="1">
      <alignment horizontal="center"/>
    </xf>
    <xf numFmtId="3" fontId="16" fillId="5" borderId="7" xfId="0" applyNumberFormat="1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1" fontId="16" fillId="5" borderId="17" xfId="0" applyNumberFormat="1" applyFont="1" applyFill="1" applyBorder="1" applyAlignment="1">
      <alignment horizontal="center"/>
    </xf>
    <xf numFmtId="166" fontId="16" fillId="5" borderId="7" xfId="0" applyNumberFormat="1" applyFont="1" applyFill="1" applyBorder="1" applyAlignment="1">
      <alignment horizontal="center"/>
    </xf>
    <xf numFmtId="166" fontId="16" fillId="5" borderId="18" xfId="0" applyNumberFormat="1" applyFont="1" applyFill="1" applyBorder="1" applyAlignment="1">
      <alignment horizontal="center"/>
    </xf>
    <xf numFmtId="9" fontId="16" fillId="5" borderId="21" xfId="0" applyNumberFormat="1" applyFont="1" applyFill="1" applyBorder="1" applyAlignment="1">
      <alignment horizontal="center"/>
    </xf>
    <xf numFmtId="0" fontId="16" fillId="5" borderId="8" xfId="0" applyFont="1" applyFill="1" applyBorder="1" applyAlignment="1">
      <alignment horizontal="center"/>
    </xf>
    <xf numFmtId="0" fontId="18" fillId="0" borderId="0" xfId="0" applyFont="1"/>
    <xf numFmtId="3" fontId="18" fillId="0" borderId="0" xfId="0" applyNumberFormat="1" applyFont="1"/>
    <xf numFmtId="0" fontId="19" fillId="0" borderId="0" xfId="0" applyFont="1" applyBorder="1"/>
    <xf numFmtId="3" fontId="19" fillId="0" borderId="0" xfId="0" applyNumberFormat="1" applyFont="1"/>
    <xf numFmtId="0" fontId="19" fillId="0" borderId="0" xfId="0" applyFont="1" applyAlignment="1">
      <alignment horizontal="left" vertical="top"/>
    </xf>
    <xf numFmtId="0" fontId="18" fillId="0" borderId="0" xfId="0" applyFont="1" applyAlignment="1">
      <alignment horizontal="right" vertical="center"/>
    </xf>
    <xf numFmtId="0" fontId="7" fillId="0" borderId="10" xfId="0" applyFont="1" applyBorder="1" applyAlignment="1">
      <alignment horizontal="left" indent="1"/>
    </xf>
    <xf numFmtId="0" fontId="10" fillId="0" borderId="7" xfId="0" applyFont="1" applyBorder="1" applyAlignment="1">
      <alignment horizontal="right" vertical="center" inden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Border="1"/>
    <xf numFmtId="14" fontId="2" fillId="0" borderId="0" xfId="0" applyNumberFormat="1" applyFont="1" applyAlignment="1">
      <alignment horizontal="left" vertical="center"/>
    </xf>
    <xf numFmtId="3" fontId="2" fillId="0" borderId="0" xfId="0" applyNumberFormat="1" applyFont="1" applyAlignment="1">
      <alignment horizontal="left" vertical="center"/>
    </xf>
    <xf numFmtId="167" fontId="2" fillId="0" borderId="0" xfId="0" applyNumberFormat="1" applyFont="1" applyAlignment="1">
      <alignment horizontal="left" vertical="center"/>
    </xf>
    <xf numFmtId="0" fontId="9" fillId="0" borderId="4" xfId="0" applyFont="1" applyBorder="1" applyAlignment="1">
      <alignment horizontal="left" vertical="center" indent="1"/>
    </xf>
    <xf numFmtId="0" fontId="9" fillId="0" borderId="0" xfId="0" applyFont="1" applyBorder="1"/>
    <xf numFmtId="0" fontId="10" fillId="0" borderId="0" xfId="0" applyFont="1" applyBorder="1" applyAlignment="1">
      <alignment horizontal="left" vertical="center" indent="1"/>
    </xf>
    <xf numFmtId="0" fontId="10" fillId="0" borderId="0" xfId="0" applyFont="1" applyBorder="1" applyAlignment="1">
      <alignment horizontal="right" vertical="center" indent="1"/>
    </xf>
    <xf numFmtId="0" fontId="9" fillId="0" borderId="7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7" xfId="0" applyFont="1" applyBorder="1" applyAlignment="1">
      <alignment vertical="center"/>
    </xf>
    <xf numFmtId="0" fontId="9" fillId="0" borderId="7" xfId="0" applyFont="1" applyBorder="1"/>
    <xf numFmtId="0" fontId="7" fillId="0" borderId="6" xfId="0" applyFont="1" applyBorder="1" applyAlignment="1">
      <alignment horizontal="center"/>
    </xf>
    <xf numFmtId="0" fontId="1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9" fillId="0" borderId="10" xfId="0" applyFont="1" applyBorder="1" applyAlignment="1">
      <alignment horizontal="left" vertical="center" indent="1"/>
    </xf>
    <xf numFmtId="0" fontId="9" fillId="0" borderId="9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" fontId="7" fillId="0" borderId="9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6" fontId="7" fillId="0" borderId="9" xfId="0" applyNumberFormat="1" applyFont="1" applyBorder="1" applyAlignment="1">
      <alignment horizontal="center" vertical="center"/>
    </xf>
    <xf numFmtId="9" fontId="7" fillId="0" borderId="9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left" vertical="top"/>
    </xf>
    <xf numFmtId="3" fontId="7" fillId="0" borderId="9" xfId="0" applyNumberFormat="1" applyFont="1" applyBorder="1" applyAlignment="1">
      <alignment horizontal="right" vertical="center"/>
    </xf>
    <xf numFmtId="0" fontId="7" fillId="0" borderId="9" xfId="0" quotePrefix="1" applyFont="1" applyBorder="1" applyAlignment="1">
      <alignment horizontal="center" vertical="center"/>
    </xf>
    <xf numFmtId="3" fontId="7" fillId="0" borderId="22" xfId="0" applyNumberFormat="1" applyFont="1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0" fillId="0" borderId="7" xfId="0" applyBorder="1" applyAlignment="1"/>
    <xf numFmtId="0" fontId="7" fillId="0" borderId="12" xfId="0" applyFont="1" applyBorder="1" applyAlignment="1">
      <alignment horizontal="left" vertical="center" indent="1"/>
    </xf>
    <xf numFmtId="0" fontId="7" fillId="0" borderId="12" xfId="0" applyFont="1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167" fontId="7" fillId="0" borderId="9" xfId="0" applyNumberFormat="1" applyFont="1" applyBorder="1" applyAlignment="1">
      <alignment horizontal="left" vertical="center"/>
    </xf>
    <xf numFmtId="0" fontId="16" fillId="0" borderId="0" xfId="0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3" fontId="7" fillId="0" borderId="0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7" fillId="0" borderId="2" xfId="0" applyFont="1" applyBorder="1" applyAlignment="1">
      <alignment horizontal="left" vertical="top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4" fillId="2" borderId="1" xfId="0" applyFont="1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2" borderId="15" xfId="0" applyFont="1" applyFill="1" applyBorder="1" applyAlignment="1">
      <alignment horizontal="center"/>
    </xf>
    <xf numFmtId="0" fontId="14" fillId="2" borderId="14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3" fillId="0" borderId="7" xfId="0" applyNumberFormat="1" applyFont="1" applyBorder="1" applyAlignment="1">
      <alignment horizontal="center"/>
    </xf>
    <xf numFmtId="0" fontId="13" fillId="0" borderId="7" xfId="0" applyNumberFormat="1" applyFont="1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1793279195262"/>
          <c:y val="5.6299256848076545E-2"/>
          <c:w val="0.84441236766550987"/>
          <c:h val="0.79140289518063733"/>
        </c:manualLayout>
      </c:layout>
      <c:scatterChart>
        <c:scatterStyle val="lineMarker"/>
        <c:varyColors val="0"/>
        <c:ser>
          <c:idx val="3"/>
          <c:order val="1"/>
          <c:tx>
            <c:v>As Received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QAProcess!$H$16:$H$26</c:f>
              <c:numCache>
                <c:formatCode>0</c:formatCode>
                <c:ptCount val="11"/>
                <c:pt idx="0">
                  <c:v>59.624565972222214</c:v>
                </c:pt>
                <c:pt idx="1">
                  <c:v>104.34299045138889</c:v>
                </c:pt>
                <c:pt idx="2">
                  <c:v>149.06141493055554</c:v>
                </c:pt>
                <c:pt idx="3">
                  <c:v>178.87369791666666</c:v>
                </c:pt>
                <c:pt idx="4">
                  <c:v>208.68598090277777</c:v>
                </c:pt>
                <c:pt idx="5">
                  <c:v>223.59212239583334</c:v>
                </c:pt>
                <c:pt idx="6">
                  <c:v>238.49826388888886</c:v>
                </c:pt>
                <c:pt idx="7">
                  <c:v>253.40440538194443</c:v>
                </c:pt>
                <c:pt idx="8">
                  <c:v>268.310546875</c:v>
                </c:pt>
                <c:pt idx="9">
                  <c:v>283.21668836805554</c:v>
                </c:pt>
                <c:pt idx="10">
                  <c:v>298.12282986111109</c:v>
                </c:pt>
              </c:numCache>
            </c:numRef>
          </c:xVal>
          <c:yVal>
            <c:numRef>
              <c:f>QAProcess!$I$16:$I$26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9-40FC-8050-C8BCFD6C7400}"/>
            </c:ext>
          </c:extLst>
        </c:ser>
        <c:ser>
          <c:idx val="0"/>
          <c:order val="2"/>
          <c:tx>
            <c:v>Post Process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QAProcess!$H$50:$H$60</c:f>
              <c:numCache>
                <c:formatCode>0</c:formatCode>
                <c:ptCount val="11"/>
                <c:pt idx="0">
                  <c:v>59.624565972222214</c:v>
                </c:pt>
                <c:pt idx="1">
                  <c:v>104.34299045138889</c:v>
                </c:pt>
                <c:pt idx="2">
                  <c:v>149.06141493055554</c:v>
                </c:pt>
                <c:pt idx="3">
                  <c:v>178.87369791666666</c:v>
                </c:pt>
                <c:pt idx="4">
                  <c:v>208.68598090277777</c:v>
                </c:pt>
                <c:pt idx="5">
                  <c:v>223.59212239583334</c:v>
                </c:pt>
                <c:pt idx="6">
                  <c:v>238.49826388888886</c:v>
                </c:pt>
                <c:pt idx="7">
                  <c:v>253.40440538194443</c:v>
                </c:pt>
                <c:pt idx="8">
                  <c:v>268.310546875</c:v>
                </c:pt>
                <c:pt idx="9">
                  <c:v>283.21668836805554</c:v>
                </c:pt>
                <c:pt idx="10">
                  <c:v>298.12282986111109</c:v>
                </c:pt>
              </c:numCache>
            </c:numRef>
          </c:xVal>
          <c:yVal>
            <c:numRef>
              <c:f>QAProcess!$I$50:$I$60</c:f>
              <c:numCache>
                <c:formatCode>0.000</c:formatCode>
                <c:ptCount val="11"/>
                <c:pt idx="0">
                  <c:v>2.4053268871072002E-2</c:v>
                </c:pt>
                <c:pt idx="1">
                  <c:v>4.2238792424555499E-2</c:v>
                </c:pt>
                <c:pt idx="2">
                  <c:v>6.4250523258010006E-2</c:v>
                </c:pt>
                <c:pt idx="3">
                  <c:v>8.1050681191408E-2</c:v>
                </c:pt>
                <c:pt idx="4">
                  <c:v>9.9551375693682012E-2</c:v>
                </c:pt>
                <c:pt idx="5">
                  <c:v>0.1094394241581475</c:v>
                </c:pt>
                <c:pt idx="6">
                  <c:v>0.11975260676483201</c:v>
                </c:pt>
                <c:pt idx="7">
                  <c:v>0.13049092351373551</c:v>
                </c:pt>
                <c:pt idx="8">
                  <c:v>0.14165437440485801</c:v>
                </c:pt>
                <c:pt idx="9">
                  <c:v>0.15324295943819952</c:v>
                </c:pt>
                <c:pt idx="10">
                  <c:v>0.16525667861376001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4E9-40FC-8050-C8BCFD6C7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36321040"/>
        <c:axId val="-163631940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benchmark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square"/>
                  <c:size val="5"/>
                  <c:spPr>
                    <a:noFill/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F4E9-40FC-8050-C8BCFD6C7400}"/>
                  </c:ext>
                </c:extLst>
              </c15:ser>
            </c15:filteredScatterSeries>
          </c:ext>
        </c:extLst>
      </c:scatterChart>
      <c:valAx>
        <c:axId val="-1636321040"/>
        <c:scaling>
          <c:orientation val="minMax"/>
          <c:min val="1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Air</a:t>
                </a:r>
                <a:r>
                  <a:rPr lang="en-US" sz="1200" baseline="0">
                    <a:solidFill>
                      <a:schemeClr val="tx1"/>
                    </a:solidFill>
                  </a:rPr>
                  <a:t> </a:t>
                </a:r>
                <a:r>
                  <a:rPr lang="en-US" sz="1200">
                    <a:solidFill>
                      <a:schemeClr val="tx1"/>
                    </a:solidFill>
                  </a:rPr>
                  <a:t>Flow, SCFM</a:t>
                </a:r>
              </a:p>
            </c:rich>
          </c:tx>
          <c:layout>
            <c:manualLayout>
              <c:xMode val="edge"/>
              <c:yMode val="edge"/>
              <c:x val="0.45826305172965076"/>
              <c:y val="0.925053749883873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19408"/>
        <c:crosses val="autoZero"/>
        <c:crossBetween val="midCat"/>
        <c:majorUnit val="100"/>
        <c:minorUnit val="50"/>
      </c:valAx>
      <c:valAx>
        <c:axId val="-163631940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 baseline="0">
                    <a:solidFill>
                      <a:schemeClr val="tx1"/>
                    </a:solidFill>
                  </a:rPr>
                  <a:t>Filter Pressure Drop, Psi</a:t>
                </a:r>
              </a:p>
            </c:rich>
          </c:tx>
          <c:layout>
            <c:manualLayout>
              <c:xMode val="edge"/>
              <c:yMode val="edge"/>
              <c:x val="1.482402282222357E-2"/>
              <c:y val="0.16526573307340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21040"/>
        <c:crosses val="autoZero"/>
        <c:crossBetween val="midCat"/>
        <c:majorUnit val="0.1"/>
        <c:min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aseline="0">
          <a:latin typeface="Times New Roman" panose="02020603050405020304" pitchFamily="18" charset="0"/>
        </a:defRPr>
      </a:pPr>
      <a:endParaRPr lang="en-US"/>
    </a:p>
  </c:txPr>
  <c:printSettings>
    <c:headerFooter>
      <c:oddHeader>&amp;L&amp;"Bookman Old Style,Bold"&amp;12 &amp;C&amp;"Bookman Old Style,Bold"&amp;12
                                                             Hunsicker Emissions Services LLC      </c:oddHeader>
    </c:headerFooter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419099</xdr:colOff>
      <xdr:row>4</xdr:row>
      <xdr:rowOff>47624</xdr:rowOff>
    </xdr:from>
    <xdr:to>
      <xdr:col>8</xdr:col>
      <xdr:colOff>1028700</xdr:colOff>
      <xdr:row>25</xdr:row>
      <xdr:rowOff>170842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48E714-3E2F-4632-8103-794FEA211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0.578</cdr:x>
      <cdr:y>0.76808</cdr:y>
    </cdr:from>
    <cdr:to>
      <cdr:x>0.81521</cdr:x>
      <cdr:y>0.82683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341798" y="3013704"/>
          <a:ext cx="1371471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Post Cleaning</a:t>
          </a:r>
        </a:p>
      </cdr:txBody>
    </cdr:sp>
  </cdr:relSizeAnchor>
  <cdr:relSizeAnchor xmlns:cdr="http://schemas.openxmlformats.org/drawingml/2006/chartDrawing">
    <cdr:from>
      <cdr:x>0.6276</cdr:x>
      <cdr:y>0.31492</cdr:y>
    </cdr:from>
    <cdr:to>
      <cdr:x>0.78101</cdr:x>
      <cdr:y>0.42275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82175" y="1520786"/>
          <a:ext cx="1046728" cy="5207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0.38251</cdr:x>
      <cdr:y>0.56375</cdr:y>
    </cdr:from>
    <cdr:to>
      <cdr:x>0.61972</cdr:x>
      <cdr:y>0.6225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4464FF3-F6D6-46F7-B345-CD1FCFBE5081}"/>
            </a:ext>
          </a:extLst>
        </cdr:cNvPr>
        <cdr:cNvSpPr txBox="1"/>
      </cdr:nvSpPr>
      <cdr:spPr>
        <a:xfrm xmlns:a="http://schemas.openxmlformats.org/drawingml/2006/main">
          <a:off x="2189667" y="2211982"/>
          <a:ext cx="1357914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Pre 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Cleaning</a:t>
          </a:r>
        </a:p>
      </cdr:txBody>
    </cdr:sp>
  </cdr:relSizeAnchor>
  <cdr:relSizeAnchor xmlns:cdr="http://schemas.openxmlformats.org/drawingml/2006/chartDrawing">
    <cdr:from>
      <cdr:x>0.57456</cdr:x>
      <cdr:y>0.65058</cdr:y>
    </cdr:from>
    <cdr:to>
      <cdr:x>0.57456</cdr:x>
      <cdr:y>0.74769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7691E2A7-B807-4BF9-9937-5129C05D568C}"/>
            </a:ext>
          </a:extLst>
        </cdr:cNvPr>
        <cdr:cNvCxnSpPr/>
      </cdr:nvCxnSpPr>
      <cdr:spPr>
        <a:xfrm xmlns:a="http://schemas.openxmlformats.org/drawingml/2006/main">
          <a:off x="3321906" y="2552694"/>
          <a:ext cx="0" cy="381007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ropbox/Hunsicker%20Project%202015/Hunsicker%20Project%202014/Mechanical%20Team/Blower%20Test%20Experiment/slip%20correction%20term%20calulation%20-%20Wenli%2012.4.1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ocuments/Hunsicker%20Emissions%20Services/Funding/RAMP/DPF%20Testing%20and%20Analysis%20v.4.20.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e"/>
      <sheetName val="Wenli 1psi"/>
      <sheetName val="10.21 DPF TESTING"/>
      <sheetName val="10.21 Flowrate Testing &amp; Analys"/>
      <sheetName val="Sheet2"/>
      <sheetName val="Sheet3"/>
    </sheetNames>
    <sheetDataSet>
      <sheetData sheetId="0">
        <row r="21">
          <cell r="R21">
            <v>690</v>
          </cell>
        </row>
      </sheetData>
      <sheetData sheetId="1">
        <row r="5">
          <cell r="AC5">
            <v>0</v>
          </cell>
        </row>
      </sheetData>
      <sheetData sheetId="2">
        <row r="2">
          <cell r="B2">
            <v>7.7891624999999992E-2</v>
          </cell>
        </row>
      </sheetData>
      <sheetData sheetId="3">
        <row r="4">
          <cell r="B4">
            <v>2350</v>
          </cell>
        </row>
        <row r="5">
          <cell r="B5">
            <v>61.7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k Pressure Test Log"/>
      <sheetName val="Matrix"/>
      <sheetName val="Transervice Analysis"/>
      <sheetName val="Sheet3"/>
      <sheetName val="Back Pressure Test Log (2)"/>
    </sheetNames>
    <sheetDataSet>
      <sheetData sheetId="0">
        <row r="2">
          <cell r="B2">
            <v>7.7891624999999992E-2</v>
          </cell>
        </row>
      </sheetData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15" sqref="B15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68</v>
      </c>
      <c r="B2" t="s">
        <v>70</v>
      </c>
    </row>
    <row r="3" spans="1:2" x14ac:dyDescent="0.25">
      <c r="A3" t="s">
        <v>69</v>
      </c>
      <c r="B3">
        <f>OutData!A2</f>
        <v>3121</v>
      </c>
    </row>
    <row r="4" spans="1:2" x14ac:dyDescent="0.25">
      <c r="A4" t="s">
        <v>72</v>
      </c>
      <c r="B4" s="1" t="str">
        <f>OutData!AY2</f>
        <v>Eagle Power &amp; Equipment</v>
      </c>
    </row>
    <row r="6" spans="1:2" x14ac:dyDescent="0.25">
      <c r="A6" t="s">
        <v>73</v>
      </c>
      <c r="B6" s="1">
        <f>OutData!CG2</f>
        <v>7.75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EFF2-21DA-4EC5-BE7D-D72B04480BFD}">
  <dimension ref="A1:X89"/>
  <sheetViews>
    <sheetView tabSelected="1" view="pageLayout" topLeftCell="A37" zoomScaleNormal="100" workbookViewId="0">
      <selection activeCell="N13" sqref="N13"/>
    </sheetView>
  </sheetViews>
  <sheetFormatPr defaultColWidth="9.140625" defaultRowHeight="15" x14ac:dyDescent="0.25"/>
  <cols>
    <col min="1" max="1" width="5.28515625" customWidth="1"/>
    <col min="2" max="2" width="5.85546875" customWidth="1"/>
    <col min="3" max="3" width="4.85546875" customWidth="1"/>
    <col min="4" max="4" width="9.5703125" customWidth="1"/>
    <col min="5" max="5" width="6" customWidth="1"/>
    <col min="6" max="6" width="4.5703125" customWidth="1"/>
    <col min="7" max="7" width="5.85546875" customWidth="1"/>
    <col min="8" max="8" width="2.42578125" customWidth="1"/>
    <col min="9" max="9" width="1.5703125" customWidth="1"/>
    <col min="10" max="10" width="3.7109375" customWidth="1"/>
    <col min="11" max="11" width="5.7109375" customWidth="1"/>
    <col min="12" max="12" width="5.85546875" customWidth="1"/>
    <col min="13" max="13" width="5.5703125" customWidth="1"/>
    <col min="14" max="14" width="8.140625" customWidth="1"/>
    <col min="15" max="15" width="3.5703125" customWidth="1"/>
    <col min="16" max="16" width="11.85546875" customWidth="1"/>
    <col min="17" max="17" width="11.28515625" customWidth="1"/>
    <col min="20" max="20" width="12.42578125" bestFit="1" customWidth="1"/>
  </cols>
  <sheetData>
    <row r="1" spans="1:18" ht="15.75" customHeight="1" x14ac:dyDescent="0.25">
      <c r="N1" s="89" t="s">
        <v>68</v>
      </c>
      <c r="O1" s="83"/>
      <c r="P1" s="90" t="str">
        <f>OutData!AA2</f>
        <v>EAG-1996</v>
      </c>
    </row>
    <row r="2" spans="1:18" ht="14.25" customHeight="1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N2" s="89" t="s">
        <v>127</v>
      </c>
      <c r="O2" s="83"/>
      <c r="P2" s="91">
        <f>OutData!DI2</f>
        <v>43840</v>
      </c>
    </row>
    <row r="3" spans="1:18" ht="7.35" customHeight="1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N3" s="89"/>
      <c r="O3" s="83"/>
      <c r="P3" s="77"/>
    </row>
    <row r="4" spans="1:18" ht="14.25" customHeight="1" x14ac:dyDescent="0.25">
      <c r="A4" s="72" t="s">
        <v>125</v>
      </c>
      <c r="B4" s="73"/>
      <c r="C4" s="73"/>
      <c r="D4" s="74"/>
      <c r="E4" s="73"/>
      <c r="F4" s="75" t="str">
        <f>OutData!BZ2</f>
        <v>DPF</v>
      </c>
      <c r="J4" s="92" t="s">
        <v>129</v>
      </c>
      <c r="K4" s="93"/>
      <c r="L4" s="93"/>
      <c r="M4" s="93"/>
      <c r="N4" s="93"/>
      <c r="O4" s="93"/>
      <c r="P4" s="94"/>
    </row>
    <row r="5" spans="1:18" ht="14.25" customHeight="1" x14ac:dyDescent="0.25">
      <c r="A5" s="76" t="s">
        <v>0</v>
      </c>
      <c r="B5" s="77"/>
      <c r="C5" s="77"/>
      <c r="D5" s="78" t="str">
        <f>IF(OutData!BY2=0,"---",OutData!BY2)</f>
        <v>CASE</v>
      </c>
      <c r="E5" s="78"/>
      <c r="F5" s="78"/>
      <c r="G5" s="10"/>
      <c r="H5" s="10"/>
      <c r="J5" s="249" t="s">
        <v>199</v>
      </c>
      <c r="K5" s="250"/>
      <c r="L5" s="250"/>
      <c r="M5" s="250"/>
      <c r="N5" s="260" t="str">
        <f>IF(OutData!AC2=0,"---",OutData!AC2)</f>
        <v>M000571</v>
      </c>
      <c r="O5" s="96"/>
      <c r="P5" s="97"/>
      <c r="R5" s="10"/>
    </row>
    <row r="6" spans="1:18" ht="14.25" customHeight="1" x14ac:dyDescent="0.25">
      <c r="A6" s="79" t="s">
        <v>128</v>
      </c>
      <c r="B6" s="77"/>
      <c r="C6" s="77"/>
      <c r="D6" s="80" t="str">
        <f>IF(OutData!CC2=0,"",OutData!CC2)</f>
        <v/>
      </c>
      <c r="E6" s="81"/>
      <c r="F6" s="81"/>
      <c r="G6" s="65"/>
      <c r="H6" s="65"/>
      <c r="I6" s="65"/>
      <c r="J6" s="95" t="s">
        <v>176</v>
      </c>
      <c r="K6" s="78"/>
      <c r="L6" s="78"/>
      <c r="M6" s="78"/>
      <c r="N6" s="117"/>
      <c r="O6" s="90"/>
      <c r="P6" s="97"/>
      <c r="R6" s="10"/>
    </row>
    <row r="7" spans="1:18" ht="14.25" customHeight="1" x14ac:dyDescent="0.25">
      <c r="A7" s="79" t="s">
        <v>130</v>
      </c>
      <c r="B7" s="77"/>
      <c r="C7" s="77"/>
      <c r="D7" s="80" t="str">
        <f>IF(OutData!CB2=0,"---",OutData!CB2)</f>
        <v>898185386</v>
      </c>
      <c r="E7" s="81"/>
      <c r="F7" s="81"/>
      <c r="G7" s="65"/>
      <c r="H7" s="65"/>
      <c r="I7" s="60"/>
      <c r="J7" s="98"/>
      <c r="K7" s="78" t="s">
        <v>0</v>
      </c>
      <c r="L7" s="78"/>
      <c r="M7" s="78"/>
      <c r="N7" s="140" t="str">
        <f>IF(OutData!BN2=0,"---",OutData!BN2)</f>
        <v>CASE</v>
      </c>
      <c r="O7" s="96"/>
      <c r="P7" s="99"/>
      <c r="R7" s="10"/>
    </row>
    <row r="8" spans="1:18" ht="14.25" customHeight="1" x14ac:dyDescent="0.25">
      <c r="A8" s="79" t="s">
        <v>175</v>
      </c>
      <c r="B8" s="77"/>
      <c r="C8" s="77"/>
      <c r="D8" s="279" t="str">
        <f>IF(OutData!CD2=0,"---",OutData!CD2)</f>
        <v>Sub 898213340 000283</v>
      </c>
      <c r="E8" s="81"/>
      <c r="F8" s="81"/>
      <c r="G8" s="65"/>
      <c r="H8" s="65"/>
      <c r="I8" s="65"/>
      <c r="J8" s="98"/>
      <c r="K8" s="78" t="s">
        <v>2</v>
      </c>
      <c r="L8" s="78"/>
      <c r="M8" s="78"/>
      <c r="N8" s="117" t="str">
        <f>IF(OutData!BO2=1999,"",OutData!BO2)</f>
        <v>CX145</v>
      </c>
      <c r="O8" s="90"/>
      <c r="P8" s="97"/>
      <c r="R8" s="10"/>
    </row>
    <row r="9" spans="1:18" ht="14.25" customHeight="1" x14ac:dyDescent="0.25">
      <c r="A9" s="82" t="s">
        <v>174</v>
      </c>
      <c r="B9" s="77"/>
      <c r="C9" s="72"/>
      <c r="D9" s="72"/>
      <c r="E9" s="72"/>
      <c r="F9" s="72"/>
      <c r="G9" s="57"/>
      <c r="H9" s="57"/>
      <c r="J9" s="95"/>
      <c r="K9" s="78" t="s">
        <v>1</v>
      </c>
      <c r="L9" s="78"/>
      <c r="M9" s="90"/>
      <c r="N9" s="81">
        <f>IF(OutData!BP2=0,"---",OutData!BP2)</f>
        <v>2000</v>
      </c>
      <c r="O9" s="80"/>
      <c r="P9" s="97"/>
      <c r="R9" s="10"/>
    </row>
    <row r="10" spans="1:18" ht="14.25" customHeight="1" x14ac:dyDescent="0.25">
      <c r="A10" s="79" t="s">
        <v>132</v>
      </c>
      <c r="B10" s="83"/>
      <c r="C10" s="83"/>
      <c r="D10" s="84" t="str">
        <f>IF(OutData!BR2=-1,"",OutData!BR2)</f>
        <v/>
      </c>
      <c r="E10" s="85" t="s">
        <v>133</v>
      </c>
      <c r="F10" s="241" t="str">
        <f>IF(OutData!BS2=-1,"",OutData!BS2)</f>
        <v/>
      </c>
      <c r="G10" s="65"/>
      <c r="H10" s="65"/>
      <c r="J10" s="249" t="s">
        <v>205</v>
      </c>
      <c r="K10" s="250"/>
      <c r="L10" s="250"/>
      <c r="M10" s="250"/>
      <c r="N10" s="261" t="str">
        <f>IF(OutData!BM2=0,"",OutData!BM2)</f>
        <v/>
      </c>
      <c r="O10" s="80"/>
      <c r="P10" s="97"/>
      <c r="R10" s="10"/>
    </row>
    <row r="11" spans="1:18" ht="14.25" customHeight="1" x14ac:dyDescent="0.25">
      <c r="A11" s="82" t="s">
        <v>131</v>
      </c>
      <c r="B11" s="73"/>
      <c r="C11" s="83"/>
      <c r="D11" s="83"/>
      <c r="E11" s="83"/>
      <c r="F11" s="86"/>
      <c r="J11" s="95" t="s">
        <v>206</v>
      </c>
      <c r="K11" s="78"/>
      <c r="L11" s="78"/>
      <c r="M11" s="77"/>
      <c r="N11" s="101" t="str">
        <f>IF(OutData!BL2=0,"---",OutData!BL2)</f>
        <v>50001250-2</v>
      </c>
      <c r="O11" s="80"/>
      <c r="P11" s="97"/>
      <c r="R11" s="10"/>
    </row>
    <row r="12" spans="1:18" ht="14.25" customHeight="1" x14ac:dyDescent="0.25">
      <c r="A12" s="87" t="str">
        <f>OutData!AR2</f>
        <v>Eagle Power &amp; Equipment</v>
      </c>
      <c r="B12" s="77"/>
      <c r="C12" s="72"/>
      <c r="D12" s="72"/>
      <c r="F12" s="72"/>
      <c r="G12" s="57"/>
      <c r="H12" s="57"/>
      <c r="I12" s="57"/>
      <c r="J12" s="95" t="s">
        <v>132</v>
      </c>
      <c r="K12" s="78"/>
      <c r="L12" s="78"/>
      <c r="M12" s="193"/>
      <c r="N12" s="270" t="str">
        <f>IF(OutData!AM2&gt;0,OutData!AM2,"")</f>
        <v/>
      </c>
      <c r="O12" s="271" t="s">
        <v>133</v>
      </c>
      <c r="P12" s="272">
        <f>IF(OutData!AO2&gt;0,OutData!AO2,"")</f>
        <v>6000</v>
      </c>
      <c r="R12" s="10"/>
    </row>
    <row r="13" spans="1:18" ht="15.75" customHeight="1" x14ac:dyDescent="0.25">
      <c r="A13" s="79" t="str">
        <f>IF(OutData!AY2=OutData!AR2,"",OutData!AY2)</f>
        <v/>
      </c>
      <c r="B13" s="77"/>
      <c r="C13" s="88"/>
      <c r="D13" s="88"/>
      <c r="E13" s="88"/>
      <c r="F13" s="88"/>
      <c r="G13" s="66"/>
      <c r="H13" s="66"/>
      <c r="I13" s="66"/>
      <c r="J13" s="194" t="s">
        <v>240</v>
      </c>
      <c r="K13" s="20"/>
      <c r="L13" s="20"/>
      <c r="M13" s="20"/>
      <c r="N13" s="242" t="str">
        <f>IF(OutData!AN2=0,"",OutData!AN2)</f>
        <v/>
      </c>
      <c r="O13" s="104" t="s">
        <v>133</v>
      </c>
      <c r="P13" s="22" t="str">
        <f>IF(OutData!AP2=0,"",OutData!AP2)</f>
        <v/>
      </c>
      <c r="Q13" s="10"/>
      <c r="R13" s="10"/>
    </row>
    <row r="14" spans="1:18" ht="7.35" customHeight="1" x14ac:dyDescent="0.25">
      <c r="A14" s="79"/>
      <c r="B14" s="77"/>
      <c r="C14" s="88"/>
      <c r="D14" s="88"/>
      <c r="E14" s="88"/>
      <c r="F14" s="88"/>
      <c r="G14" s="66"/>
      <c r="H14" s="66"/>
      <c r="I14" s="66"/>
      <c r="J14" s="251"/>
      <c r="K14" s="10"/>
      <c r="L14" s="10"/>
      <c r="M14" s="10"/>
      <c r="N14" s="252"/>
      <c r="O14" s="161"/>
      <c r="P14" s="10"/>
      <c r="Q14" s="10"/>
      <c r="R14" s="10"/>
    </row>
    <row r="15" spans="1:18" ht="14.25" customHeight="1" x14ac:dyDescent="0.25">
      <c r="A15" s="253" t="s">
        <v>155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54"/>
      <c r="P15" s="254"/>
      <c r="Q15" s="10"/>
      <c r="R15" s="10"/>
    </row>
    <row r="16" spans="1:18" ht="14.25" customHeight="1" x14ac:dyDescent="0.25">
      <c r="A16" s="92" t="s">
        <v>190</v>
      </c>
      <c r="B16" s="93"/>
      <c r="C16" s="93"/>
      <c r="D16" s="93"/>
      <c r="E16" s="7"/>
      <c r="F16" s="7"/>
      <c r="G16" s="7"/>
      <c r="H16" s="7"/>
      <c r="I16" s="7"/>
      <c r="J16" s="258" t="s">
        <v>154</v>
      </c>
      <c r="K16" s="93"/>
      <c r="L16" s="93"/>
      <c r="M16" s="141"/>
      <c r="N16" s="93"/>
      <c r="O16" s="259"/>
      <c r="P16" s="262"/>
      <c r="Q16" s="10"/>
      <c r="R16" s="10"/>
    </row>
    <row r="17" spans="1:24" ht="14.25" customHeight="1" x14ac:dyDescent="0.25">
      <c r="A17" s="108" t="str">
        <f>IF(OutData!AE2=TRUE,"x","")</f>
        <v/>
      </c>
      <c r="B17" s="90" t="s">
        <v>145</v>
      </c>
      <c r="C17" s="90"/>
      <c r="D17" s="78"/>
      <c r="E17" s="10"/>
      <c r="F17" s="10"/>
      <c r="G17" s="10"/>
      <c r="H17" s="10"/>
      <c r="I17" s="10"/>
      <c r="J17" s="106" t="str">
        <f>IF(OutData!AI2=TRUE,"x","")</f>
        <v/>
      </c>
      <c r="K17" s="90" t="s">
        <v>138</v>
      </c>
      <c r="L17" s="78"/>
      <c r="M17" s="106"/>
      <c r="N17" s="78"/>
      <c r="O17" s="62"/>
      <c r="P17" s="263"/>
      <c r="Q17" s="10"/>
      <c r="R17" s="10"/>
    </row>
    <row r="18" spans="1:24" ht="14.25" customHeight="1" x14ac:dyDescent="0.25">
      <c r="A18" s="109" t="str">
        <f>IF(OutData!AF2=TRUE,"x","")</f>
        <v>x</v>
      </c>
      <c r="B18" s="90" t="s">
        <v>147</v>
      </c>
      <c r="C18" s="90"/>
      <c r="D18" s="78"/>
      <c r="E18" s="10"/>
      <c r="F18" s="10"/>
      <c r="G18" s="10"/>
      <c r="H18" s="10"/>
      <c r="I18" s="10"/>
      <c r="J18" s="110" t="str">
        <f>IF(OutData!AJ2=TRUE,"x","")</f>
        <v/>
      </c>
      <c r="K18" s="90" t="s">
        <v>140</v>
      </c>
      <c r="L18" s="78"/>
      <c r="M18" s="106"/>
      <c r="N18" s="78" t="s">
        <v>126</v>
      </c>
      <c r="O18" s="62"/>
      <c r="P18" s="263"/>
      <c r="Q18" s="10"/>
      <c r="R18" s="10"/>
    </row>
    <row r="19" spans="1:24" ht="14.25" customHeight="1" x14ac:dyDescent="0.25">
      <c r="A19" s="109" t="str">
        <f>IF(OutData!AG2=TRUE,"x","")</f>
        <v/>
      </c>
      <c r="B19" s="90" t="s">
        <v>149</v>
      </c>
      <c r="C19" s="90"/>
      <c r="D19" s="78"/>
      <c r="E19" s="10"/>
      <c r="F19" s="10"/>
      <c r="G19" s="10"/>
      <c r="H19" s="10"/>
      <c r="I19" s="10"/>
      <c r="J19" s="110" t="str">
        <f>IF(OutData!AK2=TRUE,"x","")</f>
        <v/>
      </c>
      <c r="K19" s="90" t="s">
        <v>142</v>
      </c>
      <c r="L19" s="78"/>
      <c r="M19" s="106"/>
      <c r="N19" s="78" t="s">
        <v>126</v>
      </c>
      <c r="O19" s="62"/>
      <c r="P19" s="263"/>
      <c r="Q19" s="10"/>
      <c r="R19" s="10"/>
    </row>
    <row r="20" spans="1:24" ht="14.25" customHeight="1" x14ac:dyDescent="0.25">
      <c r="A20" s="257" t="str">
        <f>IF(OutData!AH2=0,"","x")</f>
        <v/>
      </c>
      <c r="B20" s="111" t="s">
        <v>144</v>
      </c>
      <c r="C20" s="114" t="str">
        <f>IF(OutData!AH2=0,"",OutData!AH2)</f>
        <v/>
      </c>
      <c r="D20" s="103"/>
      <c r="E20" s="20"/>
      <c r="F20" s="20"/>
      <c r="G20" s="20"/>
      <c r="H20" s="20"/>
      <c r="I20" s="20"/>
      <c r="J20" s="304" t="str">
        <f>IF(OutData!AL2=0,"","x")</f>
        <v>x</v>
      </c>
      <c r="K20" s="111" t="s">
        <v>144</v>
      </c>
      <c r="L20" s="305" t="str">
        <f>IF(OutData!AL2=0,"",OutData!AL2)</f>
        <v>Non-Road / Off-Road</v>
      </c>
      <c r="M20" s="112"/>
      <c r="N20" s="103"/>
      <c r="O20" s="254"/>
      <c r="P20" s="264"/>
      <c r="Q20" s="10"/>
      <c r="R20" s="10"/>
    </row>
    <row r="21" spans="1:24" ht="7.35" customHeight="1" x14ac:dyDescent="0.25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83"/>
      <c r="P21" s="77"/>
      <c r="Q21" s="10"/>
      <c r="R21" s="10"/>
    </row>
    <row r="22" spans="1:24" ht="14.25" customHeight="1" x14ac:dyDescent="0.25">
      <c r="A22" s="255" t="s">
        <v>244</v>
      </c>
      <c r="B22" s="123"/>
      <c r="C22" s="123"/>
      <c r="D22" s="123"/>
      <c r="E22" s="123"/>
      <c r="F22" s="123"/>
      <c r="G22" s="123"/>
      <c r="H22" s="123"/>
      <c r="I22" s="103"/>
      <c r="J22" s="103"/>
      <c r="K22" s="123"/>
      <c r="L22" s="123"/>
      <c r="M22" s="123"/>
      <c r="N22" s="123"/>
      <c r="O22" s="190"/>
      <c r="P22" s="123"/>
      <c r="Q22" s="10"/>
      <c r="R22" s="10"/>
    </row>
    <row r="23" spans="1:24" ht="14.25" customHeight="1" x14ac:dyDescent="0.25">
      <c r="A23" s="116" t="s">
        <v>196</v>
      </c>
      <c r="B23" s="89"/>
      <c r="C23" s="89"/>
      <c r="D23" s="89"/>
      <c r="E23" s="89"/>
      <c r="F23" s="89"/>
      <c r="G23" s="117" t="s">
        <v>126</v>
      </c>
      <c r="H23" s="117"/>
      <c r="I23" s="78"/>
      <c r="J23" s="107" t="s">
        <v>197</v>
      </c>
      <c r="K23" s="89"/>
      <c r="L23" s="89"/>
      <c r="M23" s="89"/>
      <c r="N23" s="89"/>
      <c r="O23" s="89"/>
      <c r="P23" s="118"/>
      <c r="Q23" s="10"/>
      <c r="X23" s="61"/>
    </row>
    <row r="24" spans="1:24" ht="14.25" customHeight="1" x14ac:dyDescent="0.25">
      <c r="A24" s="95" t="s">
        <v>241</v>
      </c>
      <c r="B24" s="78"/>
      <c r="C24" s="89"/>
      <c r="D24" s="89"/>
      <c r="E24" s="89"/>
      <c r="F24" s="119"/>
      <c r="G24" s="120"/>
      <c r="H24" s="120"/>
      <c r="I24" s="78"/>
      <c r="J24" s="117" t="s">
        <v>134</v>
      </c>
      <c r="K24" s="89"/>
      <c r="L24" s="89"/>
      <c r="M24" s="89"/>
      <c r="N24" s="140" t="str">
        <f>OutData!CK2</f>
        <v>Medium</v>
      </c>
      <c r="O24" s="96"/>
      <c r="P24" s="118"/>
      <c r="Q24" s="10"/>
      <c r="X24" s="61"/>
    </row>
    <row r="25" spans="1:24" ht="14.25" customHeight="1" x14ac:dyDescent="0.25">
      <c r="A25" s="149" t="s">
        <v>245</v>
      </c>
      <c r="B25" s="78"/>
      <c r="C25" s="89"/>
      <c r="D25" s="89"/>
      <c r="E25" s="120">
        <f>IF(OutData!CW2=0,"",OutData!CW2)</f>
        <v>6.625</v>
      </c>
      <c r="F25" s="122" t="s">
        <v>186</v>
      </c>
      <c r="I25" s="78"/>
      <c r="J25" s="117" t="s">
        <v>135</v>
      </c>
      <c r="K25" s="89"/>
      <c r="L25" s="89"/>
      <c r="M25" s="89"/>
      <c r="N25" s="81" t="str">
        <f>OutData!CI2</f>
        <v>Light</v>
      </c>
      <c r="O25" s="80"/>
      <c r="P25" s="68"/>
      <c r="Q25" s="10"/>
      <c r="X25" s="61"/>
    </row>
    <row r="26" spans="1:24" ht="14.25" customHeight="1" x14ac:dyDescent="0.25">
      <c r="A26" s="149" t="s">
        <v>242</v>
      </c>
      <c r="B26" s="78"/>
      <c r="C26" s="89"/>
      <c r="D26" s="89"/>
      <c r="E26" s="135">
        <f>IF(OutData!K2=0,"",OutData!K2)</f>
        <v>4.5</v>
      </c>
      <c r="F26" s="122" t="s">
        <v>186</v>
      </c>
      <c r="I26" s="78"/>
      <c r="J26" s="147" t="s">
        <v>177</v>
      </c>
      <c r="K26" s="89"/>
      <c r="L26" s="89"/>
      <c r="M26" s="89"/>
      <c r="N26" s="81" t="str">
        <f>OutData!CJ2</f>
        <v>Reddish Purple</v>
      </c>
      <c r="O26" s="80"/>
      <c r="P26" s="68"/>
      <c r="Q26" s="10"/>
      <c r="X26" s="61"/>
    </row>
    <row r="27" spans="1:24" ht="14.25" customHeight="1" x14ac:dyDescent="0.25">
      <c r="A27" s="95" t="s">
        <v>178</v>
      </c>
      <c r="B27" s="78"/>
      <c r="C27" s="89"/>
      <c r="D27" s="89"/>
      <c r="E27" s="81" t="str">
        <f>OutData!CO2</f>
        <v>&lt;15</v>
      </c>
      <c r="G27" s="117"/>
      <c r="H27" s="117"/>
      <c r="I27" s="78"/>
      <c r="J27" s="117" t="s">
        <v>136</v>
      </c>
      <c r="K27" s="89"/>
      <c r="L27" s="89"/>
      <c r="M27" s="89"/>
      <c r="N27" s="275" t="str">
        <f>OutData!CL2</f>
        <v>Reddish Purple</v>
      </c>
      <c r="O27" s="276"/>
      <c r="P27" s="121"/>
      <c r="X27" s="61"/>
    </row>
    <row r="28" spans="1:24" ht="14.25" customHeight="1" x14ac:dyDescent="0.25">
      <c r="A28" s="95" t="s">
        <v>157</v>
      </c>
      <c r="B28" s="78"/>
      <c r="C28" s="90"/>
      <c r="D28" s="90"/>
      <c r="E28" s="81" t="str">
        <f>OutData!CN2</f>
        <v>None</v>
      </c>
      <c r="G28" s="117"/>
      <c r="H28" s="117"/>
      <c r="I28" s="78"/>
      <c r="J28" s="127" t="s">
        <v>191</v>
      </c>
      <c r="K28" s="78"/>
      <c r="L28" s="90"/>
      <c r="M28" s="90"/>
      <c r="N28" s="96" t="str">
        <f>OutData!BX2</f>
        <v>Cordierite (ceramic)</v>
      </c>
      <c r="O28" s="71"/>
      <c r="P28" s="121"/>
      <c r="Q28" s="10"/>
      <c r="X28" s="61"/>
    </row>
    <row r="29" spans="1:24" ht="14.25" customHeight="1" x14ac:dyDescent="0.25">
      <c r="A29" s="95" t="s">
        <v>246</v>
      </c>
      <c r="B29" s="89"/>
      <c r="C29" s="89"/>
      <c r="D29" s="89"/>
      <c r="E29" s="81" t="s">
        <v>93</v>
      </c>
      <c r="F29" s="131"/>
      <c r="I29" s="78"/>
      <c r="J29" s="117" t="s">
        <v>192</v>
      </c>
      <c r="K29" s="78"/>
      <c r="L29" s="78"/>
      <c r="M29" s="78"/>
      <c r="N29" s="120">
        <f>OutData!CH2</f>
        <v>7</v>
      </c>
      <c r="O29" s="90" t="s">
        <v>186</v>
      </c>
      <c r="P29" s="121"/>
      <c r="Q29" s="10"/>
    </row>
    <row r="30" spans="1:24" ht="14.25" customHeight="1" x14ac:dyDescent="0.25">
      <c r="A30" s="150" t="s">
        <v>247</v>
      </c>
      <c r="B30" s="124"/>
      <c r="C30" s="125"/>
      <c r="D30" s="89"/>
      <c r="E30" s="117" t="s">
        <v>93</v>
      </c>
      <c r="F30" s="89"/>
      <c r="I30" s="78"/>
      <c r="J30" s="78"/>
      <c r="K30" s="78"/>
      <c r="L30" s="147" t="s">
        <v>193</v>
      </c>
      <c r="M30" s="78"/>
      <c r="N30" s="265">
        <f>(3.14*(OutData!CF2/2)^2*OutData!CH2)*(2.54/1)^3*(1/1000)</f>
        <v>5.0651390632500002</v>
      </c>
      <c r="O30" s="100" t="s">
        <v>195</v>
      </c>
      <c r="P30" s="121"/>
      <c r="Q30" s="10"/>
    </row>
    <row r="31" spans="1:24" ht="7.35" customHeight="1" x14ac:dyDescent="0.25">
      <c r="A31" s="7"/>
      <c r="B31" s="7"/>
      <c r="C31" s="7"/>
      <c r="D31" s="7"/>
      <c r="E31" s="7"/>
      <c r="F31" s="7"/>
      <c r="G31" s="7"/>
      <c r="H31" s="7"/>
      <c r="I31" s="93"/>
      <c r="J31" s="93"/>
      <c r="K31" s="7"/>
      <c r="L31" s="7"/>
      <c r="M31" s="7"/>
      <c r="N31" s="115"/>
      <c r="O31" s="136"/>
      <c r="P31" s="137"/>
      <c r="Q31" s="10"/>
    </row>
    <row r="32" spans="1:24" ht="14.25" customHeight="1" x14ac:dyDescent="0.25">
      <c r="A32" s="256" t="s">
        <v>198</v>
      </c>
      <c r="B32" s="103"/>
      <c r="C32" s="103"/>
      <c r="D32" s="11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  <row r="33" spans="1:20" ht="14.25" customHeight="1" x14ac:dyDescent="0.25">
      <c r="A33" s="105" t="s">
        <v>146</v>
      </c>
      <c r="B33" s="78"/>
      <c r="C33" s="78"/>
      <c r="D33" s="78"/>
      <c r="E33" s="78"/>
      <c r="F33" s="78"/>
      <c r="G33" s="78"/>
      <c r="H33" s="78"/>
      <c r="I33" s="78"/>
      <c r="J33" s="138" t="s">
        <v>152</v>
      </c>
      <c r="K33" s="78"/>
      <c r="L33" s="78"/>
      <c r="M33" s="78"/>
      <c r="N33" s="78"/>
      <c r="O33" s="78"/>
      <c r="P33" s="97"/>
      <c r="Q33" s="63" t="s">
        <v>224</v>
      </c>
    </row>
    <row r="34" spans="1:20" ht="14.25" customHeight="1" x14ac:dyDescent="0.25">
      <c r="A34" s="95" t="s">
        <v>237</v>
      </c>
      <c r="B34" s="78"/>
      <c r="C34" s="78"/>
      <c r="D34" s="78"/>
      <c r="E34" s="266" t="str">
        <f>IF(QAProcess!I18=0,"",QAProcess!I18)</f>
        <v/>
      </c>
      <c r="F34" s="78" t="s">
        <v>110</v>
      </c>
      <c r="G34" s="77"/>
      <c r="H34" s="77"/>
      <c r="I34" s="78"/>
      <c r="J34" s="127" t="s">
        <v>236</v>
      </c>
      <c r="K34" s="78"/>
      <c r="L34" s="78"/>
      <c r="M34" s="78"/>
      <c r="N34" s="173">
        <f>'Flow Chart'!G32</f>
        <v>0.38000000000000078</v>
      </c>
      <c r="O34" s="78" t="s">
        <v>156</v>
      </c>
      <c r="P34" s="99"/>
      <c r="Q34" s="183" t="s">
        <v>222</v>
      </c>
      <c r="R34" s="7"/>
      <c r="S34" s="293" t="s">
        <v>229</v>
      </c>
      <c r="T34" s="294"/>
    </row>
    <row r="35" spans="1:20" ht="14.25" customHeight="1" x14ac:dyDescent="0.25">
      <c r="A35" s="95" t="s">
        <v>238</v>
      </c>
      <c r="B35" s="78"/>
      <c r="C35" s="78"/>
      <c r="D35" s="78"/>
      <c r="E35" s="267">
        <f>IF(QAProcess!I52=0,"",QAProcess!I52)</f>
        <v>6.4250523258010006E-2</v>
      </c>
      <c r="F35" s="78" t="s">
        <v>110</v>
      </c>
      <c r="G35" s="77"/>
      <c r="H35" s="77"/>
      <c r="I35" s="78"/>
      <c r="J35" s="78"/>
      <c r="K35" s="78"/>
      <c r="L35" s="78"/>
      <c r="M35" s="78"/>
      <c r="N35" s="148">
        <f>'Flow Chart'!H32</f>
        <v>34.030075786663751</v>
      </c>
      <c r="O35" s="78" t="s">
        <v>183</v>
      </c>
      <c r="P35" s="99"/>
      <c r="Q35" s="184" t="s">
        <v>228</v>
      </c>
      <c r="R35" s="10" t="s">
        <v>223</v>
      </c>
      <c r="S35" s="165" t="s">
        <v>156</v>
      </c>
      <c r="T35" s="68" t="s">
        <v>181</v>
      </c>
    </row>
    <row r="36" spans="1:20" ht="14.25" customHeight="1" x14ac:dyDescent="0.25">
      <c r="A36" s="95" t="s">
        <v>180</v>
      </c>
      <c r="B36" s="78"/>
      <c r="C36" s="78"/>
      <c r="D36" s="78"/>
      <c r="E36" s="268" t="str">
        <f>IF('Flow Chart'!K32=0,"",'Flow Chart'!K32)</f>
        <v/>
      </c>
      <c r="F36" s="78"/>
      <c r="G36" s="77"/>
      <c r="H36" s="77"/>
      <c r="I36" s="78"/>
      <c r="J36" s="117" t="s">
        <v>219</v>
      </c>
      <c r="K36" s="78"/>
      <c r="L36" s="78"/>
      <c r="M36" s="78"/>
      <c r="N36" s="128" t="str">
        <f>IF(S36=0,"",S36)</f>
        <v/>
      </c>
      <c r="O36" s="78" t="s">
        <v>156</v>
      </c>
      <c r="P36" s="97"/>
      <c r="Q36" s="185" t="s">
        <v>221</v>
      </c>
      <c r="R36" s="28">
        <f>IF(OutData!AN2,((OutData!AM2-OutData!BR2)/OutData!AN2),0)</f>
        <v>0</v>
      </c>
      <c r="S36" s="188">
        <f>((R36+R37)*1000*0.0003*3.3*0.01)/453.6</f>
        <v>0</v>
      </c>
      <c r="T36" s="14">
        <f>S36*453.6/N30</f>
        <v>0</v>
      </c>
    </row>
    <row r="37" spans="1:20" ht="14.25" customHeight="1" x14ac:dyDescent="0.25">
      <c r="A37" s="95" t="s">
        <v>239</v>
      </c>
      <c r="B37" s="78"/>
      <c r="C37" s="78"/>
      <c r="D37" s="78"/>
      <c r="E37" s="119"/>
      <c r="F37" s="78" t="s">
        <v>110</v>
      </c>
      <c r="G37" s="77"/>
      <c r="H37" s="77"/>
      <c r="I37" s="78"/>
      <c r="J37" s="100" t="s">
        <v>227</v>
      </c>
      <c r="K37" s="78"/>
      <c r="L37" s="78"/>
      <c r="M37" s="78"/>
      <c r="N37" s="129" t="str">
        <f>IF(T36=0,"",T36)</f>
        <v/>
      </c>
      <c r="O37" s="78" t="s">
        <v>183</v>
      </c>
      <c r="P37" s="97"/>
      <c r="Q37" s="184" t="s">
        <v>220</v>
      </c>
      <c r="R37" s="165">
        <f>IF(OutData!AP2,((OutData!AO2-OutData!BS2)/OutData!AP2),0)</f>
        <v>0</v>
      </c>
      <c r="S37" s="10"/>
      <c r="T37" s="14"/>
    </row>
    <row r="38" spans="1:20" ht="14.25" customHeight="1" x14ac:dyDescent="0.25">
      <c r="A38" s="95" t="s">
        <v>179</v>
      </c>
      <c r="B38" s="78"/>
      <c r="C38" s="78"/>
      <c r="D38" s="78"/>
      <c r="E38" s="268" t="str">
        <f>IF(S40=0,"",S40)</f>
        <v/>
      </c>
      <c r="F38" s="78"/>
      <c r="G38" s="77"/>
      <c r="H38" s="77"/>
      <c r="I38" s="78"/>
      <c r="J38" s="134" t="s">
        <v>243</v>
      </c>
      <c r="K38" s="78"/>
      <c r="L38" s="78"/>
      <c r="M38" s="78"/>
      <c r="N38" s="266" t="str">
        <f>IF(OutData!DA2=TRUE,"Pass","Fail")</f>
        <v>Pass</v>
      </c>
      <c r="O38" s="130" t="s">
        <v>187</v>
      </c>
      <c r="P38" s="97"/>
      <c r="Q38" s="187"/>
      <c r="R38" s="10"/>
      <c r="S38" s="10"/>
      <c r="T38" s="14"/>
    </row>
    <row r="39" spans="1:20" ht="9" customHeight="1" x14ac:dyDescent="0.25">
      <c r="A39" s="95"/>
      <c r="B39" s="78"/>
      <c r="C39" s="78"/>
      <c r="D39" s="78"/>
      <c r="E39" s="78"/>
      <c r="F39" s="78"/>
      <c r="G39" s="77"/>
      <c r="H39" s="77"/>
      <c r="I39" s="78"/>
      <c r="J39" s="78"/>
      <c r="K39" s="78"/>
      <c r="L39" s="78"/>
      <c r="M39" s="78"/>
      <c r="N39" s="142"/>
      <c r="O39" s="130"/>
      <c r="P39" s="97"/>
      <c r="Q39" s="187"/>
      <c r="R39" s="10"/>
      <c r="S39" s="10"/>
      <c r="T39" s="14"/>
    </row>
    <row r="40" spans="1:20" ht="14.25" customHeight="1" x14ac:dyDescent="0.25">
      <c r="A40" s="126" t="s">
        <v>137</v>
      </c>
      <c r="B40" s="78"/>
      <c r="C40" s="78"/>
      <c r="D40" s="78"/>
      <c r="E40" s="78"/>
      <c r="F40" s="78"/>
      <c r="G40" s="90" t="s">
        <v>126</v>
      </c>
      <c r="H40" s="90"/>
      <c r="I40" s="78"/>
      <c r="J40" s="152" t="s">
        <v>200</v>
      </c>
      <c r="N40" s="132" t="str">
        <f>OutData!CM2</f>
        <v>Good</v>
      </c>
      <c r="P40" s="151"/>
      <c r="Q40" s="186" t="s">
        <v>179</v>
      </c>
      <c r="R40" s="10"/>
      <c r="S40" s="189">
        <f>IF(E37,((E35-E37)/E37),0)</f>
        <v>0</v>
      </c>
      <c r="T40" s="22" t="s">
        <v>182</v>
      </c>
    </row>
    <row r="41" spans="1:20" ht="14.25" customHeight="1" x14ac:dyDescent="0.25">
      <c r="A41" s="139" t="str">
        <f>IF(OutData!CT2=TRUE,"x","")</f>
        <v>x</v>
      </c>
      <c r="B41" s="90" t="s">
        <v>143</v>
      </c>
      <c r="C41" s="78"/>
      <c r="D41" s="106"/>
      <c r="E41" s="78"/>
      <c r="F41" s="266" t="str">
        <f>IF(OutData!CU2=TRUE,"x","")</f>
        <v/>
      </c>
      <c r="G41" s="90" t="s">
        <v>139</v>
      </c>
      <c r="H41" s="90"/>
      <c r="I41" s="78"/>
      <c r="L41" s="78" t="s">
        <v>194</v>
      </c>
      <c r="M41" s="78"/>
      <c r="N41" s="78"/>
      <c r="O41" s="99"/>
      <c r="P41" s="97"/>
      <c r="Q41" s="7"/>
      <c r="R41" s="7"/>
      <c r="S41" s="7"/>
      <c r="T41" s="7"/>
    </row>
    <row r="42" spans="1:20" ht="14.25" customHeight="1" x14ac:dyDescent="0.25">
      <c r="A42" s="102" t="str">
        <f>IF(OutData!CS2=TRUE,"x","")</f>
        <v/>
      </c>
      <c r="B42" s="111" t="s">
        <v>141</v>
      </c>
      <c r="C42" s="103"/>
      <c r="D42" s="113"/>
      <c r="E42" s="103"/>
      <c r="F42" s="190" t="str">
        <f>IF(OutData!CV2=0,"","x")</f>
        <v/>
      </c>
      <c r="G42" s="111" t="s">
        <v>144</v>
      </c>
      <c r="H42" s="192" t="str">
        <f>IF(OutData!CV2=0,"",OutData!CV2)</f>
        <v/>
      </c>
      <c r="I42" s="20"/>
      <c r="J42" s="113"/>
      <c r="K42" s="103"/>
      <c r="L42" s="113"/>
      <c r="M42" s="20"/>
      <c r="N42" s="20"/>
      <c r="O42" s="20"/>
      <c r="P42" s="20"/>
    </row>
    <row r="43" spans="1:20" ht="7.35" customHeight="1" x14ac:dyDescent="0.25"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78"/>
      <c r="N43" s="10"/>
      <c r="O43" s="78"/>
      <c r="P43" s="78"/>
    </row>
    <row r="44" spans="1:20" ht="14.25" customHeight="1" x14ac:dyDescent="0.25">
      <c r="A44" s="269" t="s">
        <v>184</v>
      </c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78"/>
      <c r="N44" s="10"/>
      <c r="O44" s="78"/>
      <c r="P44" s="78"/>
    </row>
    <row r="45" spans="1:20" ht="14.25" customHeight="1" x14ac:dyDescent="0.25">
      <c r="A45" s="146"/>
      <c r="B45" s="7"/>
      <c r="C45" s="285" t="str">
        <f>OutData!CZ4</f>
        <v>The DPF ceramic substrate is in good structural condition. Less than 5 breached channels indicates minimal degradation due to excessive high substrate temperature.  Removed 0.38 lbs of soot and lube ash using a combination of pneumatic air cleaning, catalyst wash, and kiln baking.  The DPF is clean and ready for re-use.</v>
      </c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  <c r="P45" s="287"/>
    </row>
    <row r="46" spans="1:20" ht="14.25" customHeight="1" x14ac:dyDescent="0.25">
      <c r="A46" s="143"/>
      <c r="B46" s="273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9"/>
    </row>
    <row r="47" spans="1:20" ht="14.25" customHeight="1" x14ac:dyDescent="0.25">
      <c r="A47" s="143"/>
      <c r="B47" s="273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9"/>
    </row>
    <row r="48" spans="1:20" ht="14.25" customHeight="1" x14ac:dyDescent="0.25">
      <c r="A48" s="143"/>
      <c r="B48" s="273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9"/>
    </row>
    <row r="49" spans="1:16" ht="8.1" customHeight="1" x14ac:dyDescent="0.25">
      <c r="A49" s="145"/>
      <c r="B49" s="274"/>
      <c r="C49" s="290"/>
      <c r="D49" s="290"/>
      <c r="E49" s="290"/>
      <c r="F49" s="290"/>
      <c r="G49" s="290"/>
      <c r="H49" s="290"/>
      <c r="I49" s="290"/>
      <c r="J49" s="290"/>
      <c r="K49" s="290"/>
      <c r="L49" s="290"/>
      <c r="M49" s="290"/>
      <c r="N49" s="290"/>
      <c r="O49" s="290"/>
      <c r="P49" s="291"/>
    </row>
    <row r="50" spans="1:16" ht="7.35" customHeight="1" x14ac:dyDescent="0.25">
      <c r="A50" s="144"/>
      <c r="B50" s="144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</row>
    <row r="51" spans="1:16" ht="14.25" customHeight="1" x14ac:dyDescent="0.25">
      <c r="A51" s="89" t="s">
        <v>188</v>
      </c>
      <c r="B51" s="89"/>
      <c r="C51" s="89"/>
      <c r="D51" s="89"/>
      <c r="E51" s="89"/>
      <c r="F51" s="89"/>
      <c r="G51" s="89"/>
      <c r="H51" s="89"/>
      <c r="I51" s="89"/>
      <c r="J51" s="283"/>
      <c r="K51" s="292"/>
      <c r="L51" s="117" t="s">
        <v>158</v>
      </c>
      <c r="M51" s="72"/>
      <c r="N51" s="153">
        <v>3500</v>
      </c>
      <c r="O51" s="117" t="s">
        <v>153</v>
      </c>
      <c r="P51" s="77"/>
    </row>
    <row r="52" spans="1:16" ht="14.25" customHeight="1" x14ac:dyDescent="0.25">
      <c r="A52" s="89" t="s">
        <v>189</v>
      </c>
      <c r="B52" s="89"/>
      <c r="C52" s="89"/>
      <c r="D52" s="89"/>
      <c r="E52" s="89"/>
      <c r="F52" s="89"/>
      <c r="G52" s="89"/>
      <c r="H52" s="89"/>
      <c r="I52" s="89"/>
      <c r="J52" s="283" t="str">
        <f>IF(N12="","",N12+J51)</f>
        <v/>
      </c>
      <c r="K52" s="284" t="str">
        <f>IF(OutData!AK34=0,"",OutData!AK34)</f>
        <v/>
      </c>
      <c r="L52" s="117" t="s">
        <v>158</v>
      </c>
      <c r="M52" s="72"/>
      <c r="N52" s="281">
        <f>IF(P12="","",P12+N51)</f>
        <v>9500</v>
      </c>
      <c r="O52" s="117" t="str">
        <f>IF(OutData!AO34=0,"",OutData!AO34)</f>
        <v/>
      </c>
      <c r="P52" s="77"/>
    </row>
    <row r="53" spans="1:16" ht="14.25" customHeight="1" x14ac:dyDescent="0.25">
      <c r="A53" s="133" t="s">
        <v>185</v>
      </c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134">
        <f>OutData!A2</f>
        <v>3121</v>
      </c>
    </row>
    <row r="54" spans="1:16" ht="14.25" customHeight="1" x14ac:dyDescent="0.25">
      <c r="B54" s="60"/>
      <c r="C54" s="60"/>
      <c r="D54" s="60"/>
      <c r="E54" s="60"/>
      <c r="F54" s="60"/>
      <c r="G54" s="60"/>
      <c r="H54" s="60"/>
      <c r="I54" s="60"/>
      <c r="J54" s="60"/>
      <c r="K54" s="60" t="s">
        <v>126</v>
      </c>
      <c r="L54" s="60"/>
      <c r="M54" s="60"/>
      <c r="N54" s="60"/>
      <c r="O54" s="69"/>
      <c r="P54" s="60"/>
    </row>
    <row r="55" spans="1:16" ht="14.25" customHeight="1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  <c r="P55" s="57"/>
    </row>
    <row r="56" spans="1:16" ht="14.25" customHeight="1" x14ac:dyDescent="0.25">
      <c r="O56" s="59"/>
    </row>
    <row r="57" spans="1:16" ht="14.25" customHeight="1" x14ac:dyDescent="0.25">
      <c r="O57" s="59"/>
    </row>
    <row r="58" spans="1:16" ht="14.25" customHeight="1" x14ac:dyDescent="0.25">
      <c r="O58" s="59"/>
    </row>
    <row r="59" spans="1:16" ht="14.25" customHeight="1" x14ac:dyDescent="0.25">
      <c r="O59" s="59"/>
    </row>
    <row r="60" spans="1:16" ht="14.25" customHeight="1" x14ac:dyDescent="0.25">
      <c r="O60" s="59"/>
    </row>
    <row r="61" spans="1:16" ht="14.25" customHeight="1" x14ac:dyDescent="0.25">
      <c r="O61" s="59"/>
    </row>
    <row r="62" spans="1:16" ht="14.25" customHeight="1" x14ac:dyDescent="0.25">
      <c r="O62" s="59"/>
    </row>
    <row r="63" spans="1:16" ht="14.25" customHeight="1" x14ac:dyDescent="0.25">
      <c r="O63" s="59"/>
    </row>
    <row r="64" spans="1:16" ht="14.25" customHeight="1" x14ac:dyDescent="0.25">
      <c r="O64" s="59"/>
    </row>
    <row r="65" spans="15:15" ht="14.25" customHeight="1" x14ac:dyDescent="0.25">
      <c r="O65" s="59"/>
    </row>
    <row r="66" spans="15:15" ht="14.25" customHeight="1" x14ac:dyDescent="0.25">
      <c r="O66" s="59"/>
    </row>
    <row r="67" spans="15:15" ht="14.25" customHeight="1" x14ac:dyDescent="0.25">
      <c r="O67" s="59"/>
    </row>
    <row r="68" spans="15:15" ht="14.25" customHeight="1" x14ac:dyDescent="0.25">
      <c r="O68" s="59"/>
    </row>
    <row r="69" spans="15:15" ht="10.5" customHeight="1" x14ac:dyDescent="0.25">
      <c r="O69" s="59"/>
    </row>
    <row r="70" spans="15:15" ht="14.25" customHeight="1" x14ac:dyDescent="0.25">
      <c r="O70" s="59"/>
    </row>
    <row r="71" spans="15:15" ht="14.25" customHeight="1" x14ac:dyDescent="0.25">
      <c r="O71" s="59"/>
    </row>
    <row r="72" spans="15:15" ht="14.25" customHeight="1" x14ac:dyDescent="0.25">
      <c r="O72" s="59"/>
    </row>
    <row r="73" spans="15:15" ht="14.25" customHeight="1" x14ac:dyDescent="0.25">
      <c r="O73" s="59"/>
    </row>
    <row r="74" spans="15:15" ht="14.25" customHeight="1" x14ac:dyDescent="0.25">
      <c r="O74" s="59"/>
    </row>
    <row r="75" spans="15:15" ht="14.25" customHeight="1" x14ac:dyDescent="0.25">
      <c r="O75" s="59"/>
    </row>
    <row r="76" spans="15:15" x14ac:dyDescent="0.25">
      <c r="O76" s="59"/>
    </row>
    <row r="77" spans="15:15" ht="14.25" customHeight="1" x14ac:dyDescent="0.25">
      <c r="O77" s="59"/>
    </row>
    <row r="78" spans="15:15" x14ac:dyDescent="0.25">
      <c r="O78" s="59"/>
    </row>
    <row r="79" spans="15:15" x14ac:dyDescent="0.25">
      <c r="O79" s="59"/>
    </row>
    <row r="80" spans="15:15" x14ac:dyDescent="0.25">
      <c r="O80" s="59"/>
    </row>
    <row r="81" spans="15:15" x14ac:dyDescent="0.25">
      <c r="O81" s="59"/>
    </row>
    <row r="82" spans="15:15" x14ac:dyDescent="0.25">
      <c r="O82" s="59"/>
    </row>
    <row r="83" spans="15:15" x14ac:dyDescent="0.25">
      <c r="O83" s="59"/>
    </row>
    <row r="84" spans="15:15" x14ac:dyDescent="0.25">
      <c r="O84" s="59"/>
    </row>
    <row r="85" spans="15:15" x14ac:dyDescent="0.25">
      <c r="O85" s="59"/>
    </row>
    <row r="86" spans="15:15" x14ac:dyDescent="0.25">
      <c r="O86" s="59"/>
    </row>
    <row r="87" spans="15:15" x14ac:dyDescent="0.25">
      <c r="O87" s="59"/>
    </row>
    <row r="88" spans="15:15" x14ac:dyDescent="0.25">
      <c r="O88" s="59"/>
    </row>
    <row r="89" spans="15:15" x14ac:dyDescent="0.25">
      <c r="O89" s="59"/>
    </row>
  </sheetData>
  <mergeCells count="4">
    <mergeCell ref="J52:K52"/>
    <mergeCell ref="C45:P49"/>
    <mergeCell ref="J51:K51"/>
    <mergeCell ref="S34:T34"/>
  </mergeCells>
  <pageMargins left="0.7" right="0.7" top="0.75" bottom="0.75" header="0.3" footer="0.3"/>
  <pageSetup orientation="portrait" r:id="rId1"/>
  <headerFooter>
    <oddHeader xml:space="preserve">&amp;L&amp;"Bookman Old Style,Bold"&amp;12
Diesel Engine Aftertreatment
Cleaning History Worksheet&amp;C&amp;"Bookman Old Style,Bold"&amp;12
                                                             Hunsicker Emissions Services LLC      </oddHeader>
    <oddFooter>&amp;C&amp;"Times New Roman,Regular"www.HunsickerEmissions.com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340AE-C1EC-4E70-9CA3-263E5F42501C}">
  <dimension ref="A1:Z87"/>
  <sheetViews>
    <sheetView view="pageLayout" zoomScaleNormal="100" workbookViewId="0">
      <selection activeCell="J6" sqref="J6:L23"/>
    </sheetView>
  </sheetViews>
  <sheetFormatPr defaultColWidth="9.140625" defaultRowHeight="15" x14ac:dyDescent="0.25"/>
  <cols>
    <col min="1" max="1" width="5" style="10" customWidth="1"/>
    <col min="2" max="3" width="10.5703125" style="10" customWidth="1"/>
    <col min="4" max="4" width="11.140625" style="10" customWidth="1"/>
    <col min="5" max="5" width="8.85546875" style="10" customWidth="1"/>
    <col min="6" max="6" width="9.140625" style="10" customWidth="1"/>
    <col min="7" max="7" width="5.140625" style="10" customWidth="1"/>
    <col min="8" max="8" width="11.140625" style="10" customWidth="1"/>
    <col min="9" max="9" width="14.140625" style="10" customWidth="1"/>
    <col min="10" max="10" width="15.140625" style="10" customWidth="1"/>
    <col min="11" max="11" width="12.5703125" style="10" customWidth="1"/>
    <col min="12" max="12" width="5" style="10" customWidth="1"/>
    <col min="13" max="19" width="9.140625" style="10" customWidth="1"/>
    <col min="20" max="21" width="9.140625" style="10"/>
    <col min="22" max="22" width="9.28515625" customWidth="1"/>
    <col min="23" max="23" width="9" customWidth="1"/>
  </cols>
  <sheetData>
    <row r="1" spans="1:18" ht="14.25" customHeight="1" x14ac:dyDescent="0.25">
      <c r="B1" s="243" t="str">
        <f>OutData!AR2</f>
        <v>Eagle Power &amp; Equipment</v>
      </c>
      <c r="C1" s="63"/>
      <c r="D1" s="243"/>
      <c r="E1" s="244" t="s">
        <v>207</v>
      </c>
      <c r="F1" s="243" t="str">
        <f>IF(OutData!BM2=0,"---",OutData!BM2)</f>
        <v>---</v>
      </c>
      <c r="G1" s="245"/>
      <c r="H1" s="245"/>
      <c r="I1" s="243" t="s">
        <v>209</v>
      </c>
      <c r="J1" s="246" t="str">
        <f>OutData!AA2</f>
        <v>EAG-1996</v>
      </c>
      <c r="K1" s="179"/>
      <c r="P1" s="89"/>
      <c r="Q1" s="106"/>
      <c r="R1" s="90"/>
    </row>
    <row r="2" spans="1:18" ht="14.25" customHeight="1" x14ac:dyDescent="0.25">
      <c r="A2"/>
      <c r="B2" s="246" t="str">
        <f>IF(OutData!AR2=OutData!AY2,"",OutData!AY2)</f>
        <v/>
      </c>
      <c r="C2" s="63"/>
      <c r="D2" s="243"/>
      <c r="E2" s="243"/>
      <c r="F2" s="247"/>
      <c r="G2" s="247"/>
      <c r="H2" s="245"/>
      <c r="I2" s="243" t="s">
        <v>208</v>
      </c>
      <c r="J2" s="248">
        <f>OutData!DI2</f>
        <v>43840</v>
      </c>
      <c r="K2" s="181"/>
      <c r="M2"/>
      <c r="N2"/>
      <c r="O2" s="159"/>
      <c r="P2" s="89"/>
      <c r="Q2" s="106"/>
      <c r="R2" s="91"/>
    </row>
    <row r="3" spans="1:18" ht="14.25" customHeight="1" x14ac:dyDescent="0.25">
      <c r="A3"/>
      <c r="B3" s="245"/>
      <c r="C3" s="245"/>
      <c r="D3" s="245"/>
      <c r="E3" s="245"/>
      <c r="F3" s="245"/>
      <c r="G3" s="245"/>
      <c r="H3" s="245"/>
      <c r="I3" s="247"/>
      <c r="K3" s="182"/>
      <c r="N3"/>
      <c r="O3" s="159"/>
      <c r="P3" s="89"/>
      <c r="Q3" s="106"/>
      <c r="R3" s="144"/>
    </row>
    <row r="4" spans="1:18" ht="14.25" customHeight="1" x14ac:dyDescent="0.25">
      <c r="A4"/>
      <c r="B4" s="235"/>
      <c r="C4" s="235"/>
      <c r="D4" s="240" t="s">
        <v>214</v>
      </c>
      <c r="E4" s="235">
        <f>OutData!C2</f>
        <v>60</v>
      </c>
      <c r="F4" s="236" t="s">
        <v>106</v>
      </c>
      <c r="G4" s="237"/>
      <c r="H4" s="238"/>
      <c r="I4" s="237"/>
      <c r="J4" s="237"/>
      <c r="M4"/>
      <c r="N4" s="55"/>
      <c r="O4" s="144"/>
      <c r="P4" s="144"/>
      <c r="Q4" s="144"/>
      <c r="R4" s="144"/>
    </row>
    <row r="5" spans="1:18" ht="14.25" customHeight="1" x14ac:dyDescent="0.25">
      <c r="A5"/>
      <c r="B5"/>
      <c r="C5"/>
      <c r="D5"/>
      <c r="E5"/>
      <c r="F5" s="55"/>
      <c r="G5" s="55"/>
      <c r="J5" s="10" t="s">
        <v>126</v>
      </c>
      <c r="K5"/>
      <c r="M5" s="155"/>
      <c r="N5" s="155"/>
      <c r="O5" s="144"/>
      <c r="P5" s="144"/>
      <c r="Q5" s="90"/>
      <c r="R5" s="144"/>
    </row>
    <row r="6" spans="1:18" ht="14.25" customHeight="1" x14ac:dyDescent="0.25">
      <c r="A6"/>
      <c r="J6" s="302" t="s">
        <v>252</v>
      </c>
      <c r="K6" s="303"/>
      <c r="L6" s="303"/>
      <c r="M6" s="156"/>
      <c r="N6" s="157"/>
      <c r="O6" s="144"/>
      <c r="P6" s="144"/>
      <c r="Q6" s="90"/>
      <c r="R6" s="144"/>
    </row>
    <row r="7" spans="1:18" ht="14.25" customHeight="1" x14ac:dyDescent="0.25">
      <c r="A7"/>
      <c r="B7"/>
      <c r="C7"/>
      <c r="D7"/>
      <c r="E7"/>
      <c r="F7" s="55"/>
      <c r="G7" s="55"/>
      <c r="H7" s="55"/>
      <c r="I7" s="55"/>
      <c r="J7" s="303"/>
      <c r="K7" s="303"/>
      <c r="L7" s="303"/>
      <c r="M7" s="158"/>
      <c r="N7" s="158"/>
      <c r="O7" s="144"/>
      <c r="P7" s="100"/>
      <c r="Q7" s="90"/>
      <c r="R7" s="106"/>
    </row>
    <row r="8" spans="1:18" ht="14.25" customHeight="1" x14ac:dyDescent="0.25">
      <c r="A8"/>
      <c r="B8"/>
      <c r="C8"/>
      <c r="D8"/>
      <c r="E8"/>
      <c r="F8" s="55"/>
      <c r="G8" s="55"/>
      <c r="H8" s="55"/>
      <c r="I8" s="55"/>
      <c r="J8" s="303"/>
      <c r="K8" s="303"/>
      <c r="L8" s="303"/>
      <c r="M8" s="158"/>
      <c r="N8" s="158"/>
      <c r="O8" s="144"/>
      <c r="P8" s="100"/>
      <c r="Q8" s="90"/>
      <c r="R8" s="144"/>
    </row>
    <row r="9" spans="1:18" ht="14.25" customHeight="1" x14ac:dyDescent="0.25">
      <c r="A9"/>
      <c r="B9"/>
      <c r="C9"/>
      <c r="D9"/>
      <c r="E9"/>
      <c r="F9" s="55"/>
      <c r="G9" s="55"/>
      <c r="H9" s="55"/>
      <c r="I9" s="55"/>
      <c r="J9" s="303"/>
      <c r="K9" s="303"/>
      <c r="L9" s="303"/>
      <c r="M9" s="180"/>
      <c r="N9" s="158"/>
      <c r="O9" s="90"/>
      <c r="P9" s="100"/>
      <c r="Q9" s="90"/>
      <c r="R9" s="144"/>
    </row>
    <row r="10" spans="1:18" ht="14.25" customHeight="1" x14ac:dyDescent="0.25">
      <c r="A10"/>
      <c r="B10"/>
      <c r="C10"/>
      <c r="D10"/>
      <c r="E10"/>
      <c r="F10" s="55"/>
      <c r="G10" s="55"/>
      <c r="H10" s="55"/>
      <c r="I10" s="55"/>
      <c r="J10" s="303"/>
      <c r="K10" s="303"/>
      <c r="L10" s="303"/>
      <c r="M10" s="158"/>
      <c r="N10" s="158"/>
      <c r="O10" s="144"/>
      <c r="P10" s="100"/>
      <c r="Q10" s="90"/>
      <c r="R10" s="144"/>
    </row>
    <row r="11" spans="1:18" ht="14.25" customHeight="1" x14ac:dyDescent="0.25">
      <c r="A11"/>
      <c r="B11"/>
      <c r="C11"/>
      <c r="D11"/>
      <c r="E11"/>
      <c r="F11" s="55"/>
      <c r="G11" s="55"/>
      <c r="H11" s="55"/>
      <c r="I11" s="55"/>
      <c r="J11" s="303"/>
      <c r="K11" s="303"/>
      <c r="L11" s="303"/>
      <c r="M11" s="158"/>
      <c r="N11" s="158"/>
      <c r="O11" s="144"/>
      <c r="P11" s="100"/>
      <c r="Q11" s="90"/>
      <c r="R11" s="144"/>
    </row>
    <row r="12" spans="1:18" ht="14.25" customHeight="1" x14ac:dyDescent="0.25">
      <c r="A12"/>
      <c r="B12"/>
      <c r="C12"/>
      <c r="D12"/>
      <c r="E12"/>
      <c r="F12" s="55"/>
      <c r="G12" s="55"/>
      <c r="H12" s="55"/>
      <c r="I12" s="55"/>
      <c r="J12" s="303"/>
      <c r="K12" s="303"/>
      <c r="L12" s="303"/>
      <c r="M12" s="158"/>
      <c r="N12" s="158"/>
      <c r="O12" s="160"/>
      <c r="P12" s="160"/>
      <c r="Q12" s="161"/>
      <c r="R12" s="162"/>
    </row>
    <row r="13" spans="1:18" ht="14.25" customHeight="1" x14ac:dyDescent="0.25">
      <c r="A13"/>
      <c r="B13"/>
      <c r="C13"/>
      <c r="D13"/>
      <c r="E13"/>
      <c r="F13" s="55"/>
      <c r="G13" s="55"/>
      <c r="H13" s="55"/>
      <c r="I13" s="55"/>
      <c r="J13" s="303"/>
      <c r="K13" s="303"/>
      <c r="L13" s="303"/>
      <c r="M13" s="158"/>
      <c r="N13" s="158"/>
      <c r="O13" s="159"/>
      <c r="P13" s="159"/>
      <c r="Q13" s="159"/>
      <c r="R13" s="159"/>
    </row>
    <row r="14" spans="1:18" ht="14.25" customHeight="1" x14ac:dyDescent="0.25">
      <c r="A14"/>
      <c r="B14"/>
      <c r="C14"/>
      <c r="D14"/>
      <c r="E14"/>
      <c r="F14" s="55"/>
      <c r="G14" s="55"/>
      <c r="H14" s="55"/>
      <c r="I14" s="55"/>
      <c r="J14" s="303"/>
      <c r="K14" s="303"/>
      <c r="L14" s="303"/>
      <c r="M14" s="158"/>
      <c r="N14" s="158"/>
      <c r="O14" s="159"/>
      <c r="P14" s="159"/>
      <c r="Q14" s="62"/>
      <c r="R14" s="62"/>
    </row>
    <row r="15" spans="1:18" ht="14.25" customHeight="1" x14ac:dyDescent="0.25">
      <c r="A15"/>
      <c r="B15"/>
      <c r="C15"/>
      <c r="D15"/>
      <c r="E15"/>
      <c r="F15"/>
      <c r="G15"/>
      <c r="H15"/>
      <c r="I15"/>
      <c r="J15" s="303"/>
      <c r="K15" s="303"/>
      <c r="L15" s="303"/>
      <c r="M15" s="158"/>
      <c r="N15" s="158"/>
      <c r="O15" s="144"/>
      <c r="P15" s="144"/>
      <c r="Q15" s="162"/>
      <c r="R15" s="163"/>
    </row>
    <row r="16" spans="1:18" ht="14.25" customHeight="1" x14ac:dyDescent="0.25">
      <c r="A16"/>
      <c r="B16"/>
      <c r="C16"/>
      <c r="D16"/>
      <c r="E16"/>
      <c r="F16"/>
      <c r="G16"/>
      <c r="H16"/>
      <c r="I16"/>
      <c r="J16" s="303"/>
      <c r="K16" s="303"/>
      <c r="L16" s="303"/>
      <c r="M16" s="158"/>
      <c r="N16" s="158"/>
      <c r="O16" s="144"/>
      <c r="P16" s="159"/>
      <c r="Q16" s="106"/>
      <c r="R16" s="144"/>
    </row>
    <row r="17" spans="1:26" ht="14.25" customHeight="1" x14ac:dyDescent="0.25">
      <c r="A17"/>
      <c r="B17"/>
      <c r="C17"/>
      <c r="D17"/>
      <c r="E17"/>
      <c r="F17"/>
      <c r="G17"/>
      <c r="H17"/>
      <c r="I17"/>
      <c r="J17" s="303"/>
      <c r="K17" s="303"/>
      <c r="L17" s="303"/>
      <c r="M17" s="158"/>
      <c r="N17" s="158"/>
      <c r="O17" s="144"/>
      <c r="P17" s="159"/>
      <c r="Q17" s="106"/>
      <c r="R17" s="144"/>
      <c r="S17" s="67"/>
    </row>
    <row r="18" spans="1:26" ht="14.25" customHeight="1" x14ac:dyDescent="0.25">
      <c r="A18"/>
      <c r="B18"/>
      <c r="C18"/>
      <c r="D18"/>
      <c r="E18"/>
      <c r="F18"/>
      <c r="G18"/>
      <c r="H18"/>
      <c r="I18"/>
      <c r="J18" s="303"/>
      <c r="K18" s="303"/>
      <c r="L18" s="303"/>
      <c r="M18" s="158"/>
      <c r="N18" s="158"/>
      <c r="O18" s="144"/>
      <c r="P18" s="159"/>
      <c r="Q18" s="106"/>
      <c r="R18" s="144"/>
      <c r="S18" s="70"/>
    </row>
    <row r="19" spans="1:26" ht="14.25" customHeight="1" x14ac:dyDescent="0.25">
      <c r="A19"/>
      <c r="B19"/>
      <c r="C19"/>
      <c r="D19"/>
      <c r="E19"/>
      <c r="F19"/>
      <c r="G19"/>
      <c r="H19"/>
      <c r="I19"/>
      <c r="J19" s="303"/>
      <c r="K19" s="303"/>
      <c r="L19" s="303"/>
      <c r="M19" s="158"/>
      <c r="N19" s="158"/>
      <c r="O19" s="144"/>
      <c r="P19" s="159"/>
      <c r="Q19" s="106"/>
      <c r="R19" s="144"/>
    </row>
    <row r="20" spans="1:26" ht="14.25" customHeight="1" x14ac:dyDescent="0.25">
      <c r="A20"/>
      <c r="B20"/>
      <c r="C20"/>
      <c r="D20"/>
      <c r="E20"/>
      <c r="F20"/>
      <c r="G20"/>
      <c r="H20"/>
      <c r="I20"/>
      <c r="J20" s="303"/>
      <c r="K20" s="303"/>
      <c r="L20" s="303"/>
      <c r="M20" s="158"/>
      <c r="N20" s="158"/>
      <c r="O20" s="144"/>
      <c r="P20" s="159"/>
      <c r="Q20" s="106"/>
      <c r="R20" s="144"/>
    </row>
    <row r="21" spans="1:26" ht="14.25" customHeight="1" x14ac:dyDescent="0.25">
      <c r="A21"/>
      <c r="B21"/>
      <c r="C21"/>
      <c r="D21"/>
      <c r="E21"/>
      <c r="F21"/>
      <c r="G21"/>
      <c r="H21"/>
      <c r="I21"/>
      <c r="J21" s="303"/>
      <c r="K21" s="303"/>
      <c r="L21" s="303"/>
      <c r="M21" s="158"/>
      <c r="N21" s="158"/>
      <c r="O21" s="144"/>
      <c r="P21" s="144"/>
      <c r="Q21" s="106"/>
      <c r="R21" s="144"/>
    </row>
    <row r="22" spans="1:26" ht="14.25" customHeight="1" x14ac:dyDescent="0.25">
      <c r="A22"/>
      <c r="B22"/>
      <c r="C22"/>
      <c r="D22"/>
      <c r="E22"/>
      <c r="F22"/>
      <c r="G22"/>
      <c r="H22"/>
      <c r="I22"/>
      <c r="J22" s="303"/>
      <c r="K22" s="303"/>
      <c r="L22" s="303"/>
      <c r="M22" s="158"/>
      <c r="N22" s="158"/>
      <c r="O22" s="89"/>
      <c r="P22" s="89"/>
      <c r="Q22" s="119"/>
      <c r="R22" s="89"/>
    </row>
    <row r="23" spans="1:26" ht="14.25" customHeight="1" x14ac:dyDescent="0.25">
      <c r="A23"/>
      <c r="B23"/>
      <c r="C23"/>
      <c r="D23"/>
      <c r="E23"/>
      <c r="F23"/>
      <c r="G23"/>
      <c r="H23"/>
      <c r="I23"/>
      <c r="J23" s="303"/>
      <c r="K23" s="303"/>
      <c r="L23" s="303"/>
      <c r="M23" s="158" t="s">
        <v>126</v>
      </c>
      <c r="N23" s="158"/>
      <c r="O23" s="89"/>
      <c r="P23" s="89"/>
      <c r="Q23" s="89"/>
      <c r="R23" s="89"/>
      <c r="Z23" s="61"/>
    </row>
    <row r="24" spans="1:26" ht="14.25" customHeight="1" x14ac:dyDescent="0.25">
      <c r="A24"/>
      <c r="B24"/>
      <c r="C24"/>
      <c r="D24"/>
      <c r="E24"/>
      <c r="F24"/>
      <c r="G24"/>
      <c r="H24"/>
      <c r="I24"/>
      <c r="J24" s="239"/>
      <c r="K24" s="239"/>
      <c r="L24" s="239"/>
      <c r="M24"/>
      <c r="N24"/>
      <c r="O24" s="90"/>
      <c r="P24" s="90"/>
      <c r="Q24" s="159"/>
      <c r="R24" s="89"/>
      <c r="Z24" s="61"/>
    </row>
    <row r="25" spans="1:26" ht="14.25" customHeight="1" x14ac:dyDescent="0.25">
      <c r="A25"/>
      <c r="B25"/>
      <c r="C25"/>
      <c r="D25"/>
      <c r="E25"/>
      <c r="F25"/>
      <c r="G25"/>
      <c r="H25"/>
      <c r="I25"/>
      <c r="J25" s="239"/>
      <c r="K25" s="239"/>
      <c r="L25" s="239"/>
      <c r="M25"/>
      <c r="N25"/>
      <c r="O25" s="144"/>
      <c r="P25" s="122"/>
      <c r="Q25" s="90"/>
      <c r="R25" s="165"/>
      <c r="Z25" s="61"/>
    </row>
    <row r="26" spans="1:26" ht="14.2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 s="144"/>
      <c r="P26" s="166"/>
      <c r="Q26" s="100"/>
      <c r="R26" s="165"/>
      <c r="Z26" s="61"/>
    </row>
    <row r="27" spans="1:26" ht="14.2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 s="89"/>
      <c r="P27" s="90"/>
      <c r="Q27" s="90"/>
      <c r="R27" s="90"/>
      <c r="Z27" s="61"/>
    </row>
    <row r="28" spans="1:26" ht="14.25" customHeight="1" x14ac:dyDescent="0.25">
      <c r="A28" s="195" t="s">
        <v>216</v>
      </c>
      <c r="B28" s="196"/>
      <c r="C28" s="197"/>
      <c r="D28" s="197"/>
      <c r="E28" s="197"/>
      <c r="F28" s="197"/>
      <c r="G28" s="295" t="s">
        <v>210</v>
      </c>
      <c r="H28" s="296"/>
      <c r="I28" s="296"/>
      <c r="J28" s="296"/>
      <c r="K28" s="296"/>
      <c r="L28" s="297"/>
      <c r="M28" s="89"/>
      <c r="N28" s="90"/>
      <c r="O28" s="90"/>
      <c r="P28" s="90"/>
      <c r="T28"/>
      <c r="U28"/>
      <c r="X28" s="61"/>
    </row>
    <row r="29" spans="1:26" ht="14.25" customHeight="1" x14ac:dyDescent="0.25">
      <c r="A29" s="198" t="s">
        <v>218</v>
      </c>
      <c r="B29" s="199" t="s">
        <v>211</v>
      </c>
      <c r="C29" s="200" t="s">
        <v>212</v>
      </c>
      <c r="D29" s="200" t="s">
        <v>231</v>
      </c>
      <c r="E29" s="200" t="s">
        <v>233</v>
      </c>
      <c r="F29" s="200" t="s">
        <v>213</v>
      </c>
      <c r="G29" s="298" t="s">
        <v>201</v>
      </c>
      <c r="H29" s="299"/>
      <c r="I29" s="300" t="s">
        <v>235</v>
      </c>
      <c r="J29" s="301"/>
      <c r="K29" s="301"/>
      <c r="L29" s="201">
        <f>QAProcess!H52</f>
        <v>149.06141493055554</v>
      </c>
      <c r="M29" s="89"/>
      <c r="N29" s="90"/>
      <c r="O29" s="90"/>
      <c r="P29" s="90"/>
      <c r="T29"/>
      <c r="U29"/>
    </row>
    <row r="30" spans="1:26" ht="14.25" customHeight="1" x14ac:dyDescent="0.25">
      <c r="A30" s="195" t="s">
        <v>217</v>
      </c>
      <c r="B30" s="202" t="s">
        <v>215</v>
      </c>
      <c r="C30" s="203" t="s">
        <v>202</v>
      </c>
      <c r="D30" s="203" t="s">
        <v>232</v>
      </c>
      <c r="E30" s="203" t="s">
        <v>234</v>
      </c>
      <c r="F30" s="203" t="s">
        <v>203</v>
      </c>
      <c r="G30" s="204" t="s">
        <v>156</v>
      </c>
      <c r="H30" s="205" t="s">
        <v>204</v>
      </c>
      <c r="I30" s="203" t="s">
        <v>148</v>
      </c>
      <c r="J30" s="206" t="s">
        <v>150</v>
      </c>
      <c r="K30" s="222" t="s">
        <v>151</v>
      </c>
      <c r="L30" s="223"/>
      <c r="M30" s="89"/>
      <c r="N30" s="90"/>
      <c r="O30" s="90"/>
      <c r="P30" s="90"/>
      <c r="T30"/>
      <c r="U30"/>
    </row>
    <row r="31" spans="1:26" ht="14.25" customHeight="1" x14ac:dyDescent="0.25">
      <c r="A31" s="207">
        <f>L36</f>
        <v>3121</v>
      </c>
      <c r="B31" s="208"/>
      <c r="C31" s="209"/>
      <c r="D31" s="210"/>
      <c r="E31" s="221"/>
      <c r="F31" s="280"/>
      <c r="G31" s="211"/>
      <c r="H31" s="212"/>
      <c r="I31" s="209"/>
      <c r="J31" s="213"/>
      <c r="K31" s="224"/>
      <c r="L31" s="214"/>
      <c r="M31" s="144"/>
      <c r="N31" s="89"/>
      <c r="O31" s="167"/>
      <c r="P31" s="122"/>
      <c r="T31"/>
      <c r="U31"/>
    </row>
    <row r="32" spans="1:26" ht="14.25" customHeight="1" x14ac:dyDescent="0.25">
      <c r="A32" s="215"/>
      <c r="B32" s="225" t="str">
        <f>IF(OutData!BM2=0,"---",OutData!BM2)</f>
        <v>---</v>
      </c>
      <c r="C32" s="226" t="str">
        <f>OutData!CB2</f>
        <v>898185386</v>
      </c>
      <c r="D32" s="227">
        <f>OutData!AQ2</f>
        <v>43840.829955983798</v>
      </c>
      <c r="E32" s="228">
        <f>OutData!AM4</f>
        <v>0</v>
      </c>
      <c r="F32" s="226" t="str">
        <f>'DPF v.2'!N40</f>
        <v>Good</v>
      </c>
      <c r="G32" s="229">
        <f>IF(OutData!F4=0,"",OutData!F2-OutData!F4)</f>
        <v>0.38000000000000078</v>
      </c>
      <c r="H32" s="230">
        <f>IF(OutData!F4=0,"",G32*453.6/QAProcess!C8)</f>
        <v>34.030075786663751</v>
      </c>
      <c r="I32" s="231">
        <f>QAProcess!I18</f>
        <v>0</v>
      </c>
      <c r="J32" s="232">
        <f>QAProcess!I52</f>
        <v>6.4250523258010006E-2</v>
      </c>
      <c r="K32" s="233">
        <f>IF(I32,((I32-J32)/I32),0)</f>
        <v>0</v>
      </c>
      <c r="L32" s="234"/>
      <c r="M32" s="144"/>
      <c r="N32" s="144"/>
      <c r="O32" s="144"/>
      <c r="P32" s="144"/>
      <c r="Q32" s="63"/>
      <c r="R32" s="64"/>
      <c r="T32"/>
      <c r="U32"/>
    </row>
    <row r="33" spans="1:21" ht="14.25" customHeight="1" x14ac:dyDescent="0.25">
      <c r="A33" s="216"/>
      <c r="B33" s="218"/>
      <c r="C33" s="218"/>
      <c r="D33" s="218"/>
      <c r="E33" s="218"/>
      <c r="F33" s="218"/>
      <c r="G33" s="218"/>
      <c r="H33" s="219"/>
      <c r="I33" s="209" t="s">
        <v>126</v>
      </c>
      <c r="J33" s="218"/>
      <c r="K33" s="218"/>
      <c r="L33" s="220"/>
      <c r="M33" s="144"/>
      <c r="N33" s="144"/>
      <c r="O33" s="144"/>
      <c r="P33" s="144"/>
      <c r="Q33" s="63" t="s">
        <v>126</v>
      </c>
      <c r="T33"/>
      <c r="U33"/>
    </row>
    <row r="34" spans="1:21" ht="14.25" customHeight="1" x14ac:dyDescent="0.25">
      <c r="A34" s="216"/>
      <c r="B34" s="90"/>
      <c r="C34" s="144"/>
      <c r="D34" s="106"/>
      <c r="E34" s="106"/>
      <c r="F34" s="144"/>
      <c r="G34" s="90"/>
      <c r="H34" s="90"/>
      <c r="I34" s="90"/>
      <c r="J34" s="144"/>
      <c r="K34" s="144"/>
      <c r="L34" s="159"/>
      <c r="M34" s="144"/>
      <c r="N34" s="144"/>
      <c r="O34" s="144"/>
      <c r="P34" s="106"/>
      <c r="Q34" s="144"/>
      <c r="R34" s="106"/>
      <c r="S34" s="63" t="s">
        <v>126</v>
      </c>
    </row>
    <row r="35" spans="1:21" ht="14.25" customHeight="1" x14ac:dyDescent="0.25">
      <c r="A35" s="217"/>
      <c r="B35" s="90"/>
      <c r="C35" s="144"/>
      <c r="D35" s="106"/>
      <c r="E35" s="106"/>
      <c r="F35" s="144"/>
      <c r="G35" s="89" t="s">
        <v>126</v>
      </c>
      <c r="H35" s="90"/>
      <c r="I35" s="164"/>
      <c r="J35" s="159"/>
      <c r="K35" s="159"/>
      <c r="L35" s="106"/>
      <c r="M35" s="144"/>
      <c r="N35" s="144"/>
      <c r="O35" s="144"/>
      <c r="P35" s="168"/>
      <c r="Q35" s="144"/>
      <c r="R35" s="106"/>
      <c r="S35" s="63"/>
    </row>
    <row r="36" spans="1:21" ht="14.25" customHeight="1" x14ac:dyDescent="0.25">
      <c r="A36" s="217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182">
        <f>OutData!A2</f>
        <v>3121</v>
      </c>
      <c r="M36" s="159"/>
      <c r="N36" s="159"/>
      <c r="O36" s="144"/>
      <c r="P36" s="169"/>
      <c r="Q36" s="144"/>
      <c r="R36" s="144"/>
    </row>
    <row r="37" spans="1:21" ht="14.25" customHeight="1" x14ac:dyDescent="0.25">
      <c r="A37"/>
      <c r="B37" s="144"/>
      <c r="C37" s="176"/>
      <c r="D37" s="177"/>
      <c r="E37" s="177"/>
      <c r="F37" s="177"/>
      <c r="G37" s="177"/>
      <c r="H37" s="177"/>
      <c r="I37" s="177"/>
      <c r="J37" s="177"/>
      <c r="K37" s="177"/>
      <c r="L37" s="177"/>
      <c r="M37" s="144"/>
      <c r="N37" s="159"/>
      <c r="O37" s="144"/>
      <c r="P37" s="170"/>
      <c r="Q37" s="144"/>
      <c r="R37" s="144"/>
    </row>
    <row r="38" spans="1:21" ht="14.25" customHeight="1" x14ac:dyDescent="0.25">
      <c r="A38" s="90"/>
      <c r="B38" s="144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44"/>
      <c r="N38" s="106"/>
      <c r="O38" s="144"/>
      <c r="P38" s="106"/>
      <c r="Q38" s="172"/>
      <c r="R38" s="144"/>
    </row>
    <row r="39" spans="1:21" ht="14.25" customHeight="1" x14ac:dyDescent="0.25">
      <c r="A39" s="90"/>
      <c r="B39" s="144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89"/>
      <c r="N39" s="89"/>
      <c r="O39" s="144"/>
      <c r="P39" s="173"/>
      <c r="Q39" s="172"/>
      <c r="R39" s="144"/>
    </row>
    <row r="40" spans="1:21" ht="14.25" customHeight="1" x14ac:dyDescent="0.25">
      <c r="A40" s="171"/>
      <c r="B40" s="144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59"/>
      <c r="P40" s="132"/>
      <c r="Q40" s="159"/>
      <c r="R40" s="174"/>
    </row>
    <row r="41" spans="1:21" ht="14.25" customHeight="1" x14ac:dyDescent="0.25">
      <c r="A41" s="90"/>
      <c r="B41" s="144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44"/>
      <c r="P41" s="144"/>
      <c r="Q41" s="106"/>
      <c r="R41" s="144"/>
    </row>
    <row r="42" spans="1:21" ht="14.25" customHeight="1" x14ac:dyDescent="0.25">
      <c r="A42" s="90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160"/>
      <c r="M42" s="177"/>
      <c r="N42" s="177"/>
      <c r="O42" s="159"/>
      <c r="P42" s="159"/>
      <c r="Q42" s="159"/>
      <c r="R42" s="159"/>
    </row>
    <row r="43" spans="1:21" ht="14.25" customHeight="1" x14ac:dyDescent="0.25">
      <c r="A43" s="159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278"/>
      <c r="M43" s="177"/>
      <c r="N43" s="177"/>
      <c r="O43" s="144"/>
      <c r="P43" s="159"/>
      <c r="Q43" s="144"/>
      <c r="R43" s="144"/>
    </row>
    <row r="44" spans="1:21" ht="14.25" customHeight="1" x14ac:dyDescent="0.25">
      <c r="A44" s="175"/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177"/>
      <c r="N44" s="177"/>
      <c r="O44" s="177"/>
      <c r="P44" s="177"/>
      <c r="Q44" s="177"/>
      <c r="R44" s="177"/>
    </row>
    <row r="45" spans="1:21" ht="14.25" customHeight="1" x14ac:dyDescent="0.25">
      <c r="A45" s="144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178"/>
      <c r="N45" s="90"/>
      <c r="O45" s="177"/>
      <c r="P45" s="177"/>
      <c r="Q45" s="177"/>
      <c r="R45" s="177"/>
    </row>
    <row r="46" spans="1:21" ht="14.25" customHeight="1" x14ac:dyDescent="0.25">
      <c r="A46" s="144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277"/>
      <c r="N46" s="117"/>
      <c r="O46" s="177"/>
      <c r="P46" s="177"/>
      <c r="Q46" s="177"/>
      <c r="R46" s="177"/>
    </row>
    <row r="47" spans="1:21" ht="14.25" customHeight="1" x14ac:dyDescent="0.25">
      <c r="A47" s="144"/>
      <c r="M47" s="89"/>
      <c r="N47" s="89"/>
      <c r="O47" s="177"/>
      <c r="P47" s="177"/>
      <c r="Q47" s="177"/>
      <c r="R47" s="177"/>
    </row>
    <row r="48" spans="1:21" ht="14.25" customHeight="1" x14ac:dyDescent="0.25">
      <c r="A48" s="144"/>
      <c r="M48" s="60" t="s">
        <v>126</v>
      </c>
      <c r="N48" s="60"/>
      <c r="O48" s="177"/>
      <c r="P48" s="177"/>
      <c r="Q48" s="177"/>
      <c r="R48" s="177"/>
    </row>
    <row r="49" spans="1:18" ht="14.25" customHeight="1" x14ac:dyDescent="0.25">
      <c r="A49" s="89"/>
      <c r="M49" s="60"/>
      <c r="N49" s="60"/>
      <c r="O49" s="89"/>
      <c r="P49" s="160"/>
      <c r="Q49" s="90"/>
      <c r="R49" s="144"/>
    </row>
    <row r="50" spans="1:18" ht="14.25" customHeight="1" x14ac:dyDescent="0.25">
      <c r="A50" s="89"/>
      <c r="O50" s="89"/>
      <c r="P50" s="154"/>
      <c r="Q50" s="117"/>
      <c r="R50" s="78"/>
    </row>
    <row r="51" spans="1:18" ht="14.25" customHeight="1" x14ac:dyDescent="0.25">
      <c r="A51" s="107"/>
      <c r="O51" s="89"/>
      <c r="P51" s="89"/>
      <c r="Q51" s="89"/>
      <c r="R51" s="134"/>
    </row>
    <row r="52" spans="1:18" ht="14.25" customHeight="1" x14ac:dyDescent="0.25">
      <c r="O52" s="60"/>
      <c r="P52" s="60"/>
      <c r="Q52" s="69"/>
      <c r="R52" s="60"/>
    </row>
    <row r="53" spans="1:18" ht="14.25" customHeight="1" x14ac:dyDescent="0.25">
      <c r="A53" s="60"/>
      <c r="O53" s="60"/>
      <c r="P53" s="60"/>
      <c r="Q53" s="69"/>
      <c r="R53" s="60"/>
    </row>
    <row r="54" spans="1:18" ht="14.25" customHeight="1" x14ac:dyDescent="0.25">
      <c r="Q54" s="165"/>
    </row>
    <row r="55" spans="1:18" ht="14.25" customHeight="1" x14ac:dyDescent="0.25">
      <c r="Q55" s="165"/>
    </row>
    <row r="56" spans="1:18" ht="14.25" customHeight="1" x14ac:dyDescent="0.25">
      <c r="Q56" s="165"/>
    </row>
    <row r="57" spans="1:18" ht="14.25" customHeight="1" x14ac:dyDescent="0.25">
      <c r="Q57" s="165"/>
    </row>
    <row r="58" spans="1:18" ht="14.25" customHeight="1" x14ac:dyDescent="0.25">
      <c r="Q58" s="165"/>
    </row>
    <row r="59" spans="1:18" ht="14.25" customHeight="1" x14ac:dyDescent="0.25">
      <c r="Q59" s="165"/>
    </row>
    <row r="60" spans="1:18" ht="14.25" customHeight="1" x14ac:dyDescent="0.25">
      <c r="Q60" s="165"/>
    </row>
    <row r="61" spans="1:18" ht="14.25" customHeight="1" x14ac:dyDescent="0.25">
      <c r="Q61" s="165"/>
    </row>
    <row r="62" spans="1:18" ht="14.25" customHeight="1" x14ac:dyDescent="0.25">
      <c r="Q62" s="165"/>
    </row>
    <row r="63" spans="1:18" ht="14.25" customHeight="1" x14ac:dyDescent="0.25">
      <c r="Q63" s="165"/>
    </row>
    <row r="64" spans="1:18" ht="14.25" customHeight="1" x14ac:dyDescent="0.25">
      <c r="Q64" s="165"/>
    </row>
    <row r="65" spans="17:17" ht="14.25" customHeight="1" x14ac:dyDescent="0.25">
      <c r="Q65" s="165"/>
    </row>
    <row r="66" spans="17:17" ht="14.25" customHeight="1" x14ac:dyDescent="0.25">
      <c r="Q66" s="165"/>
    </row>
    <row r="67" spans="17:17" ht="10.5" customHeight="1" x14ac:dyDescent="0.25">
      <c r="Q67" s="165"/>
    </row>
    <row r="68" spans="17:17" ht="14.25" customHeight="1" x14ac:dyDescent="0.25">
      <c r="Q68" s="165"/>
    </row>
    <row r="69" spans="17:17" ht="14.25" customHeight="1" x14ac:dyDescent="0.25">
      <c r="Q69" s="165"/>
    </row>
    <row r="70" spans="17:17" ht="14.25" customHeight="1" x14ac:dyDescent="0.25">
      <c r="Q70" s="165"/>
    </row>
    <row r="71" spans="17:17" ht="14.25" customHeight="1" x14ac:dyDescent="0.25">
      <c r="Q71" s="165"/>
    </row>
    <row r="72" spans="17:17" ht="14.25" customHeight="1" x14ac:dyDescent="0.25">
      <c r="Q72" s="165"/>
    </row>
    <row r="73" spans="17:17" ht="14.25" customHeight="1" x14ac:dyDescent="0.25">
      <c r="Q73" s="165"/>
    </row>
    <row r="74" spans="17:17" x14ac:dyDescent="0.25">
      <c r="Q74" s="165"/>
    </row>
    <row r="75" spans="17:17" ht="14.25" customHeight="1" x14ac:dyDescent="0.25">
      <c r="Q75" s="165"/>
    </row>
    <row r="76" spans="17:17" x14ac:dyDescent="0.25">
      <c r="Q76" s="165"/>
    </row>
    <row r="77" spans="17:17" x14ac:dyDescent="0.25">
      <c r="Q77" s="165"/>
    </row>
    <row r="78" spans="17:17" x14ac:dyDescent="0.25">
      <c r="Q78" s="165"/>
    </row>
    <row r="79" spans="17:17" x14ac:dyDescent="0.25">
      <c r="Q79" s="165"/>
    </row>
    <row r="80" spans="17:17" x14ac:dyDescent="0.25">
      <c r="Q80" s="165"/>
    </row>
    <row r="81" spans="17:17" x14ac:dyDescent="0.25">
      <c r="Q81" s="165"/>
    </row>
    <row r="82" spans="17:17" x14ac:dyDescent="0.25">
      <c r="Q82" s="165"/>
    </row>
    <row r="83" spans="17:17" x14ac:dyDescent="0.25">
      <c r="Q83" s="165"/>
    </row>
    <row r="84" spans="17:17" x14ac:dyDescent="0.25">
      <c r="Q84" s="165"/>
    </row>
    <row r="85" spans="17:17" x14ac:dyDescent="0.25">
      <c r="Q85" s="165"/>
    </row>
    <row r="86" spans="17:17" x14ac:dyDescent="0.25">
      <c r="Q86" s="165"/>
    </row>
    <row r="87" spans="17:17" x14ac:dyDescent="0.25">
      <c r="Q87" s="165"/>
    </row>
  </sheetData>
  <mergeCells count="4">
    <mergeCell ref="G28:L28"/>
    <mergeCell ref="G29:H29"/>
    <mergeCell ref="I29:K29"/>
    <mergeCell ref="J6:L23"/>
  </mergeCells>
  <pageMargins left="0.7" right="0.97916666666666663" top="0.75" bottom="0.75" header="0.3" footer="0.3"/>
  <pageSetup orientation="landscape" r:id="rId1"/>
  <headerFooter>
    <oddHeader xml:space="preserve">&amp;L&amp;"Bookman Old Style,Bold"&amp;12 &amp;C&amp;"Bookman Old Style,Bold"&amp;12Hunsicker Emissions Services LLC      </oddHeader>
    <oddFooter>&amp;C&amp;"Times New Roman,Regular"www.HunsickerEmissions.com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/>
  <dimension ref="B3:I65"/>
  <sheetViews>
    <sheetView topLeftCell="C13" workbookViewId="0">
      <selection activeCell="F8" sqref="F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2" t="s">
        <v>94</v>
      </c>
      <c r="C3" s="3"/>
    </row>
    <row r="4" spans="2:9" ht="18.75" x14ac:dyDescent="0.3">
      <c r="I4" s="4"/>
    </row>
    <row r="5" spans="2:9" x14ac:dyDescent="0.25">
      <c r="B5" s="5" t="s">
        <v>95</v>
      </c>
      <c r="C5" s="6">
        <f>OutData!CF2</f>
        <v>7.5</v>
      </c>
      <c r="D5" s="7"/>
      <c r="E5" s="7" t="s">
        <v>96</v>
      </c>
      <c r="F5" s="8">
        <v>110000</v>
      </c>
      <c r="G5" s="9" t="s">
        <v>97</v>
      </c>
      <c r="H5" s="10"/>
    </row>
    <row r="6" spans="2:9" x14ac:dyDescent="0.25">
      <c r="B6" s="11" t="s">
        <v>98</v>
      </c>
      <c r="C6" s="12">
        <f>OutData!CH2</f>
        <v>7</v>
      </c>
      <c r="D6" s="10"/>
      <c r="E6" s="10" t="s">
        <v>99</v>
      </c>
      <c r="F6" s="13">
        <v>60</v>
      </c>
      <c r="G6" s="14" t="s">
        <v>100</v>
      </c>
      <c r="H6" s="10"/>
    </row>
    <row r="7" spans="2:9" x14ac:dyDescent="0.25">
      <c r="B7" s="15" t="s">
        <v>101</v>
      </c>
      <c r="C7" s="12">
        <f>(3.14*(SubDiameter/2)^2)*(SubLength)*(1/12)^3</f>
        <v>0.17887369791666666</v>
      </c>
      <c r="D7" s="16"/>
      <c r="E7" s="10" t="s">
        <v>102</v>
      </c>
      <c r="F7" s="13">
        <f>(Volume*MaxSpaceVelocity)*(1/60)*(61.7)/(2350*0.395)</f>
        <v>21.79757227328156</v>
      </c>
      <c r="G7" s="14" t="s">
        <v>100</v>
      </c>
      <c r="H7" s="10"/>
    </row>
    <row r="8" spans="2:9" x14ac:dyDescent="0.25">
      <c r="B8" s="17" t="s">
        <v>103</v>
      </c>
      <c r="C8" s="18">
        <f>Volume*28.317</f>
        <v>5.0651665039062497</v>
      </c>
      <c r="D8" s="19"/>
      <c r="E8" s="20" t="s">
        <v>104</v>
      </c>
      <c r="F8" s="21">
        <f>IF(F7&gt;MaxHertz,"60",F7)</f>
        <v>21.79757227328156</v>
      </c>
      <c r="G8" s="22" t="s">
        <v>100</v>
      </c>
      <c r="H8" s="10"/>
    </row>
    <row r="9" spans="2:9" x14ac:dyDescent="0.25">
      <c r="H9" s="10"/>
    </row>
    <row r="11" spans="2:9" x14ac:dyDescent="0.25">
      <c r="B11" s="23" t="s">
        <v>105</v>
      </c>
      <c r="C11" s="7"/>
      <c r="D11" s="24">
        <f>OutData!C2</f>
        <v>60</v>
      </c>
      <c r="E11" s="7" t="s">
        <v>106</v>
      </c>
      <c r="F11" s="7"/>
      <c r="G11" s="25" t="s">
        <v>107</v>
      </c>
      <c r="H11" s="25" t="s">
        <v>108</v>
      </c>
      <c r="I11" s="26">
        <f>OutData!L2</f>
        <v>0</v>
      </c>
    </row>
    <row r="12" spans="2:9" x14ac:dyDescent="0.25">
      <c r="B12" s="27" t="s">
        <v>109</v>
      </c>
      <c r="C12" s="10"/>
      <c r="D12" s="24">
        <f>OutData!D2</f>
        <v>0</v>
      </c>
      <c r="E12" s="10" t="s">
        <v>110</v>
      </c>
      <c r="F12" s="10"/>
      <c r="G12" s="10"/>
      <c r="H12" s="28" t="s">
        <v>111</v>
      </c>
      <c r="I12" s="29">
        <f>OutData!M2</f>
        <v>0</v>
      </c>
    </row>
    <row r="13" spans="2:9" x14ac:dyDescent="0.25">
      <c r="B13" s="27" t="s">
        <v>112</v>
      </c>
      <c r="C13" s="10"/>
      <c r="D13" s="24">
        <f>OutData!E2</f>
        <v>0</v>
      </c>
      <c r="E13" s="10"/>
      <c r="F13" s="10"/>
      <c r="G13" s="10"/>
      <c r="H13" s="28" t="s">
        <v>113</v>
      </c>
      <c r="I13" s="29">
        <f>OutData!N2</f>
        <v>0</v>
      </c>
    </row>
    <row r="14" spans="2:9" x14ac:dyDescent="0.25">
      <c r="B14" s="30" t="s">
        <v>114</v>
      </c>
      <c r="C14" s="31" t="s">
        <v>115</v>
      </c>
      <c r="D14" s="31" t="s">
        <v>116</v>
      </c>
      <c r="E14" s="31" t="s">
        <v>117</v>
      </c>
      <c r="F14" s="10"/>
      <c r="G14" s="31" t="s">
        <v>118</v>
      </c>
      <c r="H14" s="31"/>
      <c r="I14" s="32"/>
    </row>
    <row r="15" spans="2:9" x14ac:dyDescent="0.25">
      <c r="B15" s="33" t="s">
        <v>119</v>
      </c>
      <c r="C15" s="34" t="s">
        <v>120</v>
      </c>
      <c r="D15" s="34" t="s">
        <v>121</v>
      </c>
      <c r="E15" s="34" t="s">
        <v>120</v>
      </c>
      <c r="F15" s="34" t="s">
        <v>122</v>
      </c>
      <c r="G15" s="31" t="s">
        <v>123</v>
      </c>
      <c r="H15" s="31" t="s">
        <v>120</v>
      </c>
      <c r="I15" s="32" t="s">
        <v>124</v>
      </c>
    </row>
    <row r="16" spans="2:9" x14ac:dyDescent="0.25">
      <c r="B16" s="35">
        <f>0.25*$F$8</f>
        <v>5.4493930683203899</v>
      </c>
      <c r="C16" s="3">
        <f>(2350/61.7)*B16*0.395</f>
        <v>81.983778211805543</v>
      </c>
      <c r="D16" s="36">
        <f>OutData!O2</f>
        <v>0</v>
      </c>
      <c r="E16" s="3">
        <f t="shared" ref="E16:E26" si="0">C16-(34.4764881*D16-4.325744048*D16^2+0.369475446*D16^3-0.01733631*D16^4+0.000339472*D16^5)</f>
        <v>81.983778211805543</v>
      </c>
      <c r="F16" s="3">
        <f t="shared" ref="F16:F26" si="1">(E16*60)/Volume</f>
        <v>27499.999999999996</v>
      </c>
      <c r="G16" s="37">
        <v>20000</v>
      </c>
      <c r="H16" s="38">
        <f t="shared" ref="H16:H26" si="2">G16*Volume/60</f>
        <v>59.624565972222214</v>
      </c>
      <c r="I16" s="39">
        <f t="shared" ref="I16:I26" si="3">G16^2*P0a+G16*P0b+P0c</f>
        <v>0</v>
      </c>
    </row>
    <row r="17" spans="2:9" x14ac:dyDescent="0.25">
      <c r="B17" s="35">
        <f>0.4*$F$8</f>
        <v>8.719028909312625</v>
      </c>
      <c r="C17" s="3">
        <f t="shared" ref="C17:C26" si="4">(2350/61.7)*B17*0.395</f>
        <v>131.17404513888889</v>
      </c>
      <c r="D17" s="36">
        <f>OutData!P2</f>
        <v>0</v>
      </c>
      <c r="E17" s="3">
        <f t="shared" si="0"/>
        <v>131.17404513888889</v>
      </c>
      <c r="F17" s="3">
        <f t="shared" si="1"/>
        <v>44000</v>
      </c>
      <c r="G17" s="37">
        <v>35000</v>
      </c>
      <c r="H17" s="38">
        <f t="shared" si="2"/>
        <v>104.34299045138889</v>
      </c>
      <c r="I17" s="39">
        <f t="shared" si="3"/>
        <v>0</v>
      </c>
    </row>
    <row r="18" spans="2:9" x14ac:dyDescent="0.25">
      <c r="B18" s="35">
        <f>0.5*$F$8</f>
        <v>10.89878613664078</v>
      </c>
      <c r="C18" s="3">
        <f t="shared" si="4"/>
        <v>163.96755642361109</v>
      </c>
      <c r="D18" s="36">
        <f>OutData!Q2</f>
        <v>1</v>
      </c>
      <c r="E18" s="3">
        <f t="shared" si="0"/>
        <v>133.46433376361108</v>
      </c>
      <c r="F18" s="3">
        <f t="shared" si="1"/>
        <v>44768.236577450036</v>
      </c>
      <c r="G18" s="37">
        <v>50000</v>
      </c>
      <c r="H18" s="38">
        <f t="shared" si="2"/>
        <v>149.06141493055554</v>
      </c>
      <c r="I18" s="39">
        <f t="shared" si="3"/>
        <v>0</v>
      </c>
    </row>
    <row r="19" spans="2:9" x14ac:dyDescent="0.25">
      <c r="B19" s="35">
        <f>0.6*$F$8</f>
        <v>13.078543363968935</v>
      </c>
      <c r="C19" s="3">
        <f t="shared" si="4"/>
        <v>196.76106770833329</v>
      </c>
      <c r="D19" s="36">
        <f>OutData!R2</f>
        <v>0</v>
      </c>
      <c r="E19" s="3">
        <f t="shared" si="0"/>
        <v>196.76106770833329</v>
      </c>
      <c r="F19" s="3">
        <f t="shared" si="1"/>
        <v>65999.999999999985</v>
      </c>
      <c r="G19" s="37">
        <v>60000</v>
      </c>
      <c r="H19" s="38">
        <f t="shared" si="2"/>
        <v>178.87369791666666</v>
      </c>
      <c r="I19" s="39">
        <f t="shared" si="3"/>
        <v>0</v>
      </c>
    </row>
    <row r="20" spans="2:9" x14ac:dyDescent="0.25">
      <c r="B20" s="35">
        <f>0.7*$F$8</f>
        <v>15.258300591297091</v>
      </c>
      <c r="C20" s="3">
        <f t="shared" si="4"/>
        <v>229.55457899305551</v>
      </c>
      <c r="D20" s="36">
        <f>OutData!S2</f>
        <v>0</v>
      </c>
      <c r="E20" s="3">
        <f t="shared" si="0"/>
        <v>229.55457899305551</v>
      </c>
      <c r="F20" s="3">
        <f t="shared" si="1"/>
        <v>76999.999999999985</v>
      </c>
      <c r="G20" s="37">
        <v>70000</v>
      </c>
      <c r="H20" s="38">
        <f t="shared" si="2"/>
        <v>208.68598090277777</v>
      </c>
      <c r="I20" s="39">
        <f t="shared" si="3"/>
        <v>0</v>
      </c>
    </row>
    <row r="21" spans="2:9" x14ac:dyDescent="0.25">
      <c r="B21" s="35">
        <f>0.75*$F$8</f>
        <v>16.34817920496117</v>
      </c>
      <c r="C21" s="3">
        <f t="shared" si="4"/>
        <v>245.95133463541663</v>
      </c>
      <c r="D21" s="36">
        <f>OutData!T2</f>
        <v>0</v>
      </c>
      <c r="E21" s="3">
        <f t="shared" si="0"/>
        <v>245.95133463541663</v>
      </c>
      <c r="F21" s="3">
        <f t="shared" si="1"/>
        <v>82500</v>
      </c>
      <c r="G21" s="37">
        <v>75000</v>
      </c>
      <c r="H21" s="38">
        <f t="shared" si="2"/>
        <v>223.59212239583334</v>
      </c>
      <c r="I21" s="39">
        <f t="shared" si="3"/>
        <v>0</v>
      </c>
    </row>
    <row r="22" spans="2:9" x14ac:dyDescent="0.25">
      <c r="B22" s="35">
        <f>0.8*$F$8</f>
        <v>17.43805781862525</v>
      </c>
      <c r="C22" s="3">
        <f t="shared" si="4"/>
        <v>262.34809027777777</v>
      </c>
      <c r="D22" s="36">
        <f>OutData!U2</f>
        <v>0</v>
      </c>
      <c r="E22" s="3">
        <f t="shared" si="0"/>
        <v>262.34809027777777</v>
      </c>
      <c r="F22" s="3">
        <f t="shared" si="1"/>
        <v>88000</v>
      </c>
      <c r="G22" s="37">
        <v>80000</v>
      </c>
      <c r="H22" s="38">
        <f t="shared" si="2"/>
        <v>238.49826388888886</v>
      </c>
      <c r="I22" s="39">
        <f t="shared" si="3"/>
        <v>0</v>
      </c>
    </row>
    <row r="23" spans="2:9" x14ac:dyDescent="0.25">
      <c r="B23" s="35">
        <f>0.85*$F$8</f>
        <v>18.527936432289327</v>
      </c>
      <c r="C23" s="3">
        <f t="shared" si="4"/>
        <v>278.74484592013886</v>
      </c>
      <c r="D23" s="36">
        <f>OutData!V2</f>
        <v>0</v>
      </c>
      <c r="E23" s="3">
        <f t="shared" si="0"/>
        <v>278.74484592013886</v>
      </c>
      <c r="F23" s="3">
        <f t="shared" si="1"/>
        <v>93500</v>
      </c>
      <c r="G23" s="37">
        <v>85000</v>
      </c>
      <c r="H23" s="38">
        <f t="shared" si="2"/>
        <v>253.40440538194443</v>
      </c>
      <c r="I23" s="39">
        <f t="shared" si="3"/>
        <v>0</v>
      </c>
    </row>
    <row r="24" spans="2:9" x14ac:dyDescent="0.25">
      <c r="B24" s="35">
        <f>0.9*$F$8</f>
        <v>19.617815045953403</v>
      </c>
      <c r="C24" s="3">
        <f t="shared" si="4"/>
        <v>295.14160156249989</v>
      </c>
      <c r="D24" s="36">
        <f>OutData!W2</f>
        <v>0</v>
      </c>
      <c r="E24" s="3">
        <f t="shared" si="0"/>
        <v>295.14160156249989</v>
      </c>
      <c r="F24" s="3">
        <f t="shared" si="1"/>
        <v>98999.999999999971</v>
      </c>
      <c r="G24" s="37">
        <v>90000</v>
      </c>
      <c r="H24" s="38">
        <f t="shared" si="2"/>
        <v>268.310546875</v>
      </c>
      <c r="I24" s="39">
        <f t="shared" si="3"/>
        <v>0</v>
      </c>
    </row>
    <row r="25" spans="2:9" x14ac:dyDescent="0.25">
      <c r="B25" s="35">
        <f>0.95*$F$8</f>
        <v>20.70769365961748</v>
      </c>
      <c r="C25" s="3">
        <f t="shared" si="4"/>
        <v>311.53835720486103</v>
      </c>
      <c r="D25" s="36">
        <f>OutData!X2</f>
        <v>0</v>
      </c>
      <c r="E25" s="3">
        <f t="shared" si="0"/>
        <v>311.53835720486103</v>
      </c>
      <c r="F25" s="3">
        <f t="shared" si="1"/>
        <v>104499.99999999997</v>
      </c>
      <c r="G25" s="37">
        <v>95000</v>
      </c>
      <c r="H25" s="38">
        <f t="shared" si="2"/>
        <v>283.21668836805554</v>
      </c>
      <c r="I25" s="39">
        <f t="shared" si="3"/>
        <v>0</v>
      </c>
    </row>
    <row r="26" spans="2:9" x14ac:dyDescent="0.25">
      <c r="B26" s="40">
        <f>1*$F$8</f>
        <v>21.79757227328156</v>
      </c>
      <c r="C26" s="41">
        <f t="shared" si="4"/>
        <v>327.93511284722217</v>
      </c>
      <c r="D26" s="36">
        <f>OutData!Y2</f>
        <v>0</v>
      </c>
      <c r="E26" s="41">
        <f t="shared" si="0"/>
        <v>327.93511284722217</v>
      </c>
      <c r="F26" s="41">
        <f t="shared" si="1"/>
        <v>109999.99999999999</v>
      </c>
      <c r="G26" s="42">
        <v>100000</v>
      </c>
      <c r="H26" s="43">
        <f t="shared" si="2"/>
        <v>298.12282986111109</v>
      </c>
      <c r="I26" s="44">
        <f t="shared" si="3"/>
        <v>0</v>
      </c>
    </row>
    <row r="28" spans="2:9" x14ac:dyDescent="0.25">
      <c r="B28" s="23" t="s">
        <v>105</v>
      </c>
      <c r="C28" s="7"/>
      <c r="D28" s="24">
        <f>OutData!C3</f>
        <v>0</v>
      </c>
      <c r="E28" s="7" t="s">
        <v>106</v>
      </c>
      <c r="F28" s="7"/>
      <c r="G28" s="25" t="s">
        <v>107</v>
      </c>
      <c r="H28" s="25" t="s">
        <v>108</v>
      </c>
      <c r="I28" s="26">
        <f>OutData!L3</f>
        <v>0</v>
      </c>
    </row>
    <row r="29" spans="2:9" x14ac:dyDescent="0.25">
      <c r="B29" s="27" t="s">
        <v>109</v>
      </c>
      <c r="C29" s="10"/>
      <c r="D29" s="24">
        <f>OutData!D3</f>
        <v>0</v>
      </c>
      <c r="E29" s="10" t="s">
        <v>110</v>
      </c>
      <c r="F29" s="10"/>
      <c r="G29" s="10"/>
      <c r="H29" s="28" t="s">
        <v>111</v>
      </c>
      <c r="I29" s="26">
        <f>OutData!M3</f>
        <v>0</v>
      </c>
    </row>
    <row r="30" spans="2:9" x14ac:dyDescent="0.25">
      <c r="B30" s="27" t="s">
        <v>112</v>
      </c>
      <c r="C30" s="10"/>
      <c r="D30" s="24">
        <f>OutData!E3</f>
        <v>0</v>
      </c>
      <c r="E30" s="10"/>
      <c r="F30" s="10"/>
      <c r="G30" s="10"/>
      <c r="H30" s="28" t="s">
        <v>113</v>
      </c>
      <c r="I30" s="26">
        <f>OutData!N3</f>
        <v>0</v>
      </c>
    </row>
    <row r="31" spans="2:9" x14ac:dyDescent="0.25">
      <c r="B31" s="30" t="s">
        <v>114</v>
      </c>
      <c r="C31" s="31" t="s">
        <v>115</v>
      </c>
      <c r="D31" s="31" t="s">
        <v>116</v>
      </c>
      <c r="E31" s="31" t="s">
        <v>117</v>
      </c>
      <c r="F31" s="45"/>
      <c r="G31" s="31" t="s">
        <v>118</v>
      </c>
      <c r="H31" s="31"/>
      <c r="I31" s="32"/>
    </row>
    <row r="32" spans="2:9" x14ac:dyDescent="0.25">
      <c r="B32" s="46" t="s">
        <v>119</v>
      </c>
      <c r="C32" s="31" t="s">
        <v>120</v>
      </c>
      <c r="D32" s="31" t="s">
        <v>121</v>
      </c>
      <c r="E32" s="31" t="s">
        <v>120</v>
      </c>
      <c r="F32" s="31" t="s">
        <v>122</v>
      </c>
      <c r="G32" s="31" t="s">
        <v>123</v>
      </c>
      <c r="H32" s="31" t="s">
        <v>120</v>
      </c>
      <c r="I32" s="32" t="s">
        <v>124</v>
      </c>
    </row>
    <row r="33" spans="2:9" x14ac:dyDescent="0.25">
      <c r="B33" s="35">
        <f>0.25*$F$8</f>
        <v>5.4493930683203899</v>
      </c>
      <c r="C33" s="3">
        <f>(2350/61.7)*B33*0.395</f>
        <v>81.983778211805543</v>
      </c>
      <c r="D33" s="36">
        <f>OutData!O3</f>
        <v>0</v>
      </c>
      <c r="E33" s="3">
        <f t="shared" ref="E33:E43" si="5">C33-(34.4764881*D33-4.325744048*D33^2+0.369475446*D33^3-0.01733631*D33^4+0.000339472*D33^5)</f>
        <v>81.983778211805543</v>
      </c>
      <c r="F33" s="3">
        <f t="shared" ref="F33:F43" si="6">(E33*60)/Volume</f>
        <v>27499.999999999996</v>
      </c>
      <c r="G33" s="37">
        <v>20000</v>
      </c>
      <c r="H33" s="38">
        <f t="shared" ref="H33:H43" si="7">G33*Volume/60</f>
        <v>59.624565972222214</v>
      </c>
      <c r="I33" s="39">
        <f t="shared" ref="I33:I43" si="8">G33^2*P1a+G33*P1b+P1c</f>
        <v>0</v>
      </c>
    </row>
    <row r="34" spans="2:9" x14ac:dyDescent="0.25">
      <c r="B34" s="35">
        <f>0.4*$F$8</f>
        <v>8.719028909312625</v>
      </c>
      <c r="C34" s="3">
        <f t="shared" ref="C34:C42" si="9">(2350/61.7)*B34*0.395</f>
        <v>131.17404513888889</v>
      </c>
      <c r="D34" s="36">
        <f>OutData!P3</f>
        <v>0</v>
      </c>
      <c r="E34" s="3">
        <f t="shared" si="5"/>
        <v>131.17404513888889</v>
      </c>
      <c r="F34" s="3">
        <f t="shared" si="6"/>
        <v>44000</v>
      </c>
      <c r="G34" s="37">
        <v>35000</v>
      </c>
      <c r="H34" s="38">
        <f t="shared" si="7"/>
        <v>104.34299045138889</v>
      </c>
      <c r="I34" s="39">
        <f t="shared" si="8"/>
        <v>0</v>
      </c>
    </row>
    <row r="35" spans="2:9" x14ac:dyDescent="0.25">
      <c r="B35" s="35">
        <f>0.5*$F$8</f>
        <v>10.89878613664078</v>
      </c>
      <c r="C35" s="3">
        <f t="shared" si="9"/>
        <v>163.96755642361109</v>
      </c>
      <c r="D35" s="47">
        <f>OutData!Q3</f>
        <v>0</v>
      </c>
      <c r="E35" s="3">
        <f t="shared" si="5"/>
        <v>163.96755642361109</v>
      </c>
      <c r="F35" s="3">
        <f t="shared" si="6"/>
        <v>54999.999999999993</v>
      </c>
      <c r="G35" s="37">
        <v>50000</v>
      </c>
      <c r="H35" s="38">
        <f t="shared" si="7"/>
        <v>149.06141493055554</v>
      </c>
      <c r="I35" s="39">
        <f t="shared" si="8"/>
        <v>0</v>
      </c>
    </row>
    <row r="36" spans="2:9" x14ac:dyDescent="0.25">
      <c r="B36" s="35">
        <f>0.6*$F$8</f>
        <v>13.078543363968935</v>
      </c>
      <c r="C36" s="3">
        <f t="shared" si="9"/>
        <v>196.76106770833329</v>
      </c>
      <c r="D36" s="47">
        <f>OutData!R3</f>
        <v>0</v>
      </c>
      <c r="E36" s="3">
        <f t="shared" si="5"/>
        <v>196.76106770833329</v>
      </c>
      <c r="F36" s="3">
        <f t="shared" si="6"/>
        <v>65999.999999999985</v>
      </c>
      <c r="G36" s="37">
        <v>60000</v>
      </c>
      <c r="H36" s="38">
        <f t="shared" si="7"/>
        <v>178.87369791666666</v>
      </c>
      <c r="I36" s="39">
        <f t="shared" si="8"/>
        <v>0</v>
      </c>
    </row>
    <row r="37" spans="2:9" x14ac:dyDescent="0.25">
      <c r="B37" s="35">
        <f>0.7*$F$8</f>
        <v>15.258300591297091</v>
      </c>
      <c r="C37" s="3">
        <f t="shared" si="9"/>
        <v>229.55457899305551</v>
      </c>
      <c r="D37" s="47">
        <f>OutData!S3</f>
        <v>0</v>
      </c>
      <c r="E37" s="3">
        <f t="shared" si="5"/>
        <v>229.55457899305551</v>
      </c>
      <c r="F37" s="3">
        <f t="shared" si="6"/>
        <v>76999.999999999985</v>
      </c>
      <c r="G37" s="37">
        <v>70000</v>
      </c>
      <c r="H37" s="38">
        <f t="shared" si="7"/>
        <v>208.68598090277777</v>
      </c>
      <c r="I37" s="39">
        <f t="shared" si="8"/>
        <v>0</v>
      </c>
    </row>
    <row r="38" spans="2:9" x14ac:dyDescent="0.25">
      <c r="B38" s="35">
        <f>0.75*$F$8</f>
        <v>16.34817920496117</v>
      </c>
      <c r="C38" s="3">
        <f t="shared" si="9"/>
        <v>245.95133463541663</v>
      </c>
      <c r="D38" s="47">
        <f>OutData!T3</f>
        <v>0</v>
      </c>
      <c r="E38" s="3">
        <f t="shared" si="5"/>
        <v>245.95133463541663</v>
      </c>
      <c r="F38" s="3">
        <f t="shared" si="6"/>
        <v>82500</v>
      </c>
      <c r="G38" s="37">
        <v>75000</v>
      </c>
      <c r="H38" s="38">
        <f t="shared" si="7"/>
        <v>223.59212239583334</v>
      </c>
      <c r="I38" s="39">
        <f t="shared" si="8"/>
        <v>0</v>
      </c>
    </row>
    <row r="39" spans="2:9" x14ac:dyDescent="0.25">
      <c r="B39" s="35">
        <f>0.8*$F$8</f>
        <v>17.43805781862525</v>
      </c>
      <c r="C39" s="3">
        <f t="shared" si="9"/>
        <v>262.34809027777777</v>
      </c>
      <c r="D39" s="47">
        <f>OutData!U3</f>
        <v>0</v>
      </c>
      <c r="E39" s="3">
        <f t="shared" si="5"/>
        <v>262.34809027777777</v>
      </c>
      <c r="F39" s="3">
        <f t="shared" si="6"/>
        <v>88000</v>
      </c>
      <c r="G39" s="37">
        <v>80000</v>
      </c>
      <c r="H39" s="38">
        <f t="shared" si="7"/>
        <v>238.49826388888886</v>
      </c>
      <c r="I39" s="39">
        <f t="shared" si="8"/>
        <v>0</v>
      </c>
    </row>
    <row r="40" spans="2:9" x14ac:dyDescent="0.25">
      <c r="B40" s="35">
        <f>0.85*$F$8</f>
        <v>18.527936432289327</v>
      </c>
      <c r="C40" s="3">
        <f t="shared" si="9"/>
        <v>278.74484592013886</v>
      </c>
      <c r="D40" s="47">
        <f>OutData!V3</f>
        <v>0</v>
      </c>
      <c r="E40" s="3">
        <f t="shared" si="5"/>
        <v>278.74484592013886</v>
      </c>
      <c r="F40" s="3">
        <f t="shared" si="6"/>
        <v>93500</v>
      </c>
      <c r="G40" s="37">
        <v>85000</v>
      </c>
      <c r="H40" s="38">
        <f t="shared" si="7"/>
        <v>253.40440538194443</v>
      </c>
      <c r="I40" s="39">
        <f t="shared" si="8"/>
        <v>0</v>
      </c>
    </row>
    <row r="41" spans="2:9" x14ac:dyDescent="0.25">
      <c r="B41" s="35">
        <f>0.9*$F$8</f>
        <v>19.617815045953403</v>
      </c>
      <c r="C41" s="3">
        <f t="shared" si="9"/>
        <v>295.14160156249989</v>
      </c>
      <c r="D41" s="47">
        <f>OutData!W3</f>
        <v>0</v>
      </c>
      <c r="E41" s="3">
        <f t="shared" si="5"/>
        <v>295.14160156249989</v>
      </c>
      <c r="F41" s="3">
        <f t="shared" si="6"/>
        <v>98999.999999999971</v>
      </c>
      <c r="G41" s="37">
        <v>90000</v>
      </c>
      <c r="H41" s="38">
        <f t="shared" si="7"/>
        <v>268.310546875</v>
      </c>
      <c r="I41" s="39">
        <f t="shared" si="8"/>
        <v>0</v>
      </c>
    </row>
    <row r="42" spans="2:9" x14ac:dyDescent="0.25">
      <c r="B42" s="35">
        <f>0.95*$F$8</f>
        <v>20.70769365961748</v>
      </c>
      <c r="C42" s="3">
        <f t="shared" si="9"/>
        <v>311.53835720486103</v>
      </c>
      <c r="D42" s="47">
        <f>OutData!X3</f>
        <v>0</v>
      </c>
      <c r="E42" s="3">
        <f t="shared" si="5"/>
        <v>311.53835720486103</v>
      </c>
      <c r="F42" s="3">
        <f t="shared" si="6"/>
        <v>104499.99999999997</v>
      </c>
      <c r="G42" s="37">
        <v>95000</v>
      </c>
      <c r="H42" s="38">
        <f t="shared" si="7"/>
        <v>283.21668836805554</v>
      </c>
      <c r="I42" s="39">
        <f t="shared" si="8"/>
        <v>0</v>
      </c>
    </row>
    <row r="43" spans="2:9" x14ac:dyDescent="0.25">
      <c r="B43" s="40">
        <f>1*$F$8</f>
        <v>21.79757227328156</v>
      </c>
      <c r="C43" s="41">
        <f>(2350/61.7)*B43*0.395</f>
        <v>327.93511284722217</v>
      </c>
      <c r="D43" s="48">
        <f>OutData!Y3</f>
        <v>0</v>
      </c>
      <c r="E43" s="41">
        <f t="shared" si="5"/>
        <v>327.93511284722217</v>
      </c>
      <c r="F43" s="41">
        <f t="shared" si="6"/>
        <v>109999.99999999999</v>
      </c>
      <c r="G43" s="42">
        <v>100000</v>
      </c>
      <c r="H43" s="43">
        <f t="shared" si="7"/>
        <v>298.12282986111109</v>
      </c>
      <c r="I43" s="44">
        <f t="shared" si="8"/>
        <v>0</v>
      </c>
    </row>
    <row r="45" spans="2:9" x14ac:dyDescent="0.25">
      <c r="B45" s="23" t="s">
        <v>105</v>
      </c>
      <c r="C45" s="7"/>
      <c r="D45" s="24">
        <f>OutData!C4</f>
        <v>0</v>
      </c>
      <c r="E45" s="7" t="s">
        <v>106</v>
      </c>
      <c r="F45" s="7"/>
      <c r="G45" s="25" t="s">
        <v>107</v>
      </c>
      <c r="H45" s="25" t="s">
        <v>108</v>
      </c>
      <c r="I45" s="26">
        <f>OutData!L4</f>
        <v>8.5026828443799999E-12</v>
      </c>
    </row>
    <row r="46" spans="2:9" x14ac:dyDescent="0.25">
      <c r="B46" s="27" t="s">
        <v>109</v>
      </c>
      <c r="C46" s="10"/>
      <c r="D46" s="24">
        <f>OutData!D4</f>
        <v>0</v>
      </c>
      <c r="E46" s="10" t="s">
        <v>110</v>
      </c>
      <c r="F46" s="10"/>
      <c r="G46" s="10"/>
      <c r="H46" s="28" t="s">
        <v>111</v>
      </c>
      <c r="I46" s="26">
        <f>OutData!M4</f>
        <v>7.4472068045800002E-7</v>
      </c>
    </row>
    <row r="47" spans="2:9" x14ac:dyDescent="0.25">
      <c r="B47" s="27" t="s">
        <v>112</v>
      </c>
      <c r="C47" s="10"/>
      <c r="D47" s="24">
        <f>OutData!E4</f>
        <v>0</v>
      </c>
      <c r="E47" s="10"/>
      <c r="F47" s="10"/>
      <c r="G47" s="10"/>
      <c r="H47" s="28" t="s">
        <v>113</v>
      </c>
      <c r="I47" s="26">
        <f>OutData!N4</f>
        <v>5.7577821241600003E-3</v>
      </c>
    </row>
    <row r="48" spans="2:9" x14ac:dyDescent="0.25">
      <c r="B48" s="30" t="s">
        <v>114</v>
      </c>
      <c r="C48" s="31" t="s">
        <v>115</v>
      </c>
      <c r="D48" s="31" t="s">
        <v>116</v>
      </c>
      <c r="E48" s="31" t="s">
        <v>117</v>
      </c>
      <c r="F48" s="45"/>
      <c r="G48" s="31" t="s">
        <v>118</v>
      </c>
      <c r="H48" s="31"/>
      <c r="I48" s="32"/>
    </row>
    <row r="49" spans="2:9" x14ac:dyDescent="0.25">
      <c r="B49" s="46" t="s">
        <v>119</v>
      </c>
      <c r="C49" s="31" t="s">
        <v>120</v>
      </c>
      <c r="D49" s="31" t="s">
        <v>121</v>
      </c>
      <c r="E49" s="31" t="s">
        <v>120</v>
      </c>
      <c r="F49" s="31" t="s">
        <v>122</v>
      </c>
      <c r="G49" s="31" t="s">
        <v>123</v>
      </c>
      <c r="H49" s="31" t="s">
        <v>120</v>
      </c>
      <c r="I49" s="32" t="s">
        <v>124</v>
      </c>
    </row>
    <row r="50" spans="2:9" x14ac:dyDescent="0.25">
      <c r="B50" s="35">
        <f>0.25*$F$8</f>
        <v>5.4493930683203899</v>
      </c>
      <c r="C50" s="3">
        <f>(2350/61.7)*B50*0.395</f>
        <v>81.983778211805543</v>
      </c>
      <c r="D50" s="36">
        <f>OutData!O4</f>
        <v>0</v>
      </c>
      <c r="E50" s="3">
        <f t="shared" ref="E50:E60" si="10">C50-(34.4764881*D50-4.325744048*D50^2+0.369475446*D50^3-0.01733631*D50^4+0.000339472*D50^5)</f>
        <v>81.983778211805543</v>
      </c>
      <c r="F50" s="3">
        <f t="shared" ref="F50:F60" si="11">(E50*60)/Volume</f>
        <v>27499.999999999996</v>
      </c>
      <c r="G50" s="37">
        <v>20000</v>
      </c>
      <c r="H50" s="38">
        <f t="shared" ref="H50:H60" si="12">G50*Volume/60</f>
        <v>59.624565972222214</v>
      </c>
      <c r="I50" s="39">
        <f t="shared" ref="I50:I60" si="13">G50^2*P2a+G50*P2b+P2c</f>
        <v>2.4053268871072002E-2</v>
      </c>
    </row>
    <row r="51" spans="2:9" x14ac:dyDescent="0.25">
      <c r="B51" s="35">
        <f>0.4*$F$8</f>
        <v>8.719028909312625</v>
      </c>
      <c r="C51" s="3">
        <f t="shared" ref="C51:C60" si="14">(2350/61.7)*B51*0.395</f>
        <v>131.17404513888889</v>
      </c>
      <c r="D51" s="36">
        <f>OutData!P4</f>
        <v>5.4000001400709152E-2</v>
      </c>
      <c r="E51" s="3">
        <f t="shared" si="10"/>
        <v>129.32487057166531</v>
      </c>
      <c r="F51" s="3">
        <f t="shared" si="11"/>
        <v>43379.727286204463</v>
      </c>
      <c r="G51" s="37">
        <v>35000</v>
      </c>
      <c r="H51" s="38">
        <f t="shared" si="12"/>
        <v>104.34299045138889</v>
      </c>
      <c r="I51" s="39">
        <f t="shared" si="13"/>
        <v>4.2238792424555499E-2</v>
      </c>
    </row>
    <row r="52" spans="2:9" x14ac:dyDescent="0.25">
      <c r="B52" s="35">
        <f>0.5*$F$8</f>
        <v>10.89878613664078</v>
      </c>
      <c r="C52" s="3">
        <f t="shared" si="14"/>
        <v>163.96755642361109</v>
      </c>
      <c r="D52" s="36">
        <f>OutData!Q4</f>
        <v>7.1000002324581146E-2</v>
      </c>
      <c r="E52" s="3">
        <f t="shared" si="10"/>
        <v>161.54139996613455</v>
      </c>
      <c r="F52" s="3">
        <f t="shared" si="11"/>
        <v>54186.188974991666</v>
      </c>
      <c r="G52" s="37">
        <v>50000</v>
      </c>
      <c r="H52" s="38">
        <f t="shared" si="12"/>
        <v>149.06141493055554</v>
      </c>
      <c r="I52" s="39">
        <f t="shared" si="13"/>
        <v>6.4250523258010006E-2</v>
      </c>
    </row>
    <row r="53" spans="2:9" x14ac:dyDescent="0.25">
      <c r="B53" s="35">
        <f>0.6*$F$8</f>
        <v>13.078543363968935</v>
      </c>
      <c r="C53" s="3">
        <f t="shared" si="14"/>
        <v>196.76106770833329</v>
      </c>
      <c r="D53" s="36">
        <f>OutData!R4</f>
        <v>9.0000003576278687E-2</v>
      </c>
      <c r="E53" s="3">
        <f t="shared" si="10"/>
        <v>193.69295397340787</v>
      </c>
      <c r="F53" s="3">
        <f t="shared" si="11"/>
        <v>64970.855825984603</v>
      </c>
      <c r="G53" s="37">
        <v>60000</v>
      </c>
      <c r="H53" s="38">
        <f t="shared" si="12"/>
        <v>178.87369791666666</v>
      </c>
      <c r="I53" s="39">
        <f t="shared" si="13"/>
        <v>8.1050681191408E-2</v>
      </c>
    </row>
    <row r="54" spans="2:9" x14ac:dyDescent="0.25">
      <c r="B54" s="35">
        <f>0.7*$F$8</f>
        <v>15.258300591297091</v>
      </c>
      <c r="C54" s="3">
        <f t="shared" si="14"/>
        <v>229.55457899305551</v>
      </c>
      <c r="D54" s="36">
        <f>OutData!S4</f>
        <v>0.1120000034570694</v>
      </c>
      <c r="E54" s="3">
        <f t="shared" si="10"/>
        <v>225.74695797882796</v>
      </c>
      <c r="F54" s="3">
        <f t="shared" si="11"/>
        <v>75722.801264163005</v>
      </c>
      <c r="G54" s="37">
        <v>70000</v>
      </c>
      <c r="H54" s="38">
        <f t="shared" si="12"/>
        <v>208.68598090277777</v>
      </c>
      <c r="I54" s="39">
        <f t="shared" si="13"/>
        <v>9.9551375693682012E-2</v>
      </c>
    </row>
    <row r="55" spans="2:9" x14ac:dyDescent="0.25">
      <c r="B55" s="35">
        <f>0.75*$F$8</f>
        <v>16.34817920496117</v>
      </c>
      <c r="C55" s="3">
        <f t="shared" si="14"/>
        <v>245.95133463541663</v>
      </c>
      <c r="D55" s="36">
        <f>OutData!T4</f>
        <v>0.12200000137090683</v>
      </c>
      <c r="E55" s="3">
        <f t="shared" si="10"/>
        <v>241.8089203359356</v>
      </c>
      <c r="F55" s="3">
        <f t="shared" si="11"/>
        <v>81110.500812228667</v>
      </c>
      <c r="G55" s="37">
        <v>75000</v>
      </c>
      <c r="H55" s="38">
        <f t="shared" si="12"/>
        <v>223.59212239583334</v>
      </c>
      <c r="I55" s="39">
        <f t="shared" si="13"/>
        <v>0.1094394241581475</v>
      </c>
    </row>
    <row r="56" spans="2:9" x14ac:dyDescent="0.25">
      <c r="B56" s="35">
        <f>0.8*$F$8</f>
        <v>17.43805781862525</v>
      </c>
      <c r="C56" s="3">
        <f t="shared" si="14"/>
        <v>262.34809027777777</v>
      </c>
      <c r="D56" s="36">
        <f>OutData!U4</f>
        <v>0.13300000131130219</v>
      </c>
      <c r="E56" s="3">
        <f t="shared" si="10"/>
        <v>257.83837157202873</v>
      </c>
      <c r="F56" s="3">
        <f t="shared" si="11"/>
        <v>86487.295083087054</v>
      </c>
      <c r="G56" s="37">
        <v>80000</v>
      </c>
      <c r="H56" s="38">
        <f t="shared" si="12"/>
        <v>238.49826388888886</v>
      </c>
      <c r="I56" s="39">
        <f t="shared" si="13"/>
        <v>0.11975260676483201</v>
      </c>
    </row>
    <row r="57" spans="2:9" x14ac:dyDescent="0.25">
      <c r="B57" s="35">
        <f>0.85*$F$8</f>
        <v>18.527936432289327</v>
      </c>
      <c r="C57" s="3">
        <f t="shared" si="14"/>
        <v>278.74484592013886</v>
      </c>
      <c r="D57" s="36">
        <f>OutData!V4</f>
        <v>0.14499999582767487</v>
      </c>
      <c r="E57" s="3">
        <f t="shared" si="10"/>
        <v>273.83558530264332</v>
      </c>
      <c r="F57" s="3">
        <f t="shared" si="11"/>
        <v>91853.27585620241</v>
      </c>
      <c r="G57" s="37">
        <v>85000</v>
      </c>
      <c r="H57" s="38">
        <f t="shared" si="12"/>
        <v>253.40440538194443</v>
      </c>
      <c r="I57" s="39">
        <f t="shared" si="13"/>
        <v>0.13049092351373551</v>
      </c>
    </row>
    <row r="58" spans="2:9" x14ac:dyDescent="0.25">
      <c r="B58" s="35">
        <f>0.9*$F$8</f>
        <v>19.617815045953403</v>
      </c>
      <c r="C58" s="3">
        <f t="shared" si="14"/>
        <v>295.14160156249989</v>
      </c>
      <c r="D58" s="36">
        <f>OutData!W4</f>
        <v>0.15899999439716339</v>
      </c>
      <c r="E58" s="3">
        <f t="shared" si="10"/>
        <v>289.7677251484406</v>
      </c>
      <c r="F58" s="3">
        <f t="shared" si="11"/>
        <v>97197.428752248554</v>
      </c>
      <c r="G58" s="37">
        <v>90000</v>
      </c>
      <c r="H58" s="38">
        <f t="shared" si="12"/>
        <v>268.310546875</v>
      </c>
      <c r="I58" s="39">
        <f t="shared" si="13"/>
        <v>0.14165437440485801</v>
      </c>
    </row>
    <row r="59" spans="2:9" x14ac:dyDescent="0.25">
      <c r="B59" s="35">
        <f>0.95*$F$8</f>
        <v>20.70769365961748</v>
      </c>
      <c r="C59" s="3">
        <f t="shared" si="14"/>
        <v>311.53835720486103</v>
      </c>
      <c r="D59" s="36">
        <f>OutData!X4</f>
        <v>0.17200000584125519</v>
      </c>
      <c r="E59" s="3">
        <f t="shared" si="10"/>
        <v>305.73450893596134</v>
      </c>
      <c r="F59" s="3">
        <f t="shared" si="11"/>
        <v>102553.20234226824</v>
      </c>
      <c r="G59" s="37">
        <v>95000</v>
      </c>
      <c r="H59" s="38">
        <f t="shared" si="12"/>
        <v>283.21668836805554</v>
      </c>
      <c r="I59" s="39">
        <f t="shared" si="13"/>
        <v>0.15324295943819952</v>
      </c>
    </row>
    <row r="60" spans="2:9" x14ac:dyDescent="0.25">
      <c r="B60" s="40">
        <f>1*$F$8</f>
        <v>21.79757227328156</v>
      </c>
      <c r="C60" s="41">
        <f t="shared" si="14"/>
        <v>327.93511284722217</v>
      </c>
      <c r="D60" s="36">
        <f>OutData!Y4</f>
        <v>0.18500000238418579</v>
      </c>
      <c r="E60" s="41">
        <f t="shared" si="10"/>
        <v>321.70269191365639</v>
      </c>
      <c r="F60" s="41">
        <f t="shared" si="11"/>
        <v>107909.44526574186</v>
      </c>
      <c r="G60" s="42">
        <v>100000</v>
      </c>
      <c r="H60" s="43">
        <f t="shared" si="12"/>
        <v>298.12282986111109</v>
      </c>
      <c r="I60" s="44">
        <f t="shared" si="13"/>
        <v>0.16525667861376001</v>
      </c>
    </row>
    <row r="62" spans="2:9" x14ac:dyDescent="0.25">
      <c r="F62" s="49"/>
    </row>
    <row r="63" spans="2:9" x14ac:dyDescent="0.25">
      <c r="B63" s="50"/>
      <c r="C63" s="51"/>
      <c r="D63" s="51"/>
      <c r="F63" s="52"/>
    </row>
    <row r="64" spans="2:9" x14ac:dyDescent="0.25">
      <c r="B64" s="50"/>
      <c r="C64" s="51"/>
      <c r="D64" s="51"/>
      <c r="E64" s="53"/>
      <c r="F64" s="52"/>
    </row>
    <row r="65" spans="3:6" x14ac:dyDescent="0.25">
      <c r="C65" s="54"/>
      <c r="D65" s="55"/>
      <c r="F65" s="52"/>
    </row>
  </sheetData>
  <dataConsolidate link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5"/>
  <dimension ref="A1:DJ5"/>
  <sheetViews>
    <sheetView topLeftCell="AG1" workbookViewId="0">
      <selection sqref="A1:DI4"/>
    </sheetView>
  </sheetViews>
  <sheetFormatPr defaultRowHeight="15" x14ac:dyDescent="0.25"/>
  <cols>
    <col min="1" max="1" width="12.7109375" bestFit="1" customWidth="1"/>
    <col min="2" max="2" width="9.5703125" bestFit="1" customWidth="1"/>
    <col min="3" max="3" width="8.5703125" bestFit="1" customWidth="1"/>
    <col min="4" max="4" width="18.7109375" bestFit="1" customWidth="1"/>
    <col min="5" max="5" width="12.7109375" bestFit="1" customWidth="1"/>
    <col min="6" max="6" width="8.85546875" bestFit="1" customWidth="1"/>
    <col min="7" max="10" width="10.5703125" bestFit="1" customWidth="1"/>
    <col min="11" max="11" width="14.7109375" bestFit="1" customWidth="1"/>
    <col min="12" max="12" width="12.85546875" bestFit="1" customWidth="1"/>
    <col min="13" max="13" width="13.140625" bestFit="1" customWidth="1"/>
    <col min="14" max="14" width="12.7109375" bestFit="1" customWidth="1"/>
    <col min="15" max="20" width="12" bestFit="1" customWidth="1"/>
    <col min="21" max="21" width="11" bestFit="1" customWidth="1"/>
    <col min="22" max="23" width="12" bestFit="1" customWidth="1"/>
    <col min="24" max="25" width="5.7109375" bestFit="1" customWidth="1"/>
    <col min="26" max="26" width="12.7109375" bestFit="1" customWidth="1"/>
    <col min="27" max="27" width="9.7109375" bestFit="1" customWidth="1"/>
    <col min="28" max="28" width="7.7109375" bestFit="1" customWidth="1"/>
    <col min="29" max="29" width="10.85546875" bestFit="1" customWidth="1"/>
    <col min="30" max="30" width="16.42578125" bestFit="1" customWidth="1"/>
    <col min="31" max="31" width="26.28515625" bestFit="1" customWidth="1"/>
    <col min="32" max="32" width="12" bestFit="1" customWidth="1"/>
    <col min="33" max="33" width="27.5703125" bestFit="1" customWidth="1"/>
    <col min="34" max="34" width="15.28515625" bestFit="1" customWidth="1"/>
    <col min="35" max="35" width="13.140625" bestFit="1" customWidth="1"/>
    <col min="36" max="36" width="9.140625" bestFit="1" customWidth="1"/>
    <col min="37" max="37" width="8.42578125" bestFit="1" customWidth="1"/>
    <col min="38" max="38" width="11.5703125" bestFit="1" customWidth="1"/>
    <col min="39" max="39" width="15" bestFit="1" customWidth="1"/>
    <col min="40" max="40" width="12.85546875" bestFit="1" customWidth="1"/>
    <col min="41" max="41" width="9.7109375" bestFit="1" customWidth="1"/>
    <col min="42" max="42" width="42.42578125" bestFit="1" customWidth="1"/>
    <col min="43" max="43" width="15.42578125" bestFit="1" customWidth="1"/>
    <col min="44" max="44" width="21" bestFit="1" customWidth="1"/>
    <col min="45" max="45" width="14.85546875" bestFit="1" customWidth="1"/>
    <col min="46" max="46" width="10" bestFit="1" customWidth="1"/>
    <col min="47" max="47" width="9.28515625" bestFit="1" customWidth="1"/>
    <col min="48" max="48" width="5.5703125" bestFit="1" customWidth="1"/>
    <col min="49" max="49" width="14.85546875" bestFit="1" customWidth="1"/>
    <col min="50" max="50" width="15.42578125" bestFit="1" customWidth="1"/>
    <col min="51" max="51" width="14.7109375" bestFit="1" customWidth="1"/>
    <col min="52" max="52" width="9.140625" bestFit="1" customWidth="1"/>
    <col min="53" max="53" width="7.140625" bestFit="1" customWidth="1"/>
    <col min="54" max="54" width="6" bestFit="1" customWidth="1"/>
    <col min="55" max="55" width="5.5703125" bestFit="1" customWidth="1"/>
    <col min="56" max="56" width="22.7109375" bestFit="1" customWidth="1"/>
    <col min="57" max="57" width="15.85546875" bestFit="1" customWidth="1"/>
    <col min="58" max="58" width="9.140625" bestFit="1" customWidth="1"/>
    <col min="59" max="59" width="9.28515625" bestFit="1" customWidth="1"/>
    <col min="60" max="60" width="6" bestFit="1" customWidth="1"/>
    <col min="61" max="61" width="5.5703125" bestFit="1" customWidth="1"/>
    <col min="62" max="62" width="21.42578125" bestFit="1" customWidth="1"/>
    <col min="63" max="63" width="13.28515625" bestFit="1" customWidth="1"/>
    <col min="64" max="64" width="13.42578125" bestFit="1" customWidth="1"/>
    <col min="65" max="65" width="6.7109375" bestFit="1" customWidth="1"/>
    <col min="66" max="66" width="5" bestFit="1" customWidth="1"/>
    <col min="67" max="67" width="21.42578125" bestFit="1" customWidth="1"/>
    <col min="68" max="68" width="19.28515625" bestFit="1" customWidth="1"/>
    <col min="69" max="69" width="20.28515625" bestFit="1" customWidth="1"/>
    <col min="70" max="70" width="27.140625" customWidth="1"/>
    <col min="71" max="71" width="17.28515625" customWidth="1"/>
    <col min="72" max="72" width="5" bestFit="1" customWidth="1"/>
    <col min="73" max="73" width="19" bestFit="1" customWidth="1"/>
    <col min="74" max="74" width="17.7109375" bestFit="1" customWidth="1"/>
    <col min="75" max="75" width="11.28515625" bestFit="1" customWidth="1"/>
    <col min="76" max="76" width="13.7109375" bestFit="1" customWidth="1"/>
    <col min="77" max="77" width="11.85546875" bestFit="1" customWidth="1"/>
    <col min="78" max="78" width="13.42578125" bestFit="1" customWidth="1"/>
    <col min="79" max="79" width="13.5703125" bestFit="1" customWidth="1"/>
    <col min="80" max="80" width="14.5703125" bestFit="1" customWidth="1"/>
    <col min="81" max="81" width="18" bestFit="1" customWidth="1"/>
    <col min="82" max="82" width="12.140625" bestFit="1" customWidth="1"/>
    <col min="83" max="83" width="15.5703125" bestFit="1" customWidth="1"/>
    <col min="84" max="84" width="17.85546875" customWidth="1"/>
    <col min="85" max="85" width="14.5703125" bestFit="1" customWidth="1"/>
    <col min="86" max="86" width="21.7109375" customWidth="1"/>
    <col min="87" max="87" width="15.140625" bestFit="1" customWidth="1"/>
    <col min="88" max="88" width="27.28515625" bestFit="1" customWidth="1"/>
    <col min="89" max="89" width="19" bestFit="1" customWidth="1"/>
    <col min="90" max="90" width="18.140625" bestFit="1" customWidth="1"/>
    <col min="91" max="91" width="20.85546875" customWidth="1"/>
    <col min="92" max="92" width="18.5703125" customWidth="1"/>
    <col min="93" max="93" width="15.85546875" bestFit="1" customWidth="1"/>
    <col min="94" max="94" width="17.5703125" bestFit="1" customWidth="1"/>
    <col min="95" max="95" width="20.140625" customWidth="1"/>
    <col min="96" max="96" width="19.140625" customWidth="1"/>
    <col min="97" max="97" width="18.7109375" bestFit="1" customWidth="1"/>
    <col min="98" max="98" width="14.28515625" bestFit="1" customWidth="1"/>
    <col min="99" max="99" width="23.140625" bestFit="1" customWidth="1"/>
    <col min="100" max="100" width="28" customWidth="1"/>
    <col min="101" max="101" width="55.140625" bestFit="1" customWidth="1"/>
    <col min="102" max="102" width="12.140625" bestFit="1" customWidth="1"/>
    <col min="103" max="103" width="15.5703125" bestFit="1" customWidth="1"/>
    <col min="104" max="104" width="16.28515625" bestFit="1" customWidth="1"/>
    <col min="105" max="105" width="15.5703125" bestFit="1" customWidth="1"/>
    <col min="106" max="106" width="13.7109375" bestFit="1" customWidth="1"/>
    <col min="107" max="107" width="14.140625" bestFit="1" customWidth="1"/>
    <col min="108" max="108" width="7.85546875" bestFit="1" customWidth="1"/>
    <col min="109" max="109" width="7.7109375" bestFit="1" customWidth="1"/>
    <col min="110" max="110" width="15.85546875" bestFit="1" customWidth="1"/>
    <col min="111" max="111" width="17.28515625" bestFit="1" customWidth="1"/>
    <col min="112" max="112" width="14.28515625" bestFit="1" customWidth="1"/>
    <col min="113" max="113" width="23.140625" bestFit="1" customWidth="1"/>
    <col min="114" max="114" width="9.4257812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74</v>
      </c>
      <c r="AB1" t="s">
        <v>31</v>
      </c>
      <c r="AC1" t="s">
        <v>75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158</v>
      </c>
      <c r="AN1" t="s">
        <v>159</v>
      </c>
      <c r="AO1" t="s">
        <v>153</v>
      </c>
      <c r="AP1" t="s">
        <v>160</v>
      </c>
      <c r="AQ1" t="s">
        <v>71</v>
      </c>
      <c r="AR1" t="s">
        <v>76</v>
      </c>
      <c r="AS1" t="s">
        <v>77</v>
      </c>
      <c r="AT1" t="s">
        <v>42</v>
      </c>
      <c r="AU1" t="s">
        <v>43</v>
      </c>
      <c r="AV1" t="s">
        <v>44</v>
      </c>
      <c r="AW1" t="s">
        <v>45</v>
      </c>
      <c r="AX1" t="s">
        <v>4</v>
      </c>
      <c r="AY1" t="s">
        <v>41</v>
      </c>
      <c r="AZ1" t="s">
        <v>77</v>
      </c>
      <c r="BA1" t="s">
        <v>47</v>
      </c>
      <c r="BB1" t="s">
        <v>48</v>
      </c>
      <c r="BC1" t="s">
        <v>5</v>
      </c>
      <c r="BD1" t="s">
        <v>3</v>
      </c>
      <c r="BE1" t="s">
        <v>4</v>
      </c>
      <c r="BF1" t="s">
        <v>46</v>
      </c>
      <c r="BG1" t="s">
        <v>47</v>
      </c>
      <c r="BH1" t="s">
        <v>48</v>
      </c>
      <c r="BI1" t="s">
        <v>5</v>
      </c>
      <c r="BJ1" t="s">
        <v>3</v>
      </c>
      <c r="BK1" t="s">
        <v>4</v>
      </c>
      <c r="BL1" t="s">
        <v>78</v>
      </c>
      <c r="BM1" t="s">
        <v>50</v>
      </c>
      <c r="BN1" t="s">
        <v>0</v>
      </c>
      <c r="BO1" t="s">
        <v>2</v>
      </c>
      <c r="BP1" t="s">
        <v>1</v>
      </c>
      <c r="BQ1" t="s">
        <v>161</v>
      </c>
      <c r="BR1" t="s">
        <v>225</v>
      </c>
      <c r="BS1" t="s">
        <v>226</v>
      </c>
      <c r="BT1" t="s">
        <v>79</v>
      </c>
      <c r="BU1" t="s">
        <v>49</v>
      </c>
      <c r="BV1" t="s">
        <v>2</v>
      </c>
      <c r="BW1" t="s">
        <v>1</v>
      </c>
      <c r="BX1" t="s">
        <v>51</v>
      </c>
      <c r="BY1" t="s">
        <v>80</v>
      </c>
      <c r="BZ1" t="s">
        <v>52</v>
      </c>
      <c r="CA1" t="s">
        <v>53</v>
      </c>
      <c r="CB1" t="s">
        <v>54</v>
      </c>
      <c r="CC1" t="s">
        <v>49</v>
      </c>
      <c r="CD1" t="s">
        <v>55</v>
      </c>
      <c r="CE1" t="s">
        <v>56</v>
      </c>
      <c r="CF1" t="s">
        <v>57</v>
      </c>
      <c r="CG1" t="s">
        <v>58</v>
      </c>
      <c r="CH1" t="s">
        <v>59</v>
      </c>
      <c r="CI1" t="s">
        <v>81</v>
      </c>
      <c r="CJ1" t="s">
        <v>82</v>
      </c>
      <c r="CK1" t="s">
        <v>83</v>
      </c>
      <c r="CL1" t="s">
        <v>84</v>
      </c>
      <c r="CM1" t="s">
        <v>85</v>
      </c>
      <c r="CN1" t="s">
        <v>86</v>
      </c>
      <c r="CO1" t="s">
        <v>87</v>
      </c>
      <c r="CP1" t="s">
        <v>60</v>
      </c>
      <c r="CQ1" t="s">
        <v>61</v>
      </c>
      <c r="CR1" t="s">
        <v>62</v>
      </c>
      <c r="CS1" t="s">
        <v>88</v>
      </c>
      <c r="CT1" t="s">
        <v>89</v>
      </c>
      <c r="CU1" t="s">
        <v>90</v>
      </c>
      <c r="CV1" t="s">
        <v>91</v>
      </c>
      <c r="CW1" t="s">
        <v>63</v>
      </c>
      <c r="CX1" t="s">
        <v>64</v>
      </c>
      <c r="CY1" t="s">
        <v>65</v>
      </c>
      <c r="CZ1" t="s">
        <v>92</v>
      </c>
      <c r="DA1" t="s">
        <v>162</v>
      </c>
      <c r="DB1" t="s">
        <v>163</v>
      </c>
      <c r="DC1" t="s">
        <v>164</v>
      </c>
      <c r="DD1" t="s">
        <v>165</v>
      </c>
      <c r="DE1" t="s">
        <v>166</v>
      </c>
      <c r="DF1" t="s">
        <v>167</v>
      </c>
      <c r="DG1" t="s">
        <v>168</v>
      </c>
      <c r="DH1" t="s">
        <v>169</v>
      </c>
      <c r="DI1" t="s">
        <v>248</v>
      </c>
      <c r="DJ1" t="s">
        <v>65</v>
      </c>
    </row>
    <row r="2" spans="1:114" x14ac:dyDescent="0.25">
      <c r="A2">
        <v>3121</v>
      </c>
      <c r="B2">
        <v>0</v>
      </c>
      <c r="C2">
        <v>60</v>
      </c>
      <c r="F2">
        <v>15.32</v>
      </c>
      <c r="G2">
        <v>4.5</v>
      </c>
      <c r="H2">
        <v>5</v>
      </c>
      <c r="I2">
        <v>4.5</v>
      </c>
      <c r="J2">
        <v>5</v>
      </c>
      <c r="K2">
        <v>4.5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3121</v>
      </c>
      <c r="AA2" t="s">
        <v>253</v>
      </c>
      <c r="AB2" t="s">
        <v>254</v>
      </c>
      <c r="AC2" t="s">
        <v>255</v>
      </c>
      <c r="AD2">
        <v>0</v>
      </c>
      <c r="AE2" t="b">
        <v>0</v>
      </c>
      <c r="AF2" t="b">
        <v>1</v>
      </c>
      <c r="AG2" t="b">
        <v>0</v>
      </c>
      <c r="AI2" t="b">
        <v>0</v>
      </c>
      <c r="AJ2" t="b">
        <v>0</v>
      </c>
      <c r="AK2" t="b">
        <v>0</v>
      </c>
      <c r="AL2" t="s">
        <v>256</v>
      </c>
      <c r="AM2">
        <v>0</v>
      </c>
      <c r="AN2">
        <v>0</v>
      </c>
      <c r="AO2" s="1">
        <v>6000</v>
      </c>
      <c r="AP2">
        <v>0</v>
      </c>
      <c r="AQ2" s="1">
        <v>43840.829955983798</v>
      </c>
      <c r="AR2" t="s">
        <v>257</v>
      </c>
      <c r="AS2" t="s">
        <v>258</v>
      </c>
      <c r="AT2" t="s">
        <v>259</v>
      </c>
      <c r="AV2" t="s">
        <v>260</v>
      </c>
      <c r="AW2" t="s">
        <v>261</v>
      </c>
      <c r="AX2" t="s">
        <v>66</v>
      </c>
      <c r="AY2" s="1" t="s">
        <v>257</v>
      </c>
      <c r="AZ2" s="1" t="s">
        <v>258</v>
      </c>
      <c r="BA2" t="s">
        <v>259</v>
      </c>
      <c r="BC2" t="s">
        <v>260</v>
      </c>
      <c r="BD2" t="s">
        <v>261</v>
      </c>
      <c r="BE2" t="s">
        <v>66</v>
      </c>
      <c r="BF2" t="s">
        <v>260</v>
      </c>
      <c r="BG2" t="s">
        <v>259</v>
      </c>
      <c r="BI2" t="s">
        <v>260</v>
      </c>
      <c r="BJ2" t="s">
        <v>261</v>
      </c>
      <c r="BK2" t="s">
        <v>66</v>
      </c>
      <c r="BL2" t="s">
        <v>262</v>
      </c>
      <c r="BN2" t="s">
        <v>263</v>
      </c>
      <c r="BO2" t="s">
        <v>264</v>
      </c>
      <c r="BP2">
        <v>2000</v>
      </c>
      <c r="BQ2" t="s">
        <v>265</v>
      </c>
      <c r="BR2">
        <v>-1</v>
      </c>
      <c r="BS2">
        <v>-1</v>
      </c>
      <c r="BX2" t="s">
        <v>67</v>
      </c>
      <c r="BY2" t="s">
        <v>263</v>
      </c>
      <c r="BZ2" t="s">
        <v>230</v>
      </c>
      <c r="CA2">
        <v>0</v>
      </c>
      <c r="CB2" t="s">
        <v>266</v>
      </c>
      <c r="CD2" t="s">
        <v>267</v>
      </c>
      <c r="CE2">
        <v>9.5</v>
      </c>
      <c r="CF2" s="282">
        <v>7.5</v>
      </c>
      <c r="CG2">
        <v>7.75</v>
      </c>
      <c r="CH2" s="282">
        <v>7</v>
      </c>
      <c r="CI2" t="s">
        <v>249</v>
      </c>
      <c r="CJ2" s="282" t="s">
        <v>268</v>
      </c>
      <c r="CK2" t="s">
        <v>269</v>
      </c>
      <c r="CL2" t="s">
        <v>268</v>
      </c>
      <c r="CM2" s="282" t="s">
        <v>250</v>
      </c>
      <c r="CN2" t="s">
        <v>93</v>
      </c>
      <c r="CO2" t="s">
        <v>251</v>
      </c>
      <c r="CP2" t="b">
        <v>0</v>
      </c>
      <c r="CQ2" t="b">
        <v>1</v>
      </c>
      <c r="CR2" t="b">
        <v>0</v>
      </c>
      <c r="CS2" t="b">
        <v>0</v>
      </c>
      <c r="CT2" t="b">
        <v>1</v>
      </c>
      <c r="CU2" t="b">
        <v>0</v>
      </c>
      <c r="CW2">
        <v>6.625</v>
      </c>
      <c r="CX2">
        <v>110000</v>
      </c>
      <c r="CY2">
        <v>60</v>
      </c>
      <c r="CZ2" t="s">
        <v>270</v>
      </c>
      <c r="DA2" t="b">
        <v>1</v>
      </c>
      <c r="DC2" t="s">
        <v>170</v>
      </c>
      <c r="DD2" t="s">
        <v>171</v>
      </c>
      <c r="DF2" t="s">
        <v>172</v>
      </c>
      <c r="DG2" t="s">
        <v>66</v>
      </c>
      <c r="DH2" t="s">
        <v>173</v>
      </c>
      <c r="DI2" s="1">
        <v>43840</v>
      </c>
    </row>
    <row r="3" spans="1:114" x14ac:dyDescent="0.25">
      <c r="A3">
        <v>3121</v>
      </c>
      <c r="B3">
        <v>1</v>
      </c>
      <c r="G3">
        <v>6.5</v>
      </c>
      <c r="H3">
        <v>6.5</v>
      </c>
      <c r="I3">
        <v>6.5</v>
      </c>
      <c r="J3">
        <v>6.5</v>
      </c>
      <c r="K3">
        <v>6.5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3121</v>
      </c>
      <c r="AA3" t="s">
        <v>253</v>
      </c>
      <c r="AB3" t="s">
        <v>254</v>
      </c>
      <c r="AC3" t="s">
        <v>255</v>
      </c>
      <c r="AD3">
        <v>0</v>
      </c>
      <c r="AE3" t="b">
        <v>0</v>
      </c>
      <c r="AF3" t="b">
        <v>1</v>
      </c>
      <c r="AG3" t="b">
        <v>0</v>
      </c>
      <c r="AI3" t="b">
        <v>0</v>
      </c>
      <c r="AJ3" t="b">
        <v>0</v>
      </c>
      <c r="AK3" t="b">
        <v>0</v>
      </c>
      <c r="AL3" t="s">
        <v>256</v>
      </c>
      <c r="AM3">
        <v>0</v>
      </c>
      <c r="AN3">
        <v>0</v>
      </c>
      <c r="AO3" s="1">
        <v>6000</v>
      </c>
      <c r="AP3">
        <v>0</v>
      </c>
      <c r="AQ3" s="1">
        <v>43840.829955983798</v>
      </c>
      <c r="AR3" t="s">
        <v>257</v>
      </c>
      <c r="AS3" t="s">
        <v>258</v>
      </c>
      <c r="AT3" t="s">
        <v>259</v>
      </c>
      <c r="AV3" t="s">
        <v>260</v>
      </c>
      <c r="AW3" t="s">
        <v>261</v>
      </c>
      <c r="AX3" t="s">
        <v>66</v>
      </c>
      <c r="AY3" s="1" t="s">
        <v>257</v>
      </c>
      <c r="AZ3" s="1" t="s">
        <v>258</v>
      </c>
      <c r="BA3" t="s">
        <v>259</v>
      </c>
      <c r="BC3" t="s">
        <v>260</v>
      </c>
      <c r="BD3" t="s">
        <v>261</v>
      </c>
      <c r="BE3" t="s">
        <v>66</v>
      </c>
      <c r="BF3" t="s">
        <v>260</v>
      </c>
      <c r="BG3" t="s">
        <v>259</v>
      </c>
      <c r="BI3" t="s">
        <v>260</v>
      </c>
      <c r="BJ3" t="s">
        <v>261</v>
      </c>
      <c r="BK3" t="s">
        <v>66</v>
      </c>
      <c r="BL3" t="s">
        <v>262</v>
      </c>
      <c r="BN3" t="s">
        <v>263</v>
      </c>
      <c r="BO3" t="s">
        <v>264</v>
      </c>
      <c r="BP3">
        <v>2000</v>
      </c>
      <c r="BQ3" t="s">
        <v>265</v>
      </c>
      <c r="BR3">
        <v>-1</v>
      </c>
      <c r="BS3">
        <v>-1</v>
      </c>
      <c r="BX3" t="s">
        <v>67</v>
      </c>
      <c r="BY3" t="s">
        <v>263</v>
      </c>
      <c r="BZ3" t="s">
        <v>230</v>
      </c>
      <c r="CA3">
        <v>0</v>
      </c>
      <c r="CB3" t="s">
        <v>266</v>
      </c>
      <c r="CD3" t="s">
        <v>267</v>
      </c>
      <c r="CE3">
        <v>9.5</v>
      </c>
      <c r="CF3" s="282">
        <v>7.5</v>
      </c>
      <c r="CG3">
        <v>7.75</v>
      </c>
      <c r="CH3" s="282">
        <v>7</v>
      </c>
      <c r="CI3" t="s">
        <v>249</v>
      </c>
      <c r="CJ3" s="282" t="s">
        <v>268</v>
      </c>
      <c r="CK3" t="s">
        <v>269</v>
      </c>
      <c r="CL3" t="s">
        <v>268</v>
      </c>
      <c r="CM3" s="282" t="s">
        <v>250</v>
      </c>
      <c r="CN3" t="s">
        <v>93</v>
      </c>
      <c r="CO3" t="s">
        <v>251</v>
      </c>
      <c r="CP3" t="b">
        <v>0</v>
      </c>
      <c r="CQ3" t="b">
        <v>1</v>
      </c>
      <c r="CR3" t="b">
        <v>0</v>
      </c>
      <c r="CS3" t="b">
        <v>0</v>
      </c>
      <c r="CT3" t="b">
        <v>1</v>
      </c>
      <c r="CU3" t="b">
        <v>0</v>
      </c>
      <c r="CW3">
        <v>6.625</v>
      </c>
      <c r="CX3">
        <v>110000</v>
      </c>
      <c r="CY3">
        <v>60</v>
      </c>
      <c r="CZ3" t="s">
        <v>270</v>
      </c>
      <c r="DA3" t="b">
        <v>1</v>
      </c>
      <c r="DC3" t="s">
        <v>170</v>
      </c>
      <c r="DD3" t="s">
        <v>171</v>
      </c>
      <c r="DF3" t="s">
        <v>172</v>
      </c>
      <c r="DG3" t="s">
        <v>66</v>
      </c>
      <c r="DH3" t="s">
        <v>173</v>
      </c>
      <c r="DI3" s="1">
        <v>43840</v>
      </c>
    </row>
    <row r="4" spans="1:114" x14ac:dyDescent="0.25">
      <c r="A4">
        <v>3121</v>
      </c>
      <c r="B4">
        <v>2</v>
      </c>
      <c r="F4">
        <v>14.94</v>
      </c>
      <c r="L4">
        <v>8.5026828443799999E-12</v>
      </c>
      <c r="M4">
        <v>7.4472068045800002E-7</v>
      </c>
      <c r="N4">
        <v>5.7577821241600003E-3</v>
      </c>
      <c r="O4">
        <v>0</v>
      </c>
      <c r="P4">
        <v>5.4000001400709152E-2</v>
      </c>
      <c r="Q4">
        <v>7.1000002324581146E-2</v>
      </c>
      <c r="R4">
        <v>9.0000003576278687E-2</v>
      </c>
      <c r="S4">
        <v>0.1120000034570694</v>
      </c>
      <c r="T4">
        <v>0.12200000137090683</v>
      </c>
      <c r="U4">
        <v>0.13300000131130219</v>
      </c>
      <c r="V4">
        <v>0.14499999582767487</v>
      </c>
      <c r="W4">
        <v>0.15899999439716339</v>
      </c>
      <c r="X4">
        <v>0.17200000584125519</v>
      </c>
      <c r="Y4">
        <v>0.18500000238418579</v>
      </c>
      <c r="Z4">
        <v>3121</v>
      </c>
      <c r="AA4" t="s">
        <v>253</v>
      </c>
      <c r="AB4" t="s">
        <v>254</v>
      </c>
      <c r="AC4" t="s">
        <v>255</v>
      </c>
      <c r="AD4">
        <v>0</v>
      </c>
      <c r="AE4" t="b">
        <v>0</v>
      </c>
      <c r="AF4" t="b">
        <v>1</v>
      </c>
      <c r="AG4" t="b">
        <v>0</v>
      </c>
      <c r="AI4" t="b">
        <v>0</v>
      </c>
      <c r="AJ4" t="b">
        <v>0</v>
      </c>
      <c r="AK4" t="b">
        <v>0</v>
      </c>
      <c r="AL4" t="s">
        <v>256</v>
      </c>
      <c r="AM4">
        <v>0</v>
      </c>
      <c r="AN4">
        <v>0</v>
      </c>
      <c r="AO4" s="1">
        <v>6000</v>
      </c>
      <c r="AP4">
        <v>0</v>
      </c>
      <c r="AQ4" s="1">
        <v>43840.829955983798</v>
      </c>
      <c r="AR4" t="s">
        <v>257</v>
      </c>
      <c r="AS4" t="s">
        <v>258</v>
      </c>
      <c r="AT4" t="s">
        <v>259</v>
      </c>
      <c r="AV4" t="s">
        <v>260</v>
      </c>
      <c r="AW4" t="s">
        <v>261</v>
      </c>
      <c r="AX4" t="s">
        <v>66</v>
      </c>
      <c r="AY4" s="1" t="s">
        <v>257</v>
      </c>
      <c r="AZ4" s="1" t="s">
        <v>258</v>
      </c>
      <c r="BA4" t="s">
        <v>259</v>
      </c>
      <c r="BC4" t="s">
        <v>260</v>
      </c>
      <c r="BD4" t="s">
        <v>261</v>
      </c>
      <c r="BE4" t="s">
        <v>66</v>
      </c>
      <c r="BF4" t="s">
        <v>260</v>
      </c>
      <c r="BG4" t="s">
        <v>259</v>
      </c>
      <c r="BI4" t="s">
        <v>260</v>
      </c>
      <c r="BJ4" t="s">
        <v>261</v>
      </c>
      <c r="BK4" t="s">
        <v>66</v>
      </c>
      <c r="BL4" t="s">
        <v>262</v>
      </c>
      <c r="BN4" t="s">
        <v>263</v>
      </c>
      <c r="BO4" t="s">
        <v>264</v>
      </c>
      <c r="BP4">
        <v>2000</v>
      </c>
      <c r="BQ4" t="s">
        <v>265</v>
      </c>
      <c r="BR4">
        <v>-1</v>
      </c>
      <c r="BS4">
        <v>-1</v>
      </c>
      <c r="BX4" t="s">
        <v>67</v>
      </c>
      <c r="BY4" t="s">
        <v>263</v>
      </c>
      <c r="BZ4" t="s">
        <v>230</v>
      </c>
      <c r="CA4">
        <v>0</v>
      </c>
      <c r="CB4" t="s">
        <v>266</v>
      </c>
      <c r="CD4" t="s">
        <v>267</v>
      </c>
      <c r="CE4">
        <v>9.5</v>
      </c>
      <c r="CF4" s="282">
        <v>7.5</v>
      </c>
      <c r="CG4">
        <v>7.75</v>
      </c>
      <c r="CH4" s="282">
        <v>7</v>
      </c>
      <c r="CI4" t="s">
        <v>249</v>
      </c>
      <c r="CJ4" s="282" t="s">
        <v>268</v>
      </c>
      <c r="CK4" t="s">
        <v>269</v>
      </c>
      <c r="CL4" t="s">
        <v>268</v>
      </c>
      <c r="CM4" s="282" t="s">
        <v>250</v>
      </c>
      <c r="CN4" t="s">
        <v>93</v>
      </c>
      <c r="CO4" t="s">
        <v>251</v>
      </c>
      <c r="CP4" t="b">
        <v>0</v>
      </c>
      <c r="CQ4" t="b">
        <v>1</v>
      </c>
      <c r="CR4" t="b">
        <v>0</v>
      </c>
      <c r="CS4" t="b">
        <v>0</v>
      </c>
      <c r="CT4" t="b">
        <v>1</v>
      </c>
      <c r="CU4" t="b">
        <v>0</v>
      </c>
      <c r="CW4">
        <v>6.625</v>
      </c>
      <c r="CX4">
        <v>110000</v>
      </c>
      <c r="CY4">
        <v>60</v>
      </c>
      <c r="CZ4" t="s">
        <v>270</v>
      </c>
      <c r="DA4" t="b">
        <v>1</v>
      </c>
      <c r="DC4" t="s">
        <v>170</v>
      </c>
      <c r="DD4" t="s">
        <v>171</v>
      </c>
      <c r="DF4" t="s">
        <v>172</v>
      </c>
      <c r="DG4" t="s">
        <v>66</v>
      </c>
      <c r="DH4" t="s">
        <v>173</v>
      </c>
      <c r="DI4" s="1">
        <v>43840</v>
      </c>
    </row>
    <row r="5" spans="1:114" x14ac:dyDescent="0.25">
      <c r="G5" s="53"/>
      <c r="H5" s="53"/>
      <c r="I5" s="53"/>
      <c r="J5" s="53"/>
      <c r="K5" s="53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Cleaning</vt:lpstr>
      <vt:lpstr>DPF v.2</vt:lpstr>
      <vt:lpstr>Flow Chart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'DPF v.2'!Print_Area</vt:lpstr>
      <vt:lpstr>'Flow Chart'!Print_Area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Bob</cp:lastModifiedBy>
  <cp:lastPrinted>2020-01-10T17:18:30Z</cp:lastPrinted>
  <dcterms:created xsi:type="dcterms:W3CDTF">2019-01-29T23:32:42Z</dcterms:created>
  <dcterms:modified xsi:type="dcterms:W3CDTF">2020-01-14T01:40:58Z</dcterms:modified>
</cp:coreProperties>
</file>