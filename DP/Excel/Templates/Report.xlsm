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Clients\GitHub\DP\Excel\Templates\"/>
    </mc:Choice>
  </mc:AlternateContent>
  <bookViews>
    <workbookView xWindow="-120" yWindow="-120" windowWidth="29040" windowHeight="15996" activeTab="2"/>
  </bookViews>
  <sheets>
    <sheet name="Cleaning" sheetId="3" r:id="rId1"/>
    <sheet name="QAProcess" sheetId="5" r:id="rId2"/>
    <sheet name="OutData" sheetId="4" r:id="rId3"/>
  </sheets>
  <externalReferences>
    <externalReference r:id="rId4"/>
  </externalReferences>
  <definedNames>
    <definedName name="MaxHertz" localSheetId="1">QAProcess!$F$6</definedName>
    <definedName name="MaxSpaceVelocity" localSheetId="1">QAProcess!$F$5</definedName>
    <definedName name="NoteQAProcess">QAProcess!$I$4</definedName>
    <definedName name="P0a" localSheetId="1">QAProcess!$I$11</definedName>
    <definedName name="P0AirTemp" localSheetId="1">QAProcess!$D$11</definedName>
    <definedName name="P0b" localSheetId="1">QAProcess!$I$12</definedName>
    <definedName name="P0BackPress" localSheetId="1">QAProcess!$D$13</definedName>
    <definedName name="P0BaroPress" localSheetId="1">QAProcess!$D$12</definedName>
    <definedName name="P0c" localSheetId="2">[1]QAProcess!$H$32</definedName>
    <definedName name="P0c" localSheetId="1">QAProcess!$I$13</definedName>
    <definedName name="P0c">[1]QAProcess!$H$36</definedName>
    <definedName name="P0PSI" localSheetId="1">QAProcess!$D$16:$D$26</definedName>
    <definedName name="P0SV" localSheetId="1">QAProcess!$G$16:$G$26</definedName>
    <definedName name="P1a" localSheetId="1">QAProcess!$I$28</definedName>
    <definedName name="P1AirTemp" localSheetId="1">QAProcess!$D$28</definedName>
    <definedName name="P1b" localSheetId="1">QAProcess!$I$29</definedName>
    <definedName name="P1BackPress" localSheetId="1">QAProcess!$D$30</definedName>
    <definedName name="P1BaroPress" localSheetId="1">QAProcess!$D$29</definedName>
    <definedName name="P1c" localSheetId="1">QAProcess!$I$30</definedName>
    <definedName name="P1PSI" localSheetId="1">QAProcess!$D$33:$D$43</definedName>
    <definedName name="P1SV" localSheetId="1">QAProcess!$G$33:$G$43</definedName>
    <definedName name="P2a" localSheetId="1">QAProcess!$I$45</definedName>
    <definedName name="P2AirTemp" localSheetId="1">QAProcess!$D$45</definedName>
    <definedName name="P2b" localSheetId="1">QAProcess!$I$46</definedName>
    <definedName name="P2BackPress" localSheetId="1">QAProcess!$D$47</definedName>
    <definedName name="P2BaroPress" localSheetId="1">QAProcess!$D$46</definedName>
    <definedName name="P2c" localSheetId="1">QAProcess!$I$47</definedName>
    <definedName name="P2PSI">QAProcess!$D$50:$D$60</definedName>
    <definedName name="P2SV" localSheetId="1">QAProcess!$G$50:$G$60</definedName>
    <definedName name="SubDiameter" localSheetId="1">QAProcess!$C$5</definedName>
    <definedName name="SubDiameter">#REF!</definedName>
    <definedName name="SubLength" localSheetId="1">QAProcess!$C$6</definedName>
    <definedName name="SubLength">#REF!</definedName>
    <definedName name="Volume" localSheetId="1">QAProcess!$C$7</definedName>
    <definedName name="Volume">#REF!</definedName>
    <definedName name="WorkorderIDQAProcess">QAProcess!$C$3</definedName>
    <definedName name="WorkOrderIDQuality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7" i="5" l="1"/>
  <c r="I46" i="5"/>
  <c r="I45" i="5"/>
  <c r="I30" i="5"/>
  <c r="I29" i="5"/>
  <c r="I28" i="5"/>
  <c r="I13" i="5"/>
  <c r="I12" i="5"/>
  <c r="C6" i="5" l="1"/>
  <c r="C5" i="5"/>
  <c r="D60" i="5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8" i="5"/>
  <c r="C7" i="5"/>
  <c r="F7" i="5" l="1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H53" i="5"/>
  <c r="H54" i="5"/>
  <c r="B6" i="3"/>
  <c r="B4" i="3"/>
  <c r="B60" i="5" l="1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</calcChain>
</file>

<file path=xl/sharedStrings.xml><?xml version="1.0" encoding="utf-8"?>
<sst xmlns="http://schemas.openxmlformats.org/spreadsheetml/2006/main" count="321" uniqueCount="168">
  <si>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</si>
  <si>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</si>
  <si>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</si>
  <si>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</si>
  <si>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</si>
  <si>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</si>
  <si>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</si>
  <si>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</si>
  <si>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</si>
  <si>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</si>
  <si>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</si>
  <si>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</si>
  <si>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</si>
  <si>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</si>
  <si>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</si>
  <si>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</si>
  <si>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</si>
  <si>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</si>
  <si>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</si>
  <si>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</si>
  <si>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</si>
  <si>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</si>
  <si>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</si>
  <si>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</si>
  <si>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</si>
  <si>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</si>
  <si>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</si>
  <si>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</si>
  <si>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</si>
  <si>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</si>
  <si>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</si>
  <si>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</si>
  <si>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</si>
  <si>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</si>
  <si>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</si>
  <si>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</si>
  <si>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</si>
  <si>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</si>
  <si>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</si>
  <si>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</si>
  <si>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</si>
  <si>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</si>
  <si>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</si>
  <si>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</si>
  <si>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</si>
  <si>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</si>
  <si>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</si>
  <si>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</si>
  <si>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</si>
  <si>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</si>
  <si>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</si>
  <si>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</si>
  <si>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</si>
  <si>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</si>
  <si>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</si>
  <si>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</si>
  <si>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</si>
  <si>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</si>
  <si>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</si>
  <si>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</si>
  <si>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QASootOnFaceID</t>
  </si>
  <si>
    <t>QAAshOnFaceID</t>
  </si>
  <si>
    <t>QAAshColorID</t>
  </si>
  <si>
    <t>QASubstrateID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</si>
  <si>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</si>
  <si>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</si>
  <si>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</si>
  <si>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</si>
  <si>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</si>
  <si>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</si>
  <si>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</si>
  <si>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PA</t>
  </si>
  <si>
    <t>Cordierite (ceramic)</t>
  </si>
  <si>
    <t>DPF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</si>
  <si>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</si>
  <si>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</si>
  <si>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</si>
  <si>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</si>
  <si>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</si>
  <si>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</si>
  <si>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</si>
  <si>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</si>
  <si>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VehicleMileage</t>
  </si>
  <si>
    <t>VehicleHours</t>
  </si>
  <si>
    <t>Billing_CompanyName</t>
  </si>
  <si>
    <t>CompanyInitials</t>
  </si>
  <si>
    <t>Vehicle_SerialNumber</t>
  </si>
  <si>
    <t>MileageInitialCleaning</t>
  </si>
  <si>
    <t>HoursInitialCleaning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</si>
  <si>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</si>
  <si>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</si>
  <si>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</si>
  <si>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</si>
  <si>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</si>
  <si>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</si>
  <si>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</si>
  <si>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</si>
  <si>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</si>
  <si>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</si>
  <si>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</si>
  <si>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</si>
  <si>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</si>
  <si>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</si>
  <si>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GSF&amp;A-64</t>
  </si>
  <si>
    <t>Jay</t>
  </si>
  <si>
    <t>Truck 111</t>
  </si>
  <si>
    <t>Garden State Frame &amp; Alignment Services, Inc</t>
  </si>
  <si>
    <t>GSF&amp;A</t>
  </si>
  <si>
    <t>108 Garden State Road</t>
  </si>
  <si>
    <t>Lancaster</t>
  </si>
  <si>
    <t>19777</t>
  </si>
  <si>
    <t>A &amp; A Transport</t>
  </si>
  <si>
    <t>A&amp;A</t>
  </si>
  <si>
    <t>1234 A &amp; A lane</t>
  </si>
  <si>
    <t>Aaville</t>
  </si>
  <si>
    <t>18111</t>
  </si>
  <si>
    <t>Garden State - Lancaster</t>
  </si>
  <si>
    <t>108 Garden Road</t>
  </si>
  <si>
    <t>19711</t>
  </si>
  <si>
    <t>1245M1245N1245o12</t>
  </si>
  <si>
    <t>1245M</t>
  </si>
  <si>
    <t>Detroit Diesel</t>
  </si>
  <si>
    <t>dd13</t>
  </si>
  <si>
    <t>Volvo</t>
  </si>
  <si>
    <t>12451245M</t>
  </si>
  <si>
    <t>V4500</t>
  </si>
  <si>
    <t>Freightliner</t>
  </si>
  <si>
    <t>1251603</t>
  </si>
  <si>
    <t>F045311</t>
  </si>
  <si>
    <t>21804785</t>
  </si>
  <si>
    <t>Heavy</t>
  </si>
  <si>
    <t>Reddish Purple</t>
  </si>
  <si>
    <t>Reddish Orange</t>
  </si>
  <si>
    <t>Good</t>
  </si>
  <si>
    <t>None</t>
  </si>
  <si>
    <t>&lt;15</t>
  </si>
  <si>
    <t xml:space="preserve">The DPF is in good condition. Removed 1 lb of soot and ash. 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</si>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</sst>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14" fontId="0" fillId="0" borderId="0" xfId="0" applyNumberFormat="1"/>
    <xf numFmtId="0" fontId="0" fillId="0" borderId="0" xfId="0" applyAlignment="1">
      <alignment wrapText="1"/>
    </xf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B6"/>
  <sheetViews>
    <sheetView workbookViewId="0">
      <selection activeCell="B7" sqref="B7"/>
    </sheetView>
  </sheetViews>
  <sheetFormatPr defaultRowHeight="14.4" x14ac:dyDescent="0.3"/>
  <cols>
    <col min="1" max="1" width="12.5546875" bestFit="1" customWidth="1"/>
    <col min="2" max="2" width="10.6640625" bestFit="1" customWidth="1"/>
  </cols>
  <sheetData>
    <row r="2" spans="1:2" x14ac:dyDescent="0.3">
      <c r="A2" t="s">
        <v>74</v>
      </c>
      <c r="B2" t="s">
        <v>76</v>
      </c>
    </row>
    <row r="3" spans="1:2" x14ac:dyDescent="0.3">
      <c r="A3" t="s">
        <v>75</v>
      </c>
      <c r="B3">
        <f>OutData!A2</f>
        <v>82</v>
      </c>
    </row>
    <row r="4" spans="1:2" x14ac:dyDescent="0.3">
      <c r="A4" t="s">
        <v>78</v>
      </c>
      <c r="B4" s="1" t="str">
        <f>OutData!AY2</f>
        <v>1234 A &amp; A lane</v>
      </c>
    </row>
    <row r="6" spans="1:2" x14ac:dyDescent="0.3">
      <c r="A6" t="s">
        <v>79</v>
      </c>
      <c r="B6" s="1" t="str">
        <f>OutData!CG2</f>
        <v>Reddish Purple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3"/>
  <dimension ref="B3:I65"/>
  <sheetViews>
    <sheetView workbookViewId="0">
      <selection activeCell="D26" sqref="D26"/>
    </sheetView>
  </sheetViews>
  <sheetFormatPr defaultRowHeight="14.4" x14ac:dyDescent="0.3"/>
  <cols>
    <col min="2" max="2" width="30.33203125" customWidth="1"/>
    <col min="3" max="3" width="17.33203125" customWidth="1"/>
    <col min="4" max="4" width="10.5546875" bestFit="1" customWidth="1"/>
    <col min="5" max="5" width="23.88671875" customWidth="1"/>
    <col min="6" max="6" width="24.88671875" customWidth="1"/>
    <col min="7" max="7" width="15.109375" customWidth="1"/>
    <col min="8" max="8" width="11.88671875" bestFit="1" customWidth="1"/>
    <col min="9" max="9" width="23" customWidth="1"/>
  </cols>
  <sheetData>
    <row r="3" spans="2:9" x14ac:dyDescent="0.3">
      <c r="B3" s="3" t="s">
        <v>137</v>
      </c>
      <c r="C3" s="4"/>
    </row>
    <row r="4" spans="2:9" ht="18" x14ac:dyDescent="0.35">
      <c r="I4" s="5"/>
    </row>
    <row r="5" spans="2:9" x14ac:dyDescent="0.3">
      <c r="B5" s="6" t="s">
        <v>138</v>
      </c>
      <c r="C5" s="7">
        <f>OutData!CC2</f>
        <v>12</v>
      </c>
      <c r="D5" s="8"/>
      <c r="E5" s="8" t="s">
        <v>139</v>
      </c>
      <c r="F5" s="9">
        <v>110000</v>
      </c>
      <c r="G5" s="10" t="s">
        <v>140</v>
      </c>
      <c r="H5" s="11"/>
    </row>
    <row r="6" spans="2:9" x14ac:dyDescent="0.3">
      <c r="B6" s="12" t="s">
        <v>141</v>
      </c>
      <c r="C6" s="13">
        <f>OutData!CE2</f>
        <v>12</v>
      </c>
      <c r="D6" s="11"/>
      <c r="E6" s="11" t="s">
        <v>142</v>
      </c>
      <c r="F6" s="14">
        <v>60</v>
      </c>
      <c r="G6" s="15" t="s">
        <v>143</v>
      </c>
      <c r="H6" s="11"/>
    </row>
    <row r="7" spans="2:9" x14ac:dyDescent="0.3">
      <c r="B7" s="16" t="s">
        <v>144</v>
      </c>
      <c r="C7" s="13">
        <f>(3.14*(SubDiameter/2)^2)*(SubLength)*(1/12)^3</f>
        <v>0.78499999999999992</v>
      </c>
      <c r="D7" s="17"/>
      <c r="E7" s="11" t="s">
        <v>145</v>
      </c>
      <c r="F7" s="14">
        <f>(Volume*MaxSpaceVelocity)*(1/60)*(61.7)/(2350*0.395)</f>
        <v>95.66020289074423</v>
      </c>
      <c r="G7" s="15" t="s">
        <v>143</v>
      </c>
      <c r="H7" s="11"/>
    </row>
    <row r="8" spans="2:9" x14ac:dyDescent="0.3">
      <c r="B8" s="18" t="s">
        <v>146</v>
      </c>
      <c r="C8" s="19">
        <f>Volume*28.317</f>
        <v>22.228844999999996</v>
      </c>
      <c r="D8" s="20"/>
      <c r="E8" s="21" t="s">
        <v>147</v>
      </c>
      <c r="F8" s="22" t="str">
        <f>IF(F7&gt;MaxHertz,"60",F7)</f>
        <v>60</v>
      </c>
      <c r="G8" s="23" t="s">
        <v>143</v>
      </c>
      <c r="H8" s="11"/>
    </row>
    <row r="9" spans="2:9" x14ac:dyDescent="0.3">
      <c r="H9" s="11"/>
    </row>
    <row r="11" spans="2:9" x14ac:dyDescent="0.3">
      <c r="B11" s="24" t="s">
        <v>148</v>
      </c>
      <c r="C11" s="8"/>
      <c r="D11" s="25">
        <f>OutData!C2</f>
        <v>71</v>
      </c>
      <c r="E11" s="8" t="s">
        <v>149</v>
      </c>
      <c r="F11" s="8"/>
      <c r="G11" s="26" t="s">
        <v>150</v>
      </c>
      <c r="H11" s="26" t="s">
        <v>151</v>
      </c>
      <c r="I11" s="27">
        <f>OutData!L2</f>
        <v>2.3307045642400001E-11</v>
      </c>
    </row>
    <row r="12" spans="2:9" x14ac:dyDescent="0.3">
      <c r="B12" s="28" t="s">
        <v>152</v>
      </c>
      <c r="C12" s="11"/>
      <c r="D12" s="25">
        <f>OutData!D2</f>
        <v>12</v>
      </c>
      <c r="E12" s="11" t="s">
        <v>153</v>
      </c>
      <c r="F12" s="11"/>
      <c r="G12" s="11"/>
      <c r="H12" s="29" t="s">
        <v>154</v>
      </c>
      <c r="I12" s="30">
        <f>OutData!M2</f>
        <v>3.72452399064E-6</v>
      </c>
    </row>
    <row r="13" spans="2:9" x14ac:dyDescent="0.3">
      <c r="B13" s="28" t="s">
        <v>155</v>
      </c>
      <c r="C13" s="11"/>
      <c r="D13" s="25">
        <f>OutData!E2</f>
        <v>0</v>
      </c>
      <c r="E13" s="11"/>
      <c r="F13" s="11"/>
      <c r="G13" s="11"/>
      <c r="H13" s="29" t="s">
        <v>156</v>
      </c>
      <c r="I13" s="30">
        <f>OutData!N2</f>
        <v>6.3591974635199998E-3</v>
      </c>
    </row>
    <row r="14" spans="2:9" x14ac:dyDescent="0.3">
      <c r="B14" s="31" t="s">
        <v>157</v>
      </c>
      <c r="C14" s="32" t="s">
        <v>158</v>
      </c>
      <c r="D14" s="32" t="s">
        <v>159</v>
      </c>
      <c r="E14" s="32" t="s">
        <v>160</v>
      </c>
      <c r="F14" s="11"/>
      <c r="G14" s="32" t="s">
        <v>161</v>
      </c>
      <c r="H14" s="32"/>
      <c r="I14" s="33"/>
    </row>
    <row r="15" spans="2:9" x14ac:dyDescent="0.3">
      <c r="B15" s="34" t="s">
        <v>162</v>
      </c>
      <c r="C15" s="35" t="s">
        <v>163</v>
      </c>
      <c r="D15" s="35" t="s">
        <v>164</v>
      </c>
      <c r="E15" s="35" t="s">
        <v>163</v>
      </c>
      <c r="F15" s="35" t="s">
        <v>165</v>
      </c>
      <c r="G15" s="32" t="s">
        <v>166</v>
      </c>
      <c r="H15" s="32" t="s">
        <v>163</v>
      </c>
      <c r="I15" s="33" t="s">
        <v>167</v>
      </c>
    </row>
    <row r="16" spans="2:9" x14ac:dyDescent="0.3">
      <c r="B16" s="36">
        <f>0.25*$F$8</f>
        <v>15</v>
      </c>
      <c r="C16" s="4">
        <f>(2350/61.7)*B16*0.395</f>
        <v>225.66855753646678</v>
      </c>
      <c r="D16" s="37">
        <f>OutData!O2</f>
        <v>7.5000002980232239E-2</v>
      </c>
      <c r="E16" s="4">
        <f t="shared" ref="E16:E26" si="0">C16-(34.4764881*D16-4.325744048*D16^2+0.369475446*D16^3-0.01733631*D16^4+0.000339472*D16^5)</f>
        <v>223.10699781367643</v>
      </c>
      <c r="F16" s="4">
        <f t="shared" ref="F16:F26" si="1">(E16*60)/Volume</f>
        <v>17052.764164102657</v>
      </c>
      <c r="G16" s="38">
        <v>20000</v>
      </c>
      <c r="H16" s="39">
        <f t="shared" ref="H16:H26" si="2">G16*Volume/60</f>
        <v>261.66666666666663</v>
      </c>
      <c r="I16" s="40">
        <f t="shared" ref="I16:I26" si="3">G16^2*P0a+G16*P0b+P0c</f>
        <v>9.0172495533279995E-2</v>
      </c>
    </row>
    <row r="17" spans="2:9" x14ac:dyDescent="0.3">
      <c r="B17" s="36">
        <f>0.4*$F$8</f>
        <v>24</v>
      </c>
      <c r="C17" s="4">
        <f t="shared" ref="C17:C26" si="4">(2350/61.7)*B17*0.395</f>
        <v>361.06969205834679</v>
      </c>
      <c r="D17" s="37">
        <f>OutData!P2</f>
        <v>0.12700000405311584</v>
      </c>
      <c r="E17" s="4">
        <f t="shared" si="0"/>
        <v>356.76019553155123</v>
      </c>
      <c r="F17" s="4">
        <f t="shared" si="1"/>
        <v>27268.295199863791</v>
      </c>
      <c r="G17" s="38">
        <v>35000</v>
      </c>
      <c r="H17" s="39">
        <f t="shared" si="2"/>
        <v>457.91666666666663</v>
      </c>
      <c r="I17" s="40">
        <f t="shared" si="3"/>
        <v>0.16526866804786</v>
      </c>
    </row>
    <row r="18" spans="2:9" x14ac:dyDescent="0.3">
      <c r="B18" s="36">
        <f>0.5*$F$8</f>
        <v>30</v>
      </c>
      <c r="C18" s="4">
        <f t="shared" si="4"/>
        <v>451.33711507293356</v>
      </c>
      <c r="D18" s="37">
        <f>OutData!Q2</f>
        <v>0.16300000250339508</v>
      </c>
      <c r="E18" s="4">
        <f t="shared" si="0"/>
        <v>445.83079021755879</v>
      </c>
      <c r="F18" s="4">
        <f t="shared" si="1"/>
        <v>34076.23874274335</v>
      </c>
      <c r="G18" s="38">
        <v>50000</v>
      </c>
      <c r="H18" s="39">
        <f t="shared" si="2"/>
        <v>654.16666666666652</v>
      </c>
      <c r="I18" s="40">
        <f t="shared" si="3"/>
        <v>0.25085301110152003</v>
      </c>
    </row>
    <row r="19" spans="2:9" x14ac:dyDescent="0.3">
      <c r="B19" s="36">
        <f>0.6*$F$8</f>
        <v>36</v>
      </c>
      <c r="C19" s="4">
        <f t="shared" si="4"/>
        <v>541.60453808752015</v>
      </c>
      <c r="D19" s="37">
        <f>OutData!R2</f>
        <v>0.19699999690055847</v>
      </c>
      <c r="E19" s="4">
        <f t="shared" si="0"/>
        <v>534.97774906684617</v>
      </c>
      <c r="F19" s="4">
        <f t="shared" si="1"/>
        <v>40890.019036956401</v>
      </c>
      <c r="G19" s="38">
        <v>60000</v>
      </c>
      <c r="H19" s="39">
        <f t="shared" si="2"/>
        <v>784.99999999999989</v>
      </c>
      <c r="I19" s="40">
        <f t="shared" si="3"/>
        <v>0.31373600121456002</v>
      </c>
    </row>
    <row r="20" spans="2:9" x14ac:dyDescent="0.3">
      <c r="B20" s="36">
        <f>0.7*$F$8</f>
        <v>42</v>
      </c>
      <c r="C20" s="4">
        <f t="shared" si="4"/>
        <v>631.87196110210698</v>
      </c>
      <c r="D20" s="37">
        <f>OutData!S2</f>
        <v>0.23600000143051147</v>
      </c>
      <c r="E20" s="4">
        <f t="shared" si="0"/>
        <v>623.9716335541533</v>
      </c>
      <c r="F20" s="4">
        <f t="shared" si="1"/>
        <v>47692.099379935295</v>
      </c>
      <c r="G20" s="38">
        <v>70000</v>
      </c>
      <c r="H20" s="39">
        <f t="shared" si="2"/>
        <v>915.83333333333326</v>
      </c>
      <c r="I20" s="40">
        <f t="shared" si="3"/>
        <v>0.38128040045607997</v>
      </c>
    </row>
    <row r="21" spans="2:9" x14ac:dyDescent="0.3">
      <c r="B21" s="36">
        <f>0.75*$F$8</f>
        <v>45</v>
      </c>
      <c r="C21" s="4">
        <f t="shared" si="4"/>
        <v>677.00567260940034</v>
      </c>
      <c r="D21" s="37">
        <f>OutData!T2</f>
        <v>0.25499999523162842</v>
      </c>
      <c r="E21" s="4">
        <f t="shared" si="0"/>
        <v>668.48939633015698</v>
      </c>
      <c r="F21" s="4">
        <f t="shared" si="1"/>
        <v>51094.730929693535</v>
      </c>
      <c r="G21" s="38">
        <v>75000</v>
      </c>
      <c r="H21" s="39">
        <f t="shared" si="2"/>
        <v>981.24999999999989</v>
      </c>
      <c r="I21" s="40">
        <f t="shared" si="3"/>
        <v>0.41680062850001998</v>
      </c>
    </row>
    <row r="22" spans="2:9" x14ac:dyDescent="0.3">
      <c r="B22" s="36">
        <f>0.8*$F$8</f>
        <v>48</v>
      </c>
      <c r="C22" s="4">
        <f t="shared" si="4"/>
        <v>722.13938411669358</v>
      </c>
      <c r="D22" s="37">
        <f>OutData!U2</f>
        <v>0.27700001001358032</v>
      </c>
      <c r="E22" s="4">
        <f t="shared" si="0"/>
        <v>712.91355531073827</v>
      </c>
      <c r="F22" s="4">
        <f t="shared" si="1"/>
        <v>54490.208049228408</v>
      </c>
      <c r="G22" s="38">
        <v>80000</v>
      </c>
      <c r="H22" s="39">
        <f t="shared" si="2"/>
        <v>1046.6666666666665</v>
      </c>
      <c r="I22" s="40">
        <f t="shared" si="3"/>
        <v>0.45348620882607993</v>
      </c>
    </row>
    <row r="23" spans="2:9" x14ac:dyDescent="0.3">
      <c r="B23" s="36">
        <f>0.85*$F$8</f>
        <v>51</v>
      </c>
      <c r="C23" s="4">
        <f t="shared" si="4"/>
        <v>767.27309562398705</v>
      </c>
      <c r="D23" s="37">
        <f>OutData!V2</f>
        <v>0.30099999904632568</v>
      </c>
      <c r="E23" s="4">
        <f t="shared" si="0"/>
        <v>757.2776550116173</v>
      </c>
      <c r="F23" s="4">
        <f t="shared" si="1"/>
        <v>57881.094650569481</v>
      </c>
      <c r="G23" s="38">
        <v>85000</v>
      </c>
      <c r="H23" s="39">
        <f t="shared" si="2"/>
        <v>1112.0833333333333</v>
      </c>
      <c r="I23" s="40">
        <f t="shared" si="3"/>
        <v>0.49133714143425999</v>
      </c>
    </row>
    <row r="24" spans="2:9" x14ac:dyDescent="0.3">
      <c r="B24" s="36">
        <f>0.9*$F$8</f>
        <v>54</v>
      </c>
      <c r="C24" s="4">
        <f t="shared" si="4"/>
        <v>812.4068071312804</v>
      </c>
      <c r="D24" s="37">
        <f>OutData!W2</f>
        <v>0.32400000095367432</v>
      </c>
      <c r="E24" s="4">
        <f t="shared" si="0"/>
        <v>801.67814741549569</v>
      </c>
      <c r="F24" s="4">
        <f t="shared" si="1"/>
        <v>61274.762859783114</v>
      </c>
      <c r="G24" s="38">
        <v>90000</v>
      </c>
      <c r="H24" s="39">
        <f t="shared" si="2"/>
        <v>1177.5</v>
      </c>
      <c r="I24" s="40">
        <f t="shared" si="3"/>
        <v>0.53035342632455995</v>
      </c>
    </row>
    <row r="25" spans="2:9" x14ac:dyDescent="0.3">
      <c r="B25" s="36">
        <f>0.95*$F$8</f>
        <v>57</v>
      </c>
      <c r="C25" s="4">
        <f t="shared" si="4"/>
        <v>857.54051863857376</v>
      </c>
      <c r="D25" s="37">
        <f>OutData!X2</f>
        <v>0</v>
      </c>
      <c r="E25" s="4">
        <f t="shared" si="0"/>
        <v>857.54051863857376</v>
      </c>
      <c r="F25" s="4">
        <f t="shared" si="1"/>
        <v>65544.498239890992</v>
      </c>
      <c r="G25" s="38">
        <v>95000</v>
      </c>
      <c r="H25" s="39">
        <f t="shared" si="2"/>
        <v>1242.9166666666665</v>
      </c>
      <c r="I25" s="40">
        <f t="shared" si="3"/>
        <v>0.57053506349698002</v>
      </c>
    </row>
    <row r="26" spans="2:9" x14ac:dyDescent="0.3">
      <c r="B26" s="41">
        <f>1*$F$8</f>
        <v>60</v>
      </c>
      <c r="C26" s="42">
        <f t="shared" si="4"/>
        <v>902.67423014586711</v>
      </c>
      <c r="D26" s="37">
        <f>OutData!Y2</f>
        <v>0</v>
      </c>
      <c r="E26" s="42">
        <f t="shared" si="0"/>
        <v>902.67423014586711</v>
      </c>
      <c r="F26" s="42">
        <f t="shared" si="1"/>
        <v>68994.208673569461</v>
      </c>
      <c r="G26" s="43">
        <v>100000</v>
      </c>
      <c r="H26" s="44">
        <f t="shared" si="2"/>
        <v>1308.333333333333</v>
      </c>
      <c r="I26" s="45">
        <f t="shared" si="3"/>
        <v>0.61188205295151998</v>
      </c>
    </row>
    <row r="28" spans="2:9" x14ac:dyDescent="0.3">
      <c r="B28" s="24" t="s">
        <v>148</v>
      </c>
      <c r="C28" s="8"/>
      <c r="D28" s="25">
        <f>OutData!C3</f>
        <v>75</v>
      </c>
      <c r="E28" s="8" t="s">
        <v>149</v>
      </c>
      <c r="F28" s="8"/>
      <c r="G28" s="26" t="s">
        <v>150</v>
      </c>
      <c r="H28" s="26" t="s">
        <v>151</v>
      </c>
      <c r="I28" s="27">
        <f>OutData!L3</f>
        <v>1.7508617789E-11</v>
      </c>
    </row>
    <row r="29" spans="2:9" x14ac:dyDescent="0.3">
      <c r="B29" s="28" t="s">
        <v>152</v>
      </c>
      <c r="C29" s="11"/>
      <c r="D29" s="25">
        <f>OutData!D3</f>
        <v>13</v>
      </c>
      <c r="E29" s="11" t="s">
        <v>153</v>
      </c>
      <c r="F29" s="11"/>
      <c r="G29" s="11"/>
      <c r="H29" s="29" t="s">
        <v>154</v>
      </c>
      <c r="I29" s="27">
        <f>OutData!M3</f>
        <v>1.57234540383E-6</v>
      </c>
    </row>
    <row r="30" spans="2:9" x14ac:dyDescent="0.3">
      <c r="B30" s="28" t="s">
        <v>155</v>
      </c>
      <c r="C30" s="11"/>
      <c r="D30" s="25">
        <f>OutData!E3</f>
        <v>0</v>
      </c>
      <c r="E30" s="11"/>
      <c r="F30" s="11"/>
      <c r="G30" s="11"/>
      <c r="H30" s="29" t="s">
        <v>156</v>
      </c>
      <c r="I30" s="27">
        <f>OutData!N3</f>
        <v>8.2021967045699997E-3</v>
      </c>
    </row>
    <row r="31" spans="2:9" x14ac:dyDescent="0.3">
      <c r="B31" s="31" t="s">
        <v>157</v>
      </c>
      <c r="C31" s="32" t="s">
        <v>158</v>
      </c>
      <c r="D31" s="32" t="s">
        <v>159</v>
      </c>
      <c r="E31" s="32" t="s">
        <v>160</v>
      </c>
      <c r="F31" s="46"/>
      <c r="G31" s="32" t="s">
        <v>161</v>
      </c>
      <c r="H31" s="32"/>
      <c r="I31" s="33"/>
    </row>
    <row r="32" spans="2:9" x14ac:dyDescent="0.3">
      <c r="B32" s="47" t="s">
        <v>162</v>
      </c>
      <c r="C32" s="32" t="s">
        <v>163</v>
      </c>
      <c r="D32" s="32" t="s">
        <v>164</v>
      </c>
      <c r="E32" s="32" t="s">
        <v>163</v>
      </c>
      <c r="F32" s="32" t="s">
        <v>165</v>
      </c>
      <c r="G32" s="32" t="s">
        <v>166</v>
      </c>
      <c r="H32" s="32" t="s">
        <v>163</v>
      </c>
      <c r="I32" s="33" t="s">
        <v>167</v>
      </c>
    </row>
    <row r="33" spans="2:9" x14ac:dyDescent="0.3">
      <c r="B33" s="36">
        <f>0.25*$F$8</f>
        <v>15</v>
      </c>
      <c r="C33" s="4">
        <f>(2350/61.7)*B33*0.395</f>
        <v>225.66855753646678</v>
      </c>
      <c r="D33" s="37">
        <f>OutData!O3</f>
        <v>3.9999999105930328E-2</v>
      </c>
      <c r="E33" s="4">
        <f t="shared" ref="E33:E43" si="5">C33-(34.4764881*D33-4.325744048*D33^2+0.369475446*D33^3-0.01733631*D33^4+0.000339472*D33^5)</f>
        <v>224.29639563137778</v>
      </c>
      <c r="F33" s="4">
        <f t="shared" ref="F33:F43" si="6">(E33*60)/Volume</f>
        <v>17143.673551442887</v>
      </c>
      <c r="G33" s="38">
        <v>20000</v>
      </c>
      <c r="H33" s="39">
        <f t="shared" ref="H33:H43" si="7">G33*Volume/60</f>
        <v>261.66666666666663</v>
      </c>
      <c r="I33" s="40">
        <f t="shared" ref="I33:I43" si="8">G33^2*P1a+G33*P1b+P1c</f>
        <v>4.6652551896769999E-2</v>
      </c>
    </row>
    <row r="34" spans="2:9" x14ac:dyDescent="0.3">
      <c r="B34" s="36">
        <f>0.4*$F$8</f>
        <v>24</v>
      </c>
      <c r="C34" s="4">
        <f t="shared" ref="C34:C42" si="9">(2350/61.7)*B34*0.395</f>
        <v>361.06969205834679</v>
      </c>
      <c r="D34" s="37">
        <f>OutData!P3</f>
        <v>6.4999997615814209E-2</v>
      </c>
      <c r="E34" s="4">
        <f t="shared" si="5"/>
        <v>358.84689552319406</v>
      </c>
      <c r="F34" s="4">
        <f t="shared" si="6"/>
        <v>27427.788192855602</v>
      </c>
      <c r="G34" s="38">
        <v>35000</v>
      </c>
      <c r="H34" s="39">
        <f t="shared" si="7"/>
        <v>457.91666666666663</v>
      </c>
      <c r="I34" s="40">
        <f t="shared" si="8"/>
        <v>8.4682342630144999E-2</v>
      </c>
    </row>
    <row r="35" spans="2:9" x14ac:dyDescent="0.3">
      <c r="B35" s="36">
        <f>0.5*$F$8</f>
        <v>30</v>
      </c>
      <c r="C35" s="4">
        <f t="shared" si="9"/>
        <v>451.33711507293356</v>
      </c>
      <c r="D35" s="48">
        <f>OutData!Q3</f>
        <v>8.2999996840953827E-2</v>
      </c>
      <c r="E35" s="4">
        <f t="shared" si="5"/>
        <v>448.50515627820675</v>
      </c>
      <c r="F35" s="4">
        <f t="shared" si="6"/>
        <v>34280.648887506257</v>
      </c>
      <c r="G35" s="38">
        <v>50000</v>
      </c>
      <c r="H35" s="39">
        <f t="shared" si="7"/>
        <v>654.16666666666652</v>
      </c>
      <c r="I35" s="40">
        <f t="shared" si="8"/>
        <v>0.13059101136857001</v>
      </c>
    </row>
    <row r="36" spans="2:9" x14ac:dyDescent="0.3">
      <c r="B36" s="36">
        <f>0.6*$F$8</f>
        <v>36</v>
      </c>
      <c r="C36" s="4">
        <f t="shared" si="9"/>
        <v>541.60453808752015</v>
      </c>
      <c r="D36" s="48">
        <f>OutData!R3</f>
        <v>0.10199999809265137</v>
      </c>
      <c r="E36" s="4">
        <f t="shared" si="5"/>
        <v>538.13255118898371</v>
      </c>
      <c r="F36" s="4">
        <f t="shared" si="6"/>
        <v>41131.15040934908</v>
      </c>
      <c r="G36" s="38">
        <v>60000</v>
      </c>
      <c r="H36" s="39">
        <f t="shared" si="7"/>
        <v>784.99999999999989</v>
      </c>
      <c r="I36" s="40">
        <f t="shared" si="8"/>
        <v>0.16557394497477002</v>
      </c>
    </row>
    <row r="37" spans="2:9" x14ac:dyDescent="0.3">
      <c r="B37" s="36">
        <f>0.7*$F$8</f>
        <v>42</v>
      </c>
      <c r="C37" s="4">
        <f t="shared" si="9"/>
        <v>631.87196110210698</v>
      </c>
      <c r="D37" s="48">
        <f>OutData!S3</f>
        <v>0.12399999797344208</v>
      </c>
      <c r="E37" s="4">
        <f t="shared" si="5"/>
        <v>627.66268892388734</v>
      </c>
      <c r="F37" s="4">
        <f t="shared" si="6"/>
        <v>47974.218261698406</v>
      </c>
      <c r="G37" s="38">
        <v>70000</v>
      </c>
      <c r="H37" s="39">
        <f t="shared" si="7"/>
        <v>915.83333333333326</v>
      </c>
      <c r="I37" s="40">
        <f t="shared" si="8"/>
        <v>0.20405860213877</v>
      </c>
    </row>
    <row r="38" spans="2:9" x14ac:dyDescent="0.3">
      <c r="B38" s="36">
        <f>0.75*$F$8</f>
        <v>45</v>
      </c>
      <c r="C38" s="4">
        <f t="shared" si="9"/>
        <v>677.00567260940034</v>
      </c>
      <c r="D38" s="48">
        <f>OutData!T3</f>
        <v>0.13500000536441803</v>
      </c>
      <c r="E38" s="4">
        <f t="shared" si="5"/>
        <v>672.4292799172805</v>
      </c>
      <c r="F38" s="4">
        <f t="shared" si="6"/>
        <v>51395.868528709347</v>
      </c>
      <c r="G38" s="38">
        <v>75000</v>
      </c>
      <c r="H38" s="39">
        <f t="shared" si="7"/>
        <v>981.24999999999989</v>
      </c>
      <c r="I38" s="40">
        <f t="shared" si="8"/>
        <v>0.22461407705494502</v>
      </c>
    </row>
    <row r="39" spans="2:9" x14ac:dyDescent="0.3">
      <c r="B39" s="36">
        <f>0.8*$F$8</f>
        <v>48</v>
      </c>
      <c r="C39" s="4">
        <f t="shared" si="9"/>
        <v>722.13938411669358</v>
      </c>
      <c r="D39" s="48">
        <f>OutData!U3</f>
        <v>0.14699999988079071</v>
      </c>
      <c r="E39" s="4">
        <f t="shared" si="5"/>
        <v>717.16364979770447</v>
      </c>
      <c r="F39" s="4">
        <f t="shared" si="6"/>
        <v>54815.05603549334</v>
      </c>
      <c r="G39" s="38">
        <v>80000</v>
      </c>
      <c r="H39" s="39">
        <f t="shared" si="7"/>
        <v>1046.6666666666665</v>
      </c>
      <c r="I39" s="40">
        <f t="shared" si="8"/>
        <v>0.24604498286057003</v>
      </c>
    </row>
    <row r="40" spans="2:9" x14ac:dyDescent="0.3">
      <c r="B40" s="36">
        <f>0.85*$F$8</f>
        <v>51</v>
      </c>
      <c r="C40" s="4">
        <f t="shared" si="9"/>
        <v>767.27309562398705</v>
      </c>
      <c r="D40" s="48">
        <f>OutData!V3</f>
        <v>0.15899999439716339</v>
      </c>
      <c r="E40" s="4">
        <f t="shared" si="5"/>
        <v>761.89921920992776</v>
      </c>
      <c r="F40" s="4">
        <f t="shared" si="6"/>
        <v>58234.335226236522</v>
      </c>
      <c r="G40" s="38">
        <v>85000</v>
      </c>
      <c r="H40" s="39">
        <f t="shared" si="7"/>
        <v>1112.0833333333333</v>
      </c>
      <c r="I40" s="40">
        <f t="shared" si="8"/>
        <v>0.26835131955564501</v>
      </c>
    </row>
    <row r="41" spans="2:9" x14ac:dyDescent="0.3">
      <c r="B41" s="36">
        <f>0.9*$F$8</f>
        <v>54</v>
      </c>
      <c r="C41" s="4">
        <f t="shared" si="9"/>
        <v>812.4068071312804</v>
      </c>
      <c r="D41" s="48">
        <f>OutData!W3</f>
        <v>0.17200000584125519</v>
      </c>
      <c r="E41" s="4">
        <f t="shared" si="5"/>
        <v>806.60295886238077</v>
      </c>
      <c r="F41" s="4">
        <f t="shared" si="6"/>
        <v>61651.181569099172</v>
      </c>
      <c r="G41" s="38">
        <v>90000</v>
      </c>
      <c r="H41" s="39">
        <f t="shared" si="7"/>
        <v>1177.5</v>
      </c>
      <c r="I41" s="40">
        <f t="shared" si="8"/>
        <v>0.29153308714017001</v>
      </c>
    </row>
    <row r="42" spans="2:9" x14ac:dyDescent="0.3">
      <c r="B42" s="36">
        <f>0.95*$F$8</f>
        <v>57</v>
      </c>
      <c r="C42" s="4">
        <f t="shared" si="9"/>
        <v>857.54051863857376</v>
      </c>
      <c r="D42" s="48">
        <f>OutData!X3</f>
        <v>0</v>
      </c>
      <c r="E42" s="4">
        <f t="shared" si="5"/>
        <v>857.54051863857376</v>
      </c>
      <c r="F42" s="4">
        <f t="shared" si="6"/>
        <v>65544.498239890992</v>
      </c>
      <c r="G42" s="38">
        <v>95000</v>
      </c>
      <c r="H42" s="39">
        <f t="shared" si="7"/>
        <v>1242.9166666666665</v>
      </c>
      <c r="I42" s="40">
        <f t="shared" si="8"/>
        <v>0.31559028561414504</v>
      </c>
    </row>
    <row r="43" spans="2:9" x14ac:dyDescent="0.3">
      <c r="B43" s="41">
        <f>1*$F$8</f>
        <v>60</v>
      </c>
      <c r="C43" s="42">
        <f>(2350/61.7)*B43*0.395</f>
        <v>902.67423014586711</v>
      </c>
      <c r="D43" s="49">
        <f>OutData!Y3</f>
        <v>0</v>
      </c>
      <c r="E43" s="42">
        <f t="shared" si="5"/>
        <v>902.67423014586711</v>
      </c>
      <c r="F43" s="42">
        <f t="shared" si="6"/>
        <v>68994.208673569461</v>
      </c>
      <c r="G43" s="43">
        <v>100000</v>
      </c>
      <c r="H43" s="44">
        <f t="shared" si="7"/>
        <v>1308.333333333333</v>
      </c>
      <c r="I43" s="45">
        <f t="shared" si="8"/>
        <v>0.34052291497757003</v>
      </c>
    </row>
    <row r="45" spans="2:9" x14ac:dyDescent="0.3">
      <c r="B45" s="24" t="s">
        <v>148</v>
      </c>
      <c r="C45" s="8"/>
      <c r="D45" s="25">
        <f>OutData!C4</f>
        <v>0</v>
      </c>
      <c r="E45" s="8" t="s">
        <v>149</v>
      </c>
      <c r="F45" s="8"/>
      <c r="G45" s="26" t="s">
        <v>150</v>
      </c>
      <c r="H45" s="26" t="s">
        <v>151</v>
      </c>
      <c r="I45" s="27">
        <f>OutData!L4</f>
        <v>0</v>
      </c>
    </row>
    <row r="46" spans="2:9" x14ac:dyDescent="0.3">
      <c r="B46" s="28" t="s">
        <v>152</v>
      </c>
      <c r="C46" s="11"/>
      <c r="D46" s="25">
        <f>OutData!D4</f>
        <v>0</v>
      </c>
      <c r="E46" s="11" t="s">
        <v>153</v>
      </c>
      <c r="F46" s="11"/>
      <c r="G46" s="11"/>
      <c r="H46" s="29" t="s">
        <v>154</v>
      </c>
      <c r="I46" s="27">
        <f>OutData!M4</f>
        <v>0</v>
      </c>
    </row>
    <row r="47" spans="2:9" x14ac:dyDescent="0.3">
      <c r="B47" s="28" t="s">
        <v>155</v>
      </c>
      <c r="C47" s="11"/>
      <c r="D47" s="25">
        <f>OutData!E4</f>
        <v>0</v>
      </c>
      <c r="E47" s="11"/>
      <c r="F47" s="11"/>
      <c r="G47" s="11"/>
      <c r="H47" s="29" t="s">
        <v>156</v>
      </c>
      <c r="I47" s="27">
        <f>OutData!N4</f>
        <v>0</v>
      </c>
    </row>
    <row r="48" spans="2:9" x14ac:dyDescent="0.3">
      <c r="B48" s="31" t="s">
        <v>157</v>
      </c>
      <c r="C48" s="32" t="s">
        <v>158</v>
      </c>
      <c r="D48" s="32" t="s">
        <v>159</v>
      </c>
      <c r="E48" s="32" t="s">
        <v>160</v>
      </c>
      <c r="F48" s="46"/>
      <c r="G48" s="32" t="s">
        <v>161</v>
      </c>
      <c r="H48" s="32"/>
      <c r="I48" s="33"/>
    </row>
    <row r="49" spans="2:9" x14ac:dyDescent="0.3">
      <c r="B49" s="47" t="s">
        <v>162</v>
      </c>
      <c r="C49" s="32" t="s">
        <v>163</v>
      </c>
      <c r="D49" s="32" t="s">
        <v>164</v>
      </c>
      <c r="E49" s="32" t="s">
        <v>163</v>
      </c>
      <c r="F49" s="32" t="s">
        <v>165</v>
      </c>
      <c r="G49" s="32" t="s">
        <v>166</v>
      </c>
      <c r="H49" s="32" t="s">
        <v>163</v>
      </c>
      <c r="I49" s="33" t="s">
        <v>167</v>
      </c>
    </row>
    <row r="50" spans="2:9" x14ac:dyDescent="0.3">
      <c r="B50" s="36">
        <f>0.25*$F$8</f>
        <v>15</v>
      </c>
      <c r="C50" s="4">
        <f>(2350/61.7)*B50*0.395</f>
        <v>225.66855753646678</v>
      </c>
      <c r="D50" s="37">
        <f>OutData!O4</f>
        <v>0</v>
      </c>
      <c r="E50" s="4">
        <f t="shared" ref="E50:E60" si="10">C50-(34.4764881*D50-4.325744048*D50^2+0.369475446*D50^3-0.01733631*D50^4+0.000339472*D50^5)</f>
        <v>225.66855753646678</v>
      </c>
      <c r="F50" s="4">
        <f t="shared" ref="F50:F60" si="11">(E50*60)/Volume</f>
        <v>17248.552168392365</v>
      </c>
      <c r="G50" s="38">
        <v>20000</v>
      </c>
      <c r="H50" s="39">
        <f t="shared" ref="H50:H60" si="12">G50*Volume/60</f>
        <v>261.66666666666663</v>
      </c>
      <c r="I50" s="40">
        <f t="shared" ref="I50:I60" si="13">G50^2*P2a+G50*P2b+P2c</f>
        <v>0</v>
      </c>
    </row>
    <row r="51" spans="2:9" x14ac:dyDescent="0.3">
      <c r="B51" s="36">
        <f>0.4*$F$8</f>
        <v>24</v>
      </c>
      <c r="C51" s="4">
        <f t="shared" ref="C51:C60" si="14">(2350/61.7)*B51*0.395</f>
        <v>361.06969205834679</v>
      </c>
      <c r="D51" s="37">
        <f>OutData!P4</f>
        <v>0</v>
      </c>
      <c r="E51" s="4">
        <f t="shared" si="10"/>
        <v>361.06969205834679</v>
      </c>
      <c r="F51" s="4">
        <f t="shared" si="11"/>
        <v>27597.683469427782</v>
      </c>
      <c r="G51" s="38">
        <v>35000</v>
      </c>
      <c r="H51" s="39">
        <f t="shared" si="12"/>
        <v>457.91666666666663</v>
      </c>
      <c r="I51" s="40">
        <f t="shared" si="13"/>
        <v>0</v>
      </c>
    </row>
    <row r="52" spans="2:9" x14ac:dyDescent="0.3">
      <c r="B52" s="36">
        <f>0.5*$F$8</f>
        <v>30</v>
      </c>
      <c r="C52" s="4">
        <f t="shared" si="14"/>
        <v>451.33711507293356</v>
      </c>
      <c r="D52" s="37">
        <f>OutData!Q4</f>
        <v>0</v>
      </c>
      <c r="E52" s="4">
        <f t="shared" si="10"/>
        <v>451.33711507293356</v>
      </c>
      <c r="F52" s="4">
        <f t="shared" si="11"/>
        <v>34497.104336784731</v>
      </c>
      <c r="G52" s="38">
        <v>50000</v>
      </c>
      <c r="H52" s="39">
        <f t="shared" si="12"/>
        <v>654.16666666666652</v>
      </c>
      <c r="I52" s="40">
        <f t="shared" si="13"/>
        <v>0</v>
      </c>
    </row>
    <row r="53" spans="2:9" x14ac:dyDescent="0.3">
      <c r="B53" s="36">
        <f>0.6*$F$8</f>
        <v>36</v>
      </c>
      <c r="C53" s="4">
        <f t="shared" si="14"/>
        <v>541.60453808752015</v>
      </c>
      <c r="D53" s="37">
        <f>OutData!R4</f>
        <v>0</v>
      </c>
      <c r="E53" s="4">
        <f t="shared" si="10"/>
        <v>541.60453808752015</v>
      </c>
      <c r="F53" s="4">
        <f t="shared" si="11"/>
        <v>41396.525204141668</v>
      </c>
      <c r="G53" s="38">
        <v>60000</v>
      </c>
      <c r="H53" s="39">
        <f t="shared" si="12"/>
        <v>784.99999999999989</v>
      </c>
      <c r="I53" s="40">
        <f t="shared" si="13"/>
        <v>0</v>
      </c>
    </row>
    <row r="54" spans="2:9" x14ac:dyDescent="0.3">
      <c r="B54" s="36">
        <f>0.7*$F$8</f>
        <v>42</v>
      </c>
      <c r="C54" s="4">
        <f t="shared" si="14"/>
        <v>631.87196110210698</v>
      </c>
      <c r="D54" s="37">
        <f>OutData!S4</f>
        <v>0</v>
      </c>
      <c r="E54" s="4">
        <f t="shared" si="10"/>
        <v>631.87196110210698</v>
      </c>
      <c r="F54" s="4">
        <f t="shared" si="11"/>
        <v>48295.94607149862</v>
      </c>
      <c r="G54" s="38">
        <v>70000</v>
      </c>
      <c r="H54" s="39">
        <f t="shared" si="12"/>
        <v>915.83333333333326</v>
      </c>
      <c r="I54" s="40">
        <f t="shared" si="13"/>
        <v>0</v>
      </c>
    </row>
    <row r="55" spans="2:9" x14ac:dyDescent="0.3">
      <c r="B55" s="36">
        <f>0.75*$F$8</f>
        <v>45</v>
      </c>
      <c r="C55" s="4">
        <f t="shared" si="14"/>
        <v>677.00567260940034</v>
      </c>
      <c r="D55" s="37">
        <f>OutData!T4</f>
        <v>0</v>
      </c>
      <c r="E55" s="4">
        <f t="shared" si="10"/>
        <v>677.00567260940034</v>
      </c>
      <c r="F55" s="4">
        <f t="shared" si="11"/>
        <v>51745.656505177096</v>
      </c>
      <c r="G55" s="38">
        <v>75000</v>
      </c>
      <c r="H55" s="39">
        <f t="shared" si="12"/>
        <v>981.24999999999989</v>
      </c>
      <c r="I55" s="40">
        <f t="shared" si="13"/>
        <v>0</v>
      </c>
    </row>
    <row r="56" spans="2:9" x14ac:dyDescent="0.3">
      <c r="B56" s="36">
        <f>0.8*$F$8</f>
        <v>48</v>
      </c>
      <c r="C56" s="4">
        <f t="shared" si="14"/>
        <v>722.13938411669358</v>
      </c>
      <c r="D56" s="37">
        <f>OutData!U4</f>
        <v>0</v>
      </c>
      <c r="E56" s="4">
        <f t="shared" si="10"/>
        <v>722.13938411669358</v>
      </c>
      <c r="F56" s="4">
        <f t="shared" si="11"/>
        <v>55195.366938855565</v>
      </c>
      <c r="G56" s="38">
        <v>80000</v>
      </c>
      <c r="H56" s="39">
        <f t="shared" si="12"/>
        <v>1046.6666666666665</v>
      </c>
      <c r="I56" s="40">
        <f t="shared" si="13"/>
        <v>0</v>
      </c>
    </row>
    <row r="57" spans="2:9" x14ac:dyDescent="0.3">
      <c r="B57" s="36">
        <f>0.85*$F$8</f>
        <v>51</v>
      </c>
      <c r="C57" s="4">
        <f t="shared" si="14"/>
        <v>767.27309562398705</v>
      </c>
      <c r="D57" s="37">
        <f>OutData!V4</f>
        <v>0</v>
      </c>
      <c r="E57" s="4">
        <f t="shared" si="10"/>
        <v>767.27309562398705</v>
      </c>
      <c r="F57" s="4">
        <f t="shared" si="11"/>
        <v>58645.077372534048</v>
      </c>
      <c r="G57" s="38">
        <v>85000</v>
      </c>
      <c r="H57" s="39">
        <f t="shared" si="12"/>
        <v>1112.0833333333333</v>
      </c>
      <c r="I57" s="40">
        <f t="shared" si="13"/>
        <v>0</v>
      </c>
    </row>
    <row r="58" spans="2:9" x14ac:dyDescent="0.3">
      <c r="B58" s="36">
        <f>0.9*$F$8</f>
        <v>54</v>
      </c>
      <c r="C58" s="4">
        <f t="shared" si="14"/>
        <v>812.4068071312804</v>
      </c>
      <c r="D58" s="37">
        <f>OutData!W4</f>
        <v>0</v>
      </c>
      <c r="E58" s="4">
        <f t="shared" si="10"/>
        <v>812.4068071312804</v>
      </c>
      <c r="F58" s="4">
        <f t="shared" si="11"/>
        <v>62094.787806212524</v>
      </c>
      <c r="G58" s="38">
        <v>90000</v>
      </c>
      <c r="H58" s="39">
        <f t="shared" si="12"/>
        <v>1177.5</v>
      </c>
      <c r="I58" s="40">
        <f t="shared" si="13"/>
        <v>0</v>
      </c>
    </row>
    <row r="59" spans="2:9" x14ac:dyDescent="0.3">
      <c r="B59" s="36">
        <f>0.95*$F$8</f>
        <v>57</v>
      </c>
      <c r="C59" s="4">
        <f t="shared" si="14"/>
        <v>857.54051863857376</v>
      </c>
      <c r="D59" s="37">
        <f>OutData!X4</f>
        <v>0</v>
      </c>
      <c r="E59" s="4">
        <f t="shared" si="10"/>
        <v>857.54051863857376</v>
      </c>
      <c r="F59" s="4">
        <f t="shared" si="11"/>
        <v>65544.498239890992</v>
      </c>
      <c r="G59" s="38">
        <v>95000</v>
      </c>
      <c r="H59" s="39">
        <f t="shared" si="12"/>
        <v>1242.9166666666665</v>
      </c>
      <c r="I59" s="40">
        <f t="shared" si="13"/>
        <v>0</v>
      </c>
    </row>
    <row r="60" spans="2:9" x14ac:dyDescent="0.3">
      <c r="B60" s="41">
        <f>1*$F$8</f>
        <v>60</v>
      </c>
      <c r="C60" s="42">
        <f t="shared" si="14"/>
        <v>902.67423014586711</v>
      </c>
      <c r="D60" s="37">
        <f>OutData!Y4</f>
        <v>0</v>
      </c>
      <c r="E60" s="42">
        <f t="shared" si="10"/>
        <v>902.67423014586711</v>
      </c>
      <c r="F60" s="42">
        <f t="shared" si="11"/>
        <v>68994.208673569461</v>
      </c>
      <c r="G60" s="43">
        <v>100000</v>
      </c>
      <c r="H60" s="44">
        <f t="shared" si="12"/>
        <v>1308.333333333333</v>
      </c>
      <c r="I60" s="45">
        <f t="shared" si="13"/>
        <v>0</v>
      </c>
    </row>
    <row r="62" spans="2:9" x14ac:dyDescent="0.3">
      <c r="F62" s="50"/>
    </row>
    <row r="63" spans="2:9" x14ac:dyDescent="0.3">
      <c r="B63" s="51"/>
      <c r="C63" s="52"/>
      <c r="D63" s="52"/>
      <c r="F63" s="53"/>
    </row>
    <row r="64" spans="2:9" x14ac:dyDescent="0.3">
      <c r="B64" s="51"/>
      <c r="C64" s="52"/>
      <c r="D64" s="52"/>
      <c r="E64" s="54"/>
      <c r="F64" s="53"/>
    </row>
    <row r="65" spans="3:6" x14ac:dyDescent="0.3">
      <c r="C65" s="55"/>
      <c r="D65" s="56"/>
      <c r="F65" s="53"/>
    </row>
  </sheetData>
  <dataConsolidate link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5"/>
  <dimension ref="A1:DJ4"/>
  <sheetViews>
    <sheetView tabSelected="1" workbookViewId="0">
      <selection sqref="A1:CW4"/>
    </sheetView>
  </sheetViews>
  <sheetFormatPr defaultRowHeight="14.4" x14ac:dyDescent="0.3"/>
  <cols>
    <col min="1" max="1" width="12.109375" bestFit="1" customWidth="1"/>
    <col min="2" max="2" width="8.88671875" bestFit="1" customWidth="1"/>
    <col min="3" max="3" width="7.88671875" bestFit="1" customWidth="1"/>
    <col min="4" max="4" width="17.44140625" bestFit="1" customWidth="1"/>
    <col min="5" max="5" width="11.88671875" bestFit="1" customWidth="1"/>
    <col min="6" max="6" width="8.5546875" bestFit="1" customWidth="1"/>
    <col min="7" max="10" width="9.5546875" bestFit="1" customWidth="1"/>
    <col min="11" max="11" width="13.109375" bestFit="1" customWidth="1"/>
    <col min="12" max="13" width="12" bestFit="1" customWidth="1"/>
    <col min="14" max="14" width="11.5546875" bestFit="1" customWidth="1"/>
    <col min="15" max="23" width="4.33203125" bestFit="1" customWidth="1"/>
    <col min="24" max="24" width="5.33203125" bestFit="1" customWidth="1"/>
    <col min="25" max="25" width="5.44140625" bestFit="1" customWidth="1"/>
    <col min="26" max="26" width="11.88671875" bestFit="1" customWidth="1"/>
    <col min="27" max="34" width="3.88671875" bestFit="1" customWidth="1"/>
    <col min="35" max="36" width="4.88671875" bestFit="1" customWidth="1"/>
    <col min="37" max="37" width="12.109375" bestFit="1" customWidth="1"/>
    <col min="38" max="38" width="9.88671875" bestFit="1" customWidth="1"/>
    <col min="39" max="39" width="17.44140625" bestFit="1" customWidth="1"/>
    <col min="40" max="40" width="24.109375" bestFit="1" customWidth="1"/>
    <col min="41" max="41" width="11.109375" bestFit="1" customWidth="1"/>
    <col min="42" max="42" width="25.44140625" bestFit="1" customWidth="1"/>
    <col min="43" max="43" width="15.88671875" bestFit="1" customWidth="1"/>
    <col min="44" max="44" width="12.109375" bestFit="1" customWidth="1"/>
    <col min="45" max="45" width="8.44140625" bestFit="1" customWidth="1"/>
    <col min="46" max="46" width="7.5546875" bestFit="1" customWidth="1"/>
    <col min="47" max="47" width="12.44140625" bestFit="1" customWidth="1"/>
    <col min="48" max="48" width="11.44140625" bestFit="1" customWidth="1"/>
    <col min="49" max="49" width="17.5546875" bestFit="1" customWidth="1"/>
    <col min="50" max="50" width="16" bestFit="1" customWidth="1"/>
    <col min="51" max="51" width="10.44140625" bestFit="1" customWidth="1"/>
    <col min="52" max="52" width="10.5546875" bestFit="1" customWidth="1"/>
    <col min="53" max="53" width="13.6640625" bestFit="1" customWidth="1"/>
    <col min="54" max="54" width="17.5546875" bestFit="1" customWidth="1"/>
    <col min="55" max="55" width="13.5546875" bestFit="1" customWidth="1"/>
    <col min="56" max="56" width="12.109375" bestFit="1" customWidth="1"/>
    <col min="57" max="57" width="8.109375" bestFit="1" customWidth="1"/>
    <col min="58" max="58" width="6.88671875" bestFit="1" customWidth="1"/>
    <col min="59" max="59" width="5" bestFit="1" customWidth="1"/>
    <col min="60" max="60" width="9.88671875" bestFit="1" customWidth="1"/>
    <col min="61" max="61" width="5.88671875" bestFit="1" customWidth="1"/>
    <col min="62" max="62" width="18.5546875" bestFit="1" customWidth="1"/>
    <col min="63" max="64" width="17.5546875" bestFit="1" customWidth="1"/>
    <col min="65" max="65" width="8.5546875" bestFit="1" customWidth="1"/>
    <col min="66" max="66" width="12.109375" bestFit="1" customWidth="1"/>
    <col min="67" max="67" width="19.109375" bestFit="1" customWidth="1"/>
    <col min="68" max="68" width="6.88671875" bestFit="1" customWidth="1"/>
    <col min="69" max="69" width="5" bestFit="1" customWidth="1"/>
    <col min="70" max="70" width="8.5546875" bestFit="1" customWidth="1"/>
    <col min="71" max="71" width="10.5546875" bestFit="1" customWidth="1"/>
    <col min="72" max="73" width="12.109375" bestFit="1" customWidth="1"/>
    <col min="74" max="74" width="14.33203125" bestFit="1" customWidth="1"/>
    <col min="75" max="75" width="12.44140625" bestFit="1" customWidth="1"/>
    <col min="76" max="76" width="6.109375" bestFit="1" customWidth="1"/>
    <col min="77" max="77" width="4.88671875" bestFit="1" customWidth="1"/>
    <col min="78" max="78" width="8.109375" bestFit="1" customWidth="1"/>
    <col min="79" max="79" width="10.5546875" bestFit="1" customWidth="1"/>
    <col min="80" max="80" width="14.33203125" bestFit="1" customWidth="1"/>
    <col min="81" max="81" width="12.44140625" bestFit="1" customWidth="1"/>
    <col min="82" max="82" width="12.109375" bestFit="1" customWidth="1"/>
    <col min="83" max="83" width="14.21875" bestFit="1" customWidth="1"/>
    <col min="84" max="84" width="4.5546875" bestFit="1" customWidth="1"/>
    <col min="85" max="85" width="11.33203125" customWidth="1"/>
    <col min="86" max="86" width="10.5546875" bestFit="1" customWidth="1"/>
    <col min="87" max="87" width="14.5546875" bestFit="1" customWidth="1"/>
    <col min="88" max="88" width="17.44140625" bestFit="1" customWidth="1"/>
    <col min="89" max="89" width="13.109375" bestFit="1" customWidth="1"/>
    <col min="90" max="90" width="12.44140625" bestFit="1" customWidth="1"/>
    <col min="91" max="91" width="12.109375" bestFit="1" customWidth="1"/>
    <col min="92" max="92" width="10.33203125" bestFit="1" customWidth="1"/>
    <col min="93" max="93" width="12.44140625" bestFit="1" customWidth="1"/>
    <col min="94" max="94" width="11" bestFit="1" customWidth="1"/>
    <col min="95" max="95" width="12.109375" bestFit="1" customWidth="1"/>
    <col min="96" max="96" width="12.44140625" bestFit="1" customWidth="1"/>
    <col min="97" max="97" width="13.44140625" bestFit="1" customWidth="1"/>
    <col min="98" max="98" width="16.5546875" bestFit="1" customWidth="1"/>
    <col min="99" max="99" width="11.109375" bestFit="1" customWidth="1"/>
    <col min="100" max="100" width="14.44140625" bestFit="1" customWidth="1"/>
    <col min="101" max="101" width="15.109375" bestFit="1" customWidth="1"/>
    <col min="102" max="102" width="14.5546875" bestFit="1" customWidth="1"/>
    <col min="103" max="103" width="12.6640625" bestFit="1" customWidth="1"/>
    <col min="104" max="104" width="13.109375" bestFit="1" customWidth="1"/>
    <col min="105" max="105" width="7.33203125" bestFit="1" customWidth="1"/>
    <col min="106" max="106" width="7.109375" bestFit="1" customWidth="1"/>
    <col min="107" max="107" width="14.44140625" bestFit="1" customWidth="1"/>
    <col min="108" max="108" width="16.109375" bestFit="1" customWidth="1"/>
    <col min="109" max="109" width="13.109375" bestFit="1" customWidth="1"/>
    <col min="110" max="110" width="21.33203125" bestFit="1" customWidth="1"/>
    <col min="111" max="111" width="8.88671875" bestFit="1" customWidth="1"/>
  </cols>
  <sheetData>
    <row r="1" spans="1:114" x14ac:dyDescent="0.3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80</v>
      </c>
      <c r="AB1" t="s">
        <v>31</v>
      </c>
      <c r="AC1" t="s">
        <v>81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82</v>
      </c>
      <c r="AN1" t="s">
        <v>83</v>
      </c>
      <c r="AO1" t="s">
        <v>77</v>
      </c>
      <c r="AP1" t="s">
        <v>84</v>
      </c>
      <c r="AQ1" t="s">
        <v>85</v>
      </c>
      <c r="AR1" t="s">
        <v>42</v>
      </c>
      <c r="AS1" t="s">
        <v>43</v>
      </c>
      <c r="AT1" t="s">
        <v>44</v>
      </c>
      <c r="AU1" t="s">
        <v>45</v>
      </c>
      <c r="AV1" t="s">
        <v>4</v>
      </c>
      <c r="AW1" t="s">
        <v>41</v>
      </c>
      <c r="AX1" t="s">
        <v>85</v>
      </c>
      <c r="AY1" t="s">
        <v>47</v>
      </c>
      <c r="AZ1" t="s">
        <v>48</v>
      </c>
      <c r="BA1" t="s">
        <v>5</v>
      </c>
      <c r="BB1" t="s">
        <v>3</v>
      </c>
      <c r="BC1" t="s">
        <v>4</v>
      </c>
      <c r="BD1" t="s">
        <v>46</v>
      </c>
      <c r="BE1" t="s">
        <v>47</v>
      </c>
      <c r="BF1" t="s">
        <v>48</v>
      </c>
      <c r="BG1" t="s">
        <v>5</v>
      </c>
      <c r="BH1" t="s">
        <v>3</v>
      </c>
      <c r="BI1" t="s">
        <v>4</v>
      </c>
      <c r="BJ1" t="s">
        <v>86</v>
      </c>
      <c r="BK1" t="s">
        <v>50</v>
      </c>
      <c r="BL1" t="s">
        <v>0</v>
      </c>
      <c r="BM1" t="s">
        <v>2</v>
      </c>
      <c r="BN1" t="s">
        <v>1</v>
      </c>
      <c r="BO1" t="s">
        <v>87</v>
      </c>
      <c r="BP1" t="s">
        <v>88</v>
      </c>
      <c r="BQ1" t="s">
        <v>89</v>
      </c>
      <c r="BR1" t="s">
        <v>49</v>
      </c>
      <c r="BS1" t="s">
        <v>2</v>
      </c>
      <c r="BT1" t="s">
        <v>1</v>
      </c>
      <c r="BU1" t="s">
        <v>51</v>
      </c>
      <c r="BV1" t="s">
        <v>90</v>
      </c>
      <c r="BW1" t="s">
        <v>52</v>
      </c>
      <c r="BX1" t="s">
        <v>53</v>
      </c>
      <c r="BY1" t="s">
        <v>54</v>
      </c>
      <c r="BZ1" t="s">
        <v>49</v>
      </c>
      <c r="CA1" t="s">
        <v>55</v>
      </c>
      <c r="CB1" t="s">
        <v>56</v>
      </c>
      <c r="CC1" t="s">
        <v>57</v>
      </c>
      <c r="CD1" t="s">
        <v>58</v>
      </c>
      <c r="CE1" t="s">
        <v>59</v>
      </c>
      <c r="CF1" t="s">
        <v>91</v>
      </c>
      <c r="CG1" t="s">
        <v>92</v>
      </c>
      <c r="CH1" t="s">
        <v>93</v>
      </c>
      <c r="CI1" t="s">
        <v>94</v>
      </c>
      <c r="CJ1" t="s">
        <v>95</v>
      </c>
      <c r="CK1" t="s">
        <v>96</v>
      </c>
      <c r="CL1" t="s">
        <v>97</v>
      </c>
      <c r="CM1" t="s">
        <v>64</v>
      </c>
      <c r="CN1" t="s">
        <v>65</v>
      </c>
      <c r="CO1" t="s">
        <v>66</v>
      </c>
      <c r="CP1" t="s">
        <v>98</v>
      </c>
      <c r="CQ1" t="s">
        <v>99</v>
      </c>
      <c r="CR1" t="s">
        <v>100</v>
      </c>
      <c r="CS1" t="s">
        <v>101</v>
      </c>
      <c r="CT1" t="s">
        <v>68</v>
      </c>
      <c r="CU1" t="s">
        <v>69</v>
      </c>
      <c r="CV1" t="s">
        <v>70</v>
      </c>
      <c r="CW1" t="s">
        <v>102</v>
      </c>
      <c r="CX1" t="s">
        <v>58</v>
      </c>
      <c r="CY1" t="s">
        <v>59</v>
      </c>
      <c r="CZ1" t="s">
        <v>60</v>
      </c>
      <c r="DA1" t="s">
        <v>61</v>
      </c>
      <c r="DB1" t="s">
        <v>62</v>
      </c>
      <c r="DC1" t="s">
        <v>63</v>
      </c>
      <c r="DD1" t="s">
        <v>64</v>
      </c>
      <c r="DE1" t="s">
        <v>65</v>
      </c>
      <c r="DF1" t="s">
        <v>66</v>
      </c>
      <c r="DG1" t="s">
        <v>67</v>
      </c>
      <c r="DH1" t="s">
        <v>68</v>
      </c>
      <c r="DI1" t="s">
        <v>69</v>
      </c>
      <c r="DJ1" t="s">
        <v>70</v>
      </c>
    </row>
    <row r="2" spans="1:114" ht="28.8" x14ac:dyDescent="0.3">
      <c r="A2">
        <v>82</v>
      </c>
      <c r="B2">
        <v>0</v>
      </c>
      <c r="C2">
        <v>71</v>
      </c>
      <c r="D2">
        <v>12</v>
      </c>
      <c r="F2">
        <v>51</v>
      </c>
      <c r="G2">
        <v>11</v>
      </c>
      <c r="H2">
        <v>11</v>
      </c>
      <c r="I2">
        <v>11</v>
      </c>
      <c r="J2">
        <v>11</v>
      </c>
      <c r="K2">
        <v>11</v>
      </c>
      <c r="L2">
        <v>2.3307045642400001E-11</v>
      </c>
      <c r="M2">
        <v>3.72452399064E-6</v>
      </c>
      <c r="N2">
        <v>6.3591974635199998E-3</v>
      </c>
      <c r="O2">
        <v>7.5000002980232239E-2</v>
      </c>
      <c r="P2">
        <v>0.12700000405311584</v>
      </c>
      <c r="Q2">
        <v>0.16300000250339508</v>
      </c>
      <c r="R2">
        <v>0.19699999690055847</v>
      </c>
      <c r="S2">
        <v>0.23600000143051147</v>
      </c>
      <c r="T2">
        <v>0.25499999523162842</v>
      </c>
      <c r="U2">
        <v>0.27700001001358032</v>
      </c>
      <c r="V2">
        <v>0.30099999904632568</v>
      </c>
      <c r="W2">
        <v>0.32400000095367432</v>
      </c>
      <c r="X2">
        <v>0</v>
      </c>
      <c r="Y2">
        <v>0</v>
      </c>
      <c r="Z2">
        <v>82</v>
      </c>
      <c r="AA2" t="s">
        <v>103</v>
      </c>
      <c r="AB2" t="s">
        <v>104</v>
      </c>
      <c r="AC2" t="s">
        <v>105</v>
      </c>
      <c r="AD2">
        <v>0</v>
      </c>
      <c r="AE2" t="b">
        <v>0</v>
      </c>
      <c r="AF2" t="b">
        <v>0</v>
      </c>
      <c r="AG2" t="b">
        <v>1</v>
      </c>
      <c r="AI2" t="b">
        <v>0</v>
      </c>
      <c r="AJ2" t="b">
        <v>1</v>
      </c>
      <c r="AK2" t="b">
        <v>0</v>
      </c>
      <c r="AM2">
        <v>210093</v>
      </c>
      <c r="AN2">
        <v>2591</v>
      </c>
      <c r="AO2" s="1">
        <v>43676.62046917824</v>
      </c>
      <c r="AP2" t="s">
        <v>106</v>
      </c>
      <c r="AQ2" t="s">
        <v>107</v>
      </c>
      <c r="AR2" t="s">
        <v>108</v>
      </c>
      <c r="AT2" t="s">
        <v>109</v>
      </c>
      <c r="AU2" t="s">
        <v>110</v>
      </c>
      <c r="AV2" t="s">
        <v>71</v>
      </c>
      <c r="AW2" t="s">
        <v>111</v>
      </c>
      <c r="AX2" t="s">
        <v>112</v>
      </c>
      <c r="AY2" s="1" t="s">
        <v>113</v>
      </c>
      <c r="AZ2" s="1"/>
      <c r="BA2" t="s">
        <v>114</v>
      </c>
      <c r="BB2" t="s">
        <v>115</v>
      </c>
      <c r="BC2" t="s">
        <v>71</v>
      </c>
      <c r="BD2" t="s">
        <v>116</v>
      </c>
      <c r="BE2" t="s">
        <v>117</v>
      </c>
      <c r="BG2" t="s">
        <v>109</v>
      </c>
      <c r="BH2" t="s">
        <v>118</v>
      </c>
      <c r="BI2" t="s">
        <v>71</v>
      </c>
      <c r="BJ2" t="s">
        <v>119</v>
      </c>
      <c r="BK2" t="s">
        <v>120</v>
      </c>
      <c r="BL2" t="s">
        <v>121</v>
      </c>
      <c r="BM2" t="s">
        <v>122</v>
      </c>
      <c r="BN2">
        <v>2018</v>
      </c>
      <c r="BO2">
        <v>200000</v>
      </c>
      <c r="BP2">
        <v>4500</v>
      </c>
      <c r="BQ2" t="s">
        <v>123</v>
      </c>
      <c r="BR2" t="s">
        <v>124</v>
      </c>
      <c r="BS2" t="s">
        <v>125</v>
      </c>
      <c r="BT2">
        <v>1900</v>
      </c>
      <c r="BU2" t="s">
        <v>72</v>
      </c>
      <c r="BV2" t="s">
        <v>126</v>
      </c>
      <c r="BW2" t="s">
        <v>73</v>
      </c>
      <c r="BX2">
        <v>0</v>
      </c>
      <c r="BY2" t="s">
        <v>127</v>
      </c>
      <c r="BZ2" t="s">
        <v>128</v>
      </c>
      <c r="CA2" t="s">
        <v>129</v>
      </c>
      <c r="CB2">
        <v>14</v>
      </c>
      <c r="CC2">
        <v>12</v>
      </c>
      <c r="CD2">
        <v>13.785</v>
      </c>
      <c r="CE2">
        <v>12</v>
      </c>
      <c r="CF2" s="2" t="s">
        <v>130</v>
      </c>
      <c r="CG2" t="s">
        <v>131</v>
      </c>
      <c r="CH2" s="2" t="s">
        <v>130</v>
      </c>
      <c r="CI2" t="s">
        <v>132</v>
      </c>
      <c r="CJ2" s="2" t="s">
        <v>133</v>
      </c>
      <c r="CK2" t="s">
        <v>134</v>
      </c>
      <c r="CL2" t="s">
        <v>135</v>
      </c>
      <c r="CM2" s="2" t="b">
        <v>1</v>
      </c>
      <c r="CN2" t="b">
        <v>1</v>
      </c>
      <c r="CO2" t="b">
        <v>1</v>
      </c>
      <c r="CP2" t="b">
        <v>1</v>
      </c>
      <c r="CQ2" t="b">
        <v>1</v>
      </c>
      <c r="CR2" t="b">
        <v>1</v>
      </c>
      <c r="CT2">
        <v>11.574999809265137</v>
      </c>
      <c r="CU2">
        <v>110000</v>
      </c>
      <c r="CV2">
        <v>60</v>
      </c>
      <c r="CW2" t="s">
        <v>136</v>
      </c>
      <c r="CX2">
        <v>3</v>
      </c>
      <c r="CY2">
        <v>4</v>
      </c>
      <c r="CZ2">
        <v>1</v>
      </c>
      <c r="DA2">
        <v>2</v>
      </c>
      <c r="DD2" t="b">
        <v>1</v>
      </c>
      <c r="DE2" t="b">
        <v>1</v>
      </c>
      <c r="DF2" t="b">
        <v>0</v>
      </c>
      <c r="DG2" t="b">
        <v>1</v>
      </c>
    </row>
    <row r="3" spans="1:114" ht="28.8" x14ac:dyDescent="0.3">
      <c r="A3">
        <v>82</v>
      </c>
      <c r="B3">
        <v>1</v>
      </c>
      <c r="C3">
        <v>75</v>
      </c>
      <c r="D3">
        <v>13</v>
      </c>
      <c r="F3">
        <v>50</v>
      </c>
      <c r="G3">
        <v>11.5</v>
      </c>
      <c r="H3">
        <v>11.5</v>
      </c>
      <c r="I3">
        <v>11.5</v>
      </c>
      <c r="J3">
        <v>11.5</v>
      </c>
      <c r="K3">
        <v>11.5</v>
      </c>
      <c r="L3">
        <v>1.7508617789E-11</v>
      </c>
      <c r="M3">
        <v>1.57234540383E-6</v>
      </c>
      <c r="N3">
        <v>8.2021967045699997E-3</v>
      </c>
      <c r="O3">
        <v>3.9999999105930328E-2</v>
      </c>
      <c r="P3">
        <v>6.4999997615814209E-2</v>
      </c>
      <c r="Q3">
        <v>8.2999996840953827E-2</v>
      </c>
      <c r="R3">
        <v>0.10199999809265137</v>
      </c>
      <c r="S3">
        <v>0.12399999797344208</v>
      </c>
      <c r="T3">
        <v>0.13500000536441803</v>
      </c>
      <c r="U3">
        <v>0.14699999988079071</v>
      </c>
      <c r="V3">
        <v>0.15899999439716339</v>
      </c>
      <c r="W3">
        <v>0.17200000584125519</v>
      </c>
      <c r="X3">
        <v>0</v>
      </c>
      <c r="Y3">
        <v>0</v>
      </c>
      <c r="Z3">
        <v>82</v>
      </c>
      <c r="AA3" t="s">
        <v>103</v>
      </c>
      <c r="AB3" t="s">
        <v>104</v>
      </c>
      <c r="AC3" t="s">
        <v>105</v>
      </c>
      <c r="AD3">
        <v>0</v>
      </c>
      <c r="AE3" t="b">
        <v>0</v>
      </c>
      <c r="AF3" t="b">
        <v>0</v>
      </c>
      <c r="AG3" t="b">
        <v>1</v>
      </c>
      <c r="AI3" t="b">
        <v>0</v>
      </c>
      <c r="AJ3" t="b">
        <v>1</v>
      </c>
      <c r="AK3" t="b">
        <v>0</v>
      </c>
      <c r="AM3">
        <v>210093</v>
      </c>
      <c r="AN3">
        <v>2591</v>
      </c>
      <c r="AO3" s="1">
        <v>43676.62046917824</v>
      </c>
      <c r="AP3" t="s">
        <v>106</v>
      </c>
      <c r="AQ3" t="s">
        <v>107</v>
      </c>
      <c r="AR3" t="s">
        <v>108</v>
      </c>
      <c r="AT3" t="s">
        <v>109</v>
      </c>
      <c r="AU3" t="s">
        <v>110</v>
      </c>
      <c r="AV3" t="s">
        <v>71</v>
      </c>
      <c r="AW3" t="s">
        <v>111</v>
      </c>
      <c r="AX3" t="s">
        <v>112</v>
      </c>
      <c r="AY3" s="1" t="s">
        <v>113</v>
      </c>
      <c r="AZ3" s="1"/>
      <c r="BA3" t="s">
        <v>114</v>
      </c>
      <c r="BB3" t="s">
        <v>115</v>
      </c>
      <c r="BC3" t="s">
        <v>71</v>
      </c>
      <c r="BD3" t="s">
        <v>116</v>
      </c>
      <c r="BE3" t="s">
        <v>117</v>
      </c>
      <c r="BG3" t="s">
        <v>109</v>
      </c>
      <c r="BH3" t="s">
        <v>118</v>
      </c>
      <c r="BI3" t="s">
        <v>71</v>
      </c>
      <c r="BJ3" t="s">
        <v>119</v>
      </c>
      <c r="BK3" t="s">
        <v>120</v>
      </c>
      <c r="BL3" t="s">
        <v>121</v>
      </c>
      <c r="BM3" t="s">
        <v>122</v>
      </c>
      <c r="BN3">
        <v>2018</v>
      </c>
      <c r="BO3">
        <v>200000</v>
      </c>
      <c r="BP3">
        <v>4500</v>
      </c>
      <c r="BQ3" t="s">
        <v>123</v>
      </c>
      <c r="BR3" t="s">
        <v>124</v>
      </c>
      <c r="BS3" t="s">
        <v>125</v>
      </c>
      <c r="BT3">
        <v>1900</v>
      </c>
      <c r="BU3" t="s">
        <v>72</v>
      </c>
      <c r="BV3" t="s">
        <v>126</v>
      </c>
      <c r="BW3" t="s">
        <v>73</v>
      </c>
      <c r="BX3">
        <v>0</v>
      </c>
      <c r="BY3" t="s">
        <v>127</v>
      </c>
      <c r="BZ3" t="s">
        <v>128</v>
      </c>
      <c r="CA3" t="s">
        <v>129</v>
      </c>
      <c r="CB3">
        <v>14</v>
      </c>
      <c r="CC3">
        <v>12</v>
      </c>
      <c r="CD3">
        <v>13.785</v>
      </c>
      <c r="CE3">
        <v>12</v>
      </c>
      <c r="CF3" s="2" t="s">
        <v>130</v>
      </c>
      <c r="CG3" t="s">
        <v>131</v>
      </c>
      <c r="CH3" s="2" t="s">
        <v>130</v>
      </c>
      <c r="CI3" t="s">
        <v>132</v>
      </c>
      <c r="CJ3" s="2" t="s">
        <v>133</v>
      </c>
      <c r="CK3" t="s">
        <v>134</v>
      </c>
      <c r="CL3" t="s">
        <v>135</v>
      </c>
      <c r="CM3" s="2" t="b">
        <v>1</v>
      </c>
      <c r="CN3" t="b">
        <v>1</v>
      </c>
      <c r="CO3" t="b">
        <v>1</v>
      </c>
      <c r="CP3" t="b">
        <v>1</v>
      </c>
      <c r="CQ3" t="b">
        <v>1</v>
      </c>
      <c r="CR3" t="b">
        <v>1</v>
      </c>
      <c r="CT3">
        <v>11.574999809265137</v>
      </c>
      <c r="CU3">
        <v>110000</v>
      </c>
      <c r="CV3">
        <v>60</v>
      </c>
      <c r="CW3" t="s">
        <v>136</v>
      </c>
      <c r="CX3">
        <v>3</v>
      </c>
      <c r="CY3">
        <v>4</v>
      </c>
      <c r="CZ3">
        <v>1</v>
      </c>
      <c r="DA3">
        <v>2</v>
      </c>
      <c r="DD3" t="b">
        <v>1</v>
      </c>
      <c r="DE3" t="b">
        <v>1</v>
      </c>
      <c r="DF3" t="b">
        <v>0</v>
      </c>
      <c r="DG3" t="b">
        <v>1</v>
      </c>
    </row>
    <row r="4" spans="1:114" ht="28.8" x14ac:dyDescent="0.3">
      <c r="A4">
        <v>82</v>
      </c>
      <c r="B4">
        <v>2</v>
      </c>
      <c r="F4">
        <v>50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82</v>
      </c>
      <c r="AA4" t="s">
        <v>103</v>
      </c>
      <c r="AB4" t="s">
        <v>104</v>
      </c>
      <c r="AC4" t="s">
        <v>105</v>
      </c>
      <c r="AD4">
        <v>0</v>
      </c>
      <c r="AE4" t="b">
        <v>0</v>
      </c>
      <c r="AF4" t="b">
        <v>0</v>
      </c>
      <c r="AG4" t="b">
        <v>1</v>
      </c>
      <c r="AI4" t="b">
        <v>0</v>
      </c>
      <c r="AJ4" t="b">
        <v>1</v>
      </c>
      <c r="AK4" t="b">
        <v>0</v>
      </c>
      <c r="AM4">
        <v>210093</v>
      </c>
      <c r="AN4">
        <v>2591</v>
      </c>
      <c r="AO4" s="1">
        <v>43676.62046917824</v>
      </c>
      <c r="AP4" t="s">
        <v>106</v>
      </c>
      <c r="AQ4" t="s">
        <v>107</v>
      </c>
      <c r="AR4" t="s">
        <v>108</v>
      </c>
      <c r="AT4" t="s">
        <v>109</v>
      </c>
      <c r="AU4" t="s">
        <v>110</v>
      </c>
      <c r="AV4" t="s">
        <v>71</v>
      </c>
      <c r="AW4" t="s">
        <v>111</v>
      </c>
      <c r="AX4" t="s">
        <v>112</v>
      </c>
      <c r="AY4" s="1" t="s">
        <v>113</v>
      </c>
      <c r="AZ4" s="1"/>
      <c r="BA4" t="s">
        <v>114</v>
      </c>
      <c r="BB4" t="s">
        <v>115</v>
      </c>
      <c r="BC4" t="s">
        <v>71</v>
      </c>
      <c r="BD4" t="s">
        <v>116</v>
      </c>
      <c r="BE4" t="s">
        <v>117</v>
      </c>
      <c r="BG4" t="s">
        <v>109</v>
      </c>
      <c r="BH4" t="s">
        <v>118</v>
      </c>
      <c r="BI4" t="s">
        <v>71</v>
      </c>
      <c r="BJ4" t="s">
        <v>119</v>
      </c>
      <c r="BK4" t="s">
        <v>120</v>
      </c>
      <c r="BL4" t="s">
        <v>121</v>
      </c>
      <c r="BM4" t="s">
        <v>122</v>
      </c>
      <c r="BN4">
        <v>2018</v>
      </c>
      <c r="BO4">
        <v>200000</v>
      </c>
      <c r="BP4">
        <v>4500</v>
      </c>
      <c r="BQ4" t="s">
        <v>123</v>
      </c>
      <c r="BR4" t="s">
        <v>124</v>
      </c>
      <c r="BS4" t="s">
        <v>125</v>
      </c>
      <c r="BT4">
        <v>1900</v>
      </c>
      <c r="BU4" t="s">
        <v>72</v>
      </c>
      <c r="BV4" t="s">
        <v>126</v>
      </c>
      <c r="BW4" t="s">
        <v>73</v>
      </c>
      <c r="BX4">
        <v>0</v>
      </c>
      <c r="BY4" t="s">
        <v>127</v>
      </c>
      <c r="BZ4" t="s">
        <v>128</v>
      </c>
      <c r="CA4" t="s">
        <v>129</v>
      </c>
      <c r="CB4">
        <v>14</v>
      </c>
      <c r="CC4">
        <v>12</v>
      </c>
      <c r="CD4">
        <v>13.785</v>
      </c>
      <c r="CE4">
        <v>12</v>
      </c>
      <c r="CF4" s="2" t="s">
        <v>130</v>
      </c>
      <c r="CG4" t="s">
        <v>131</v>
      </c>
      <c r="CH4" s="2" t="s">
        <v>130</v>
      </c>
      <c r="CI4" t="s">
        <v>132</v>
      </c>
      <c r="CJ4" s="2" t="s">
        <v>133</v>
      </c>
      <c r="CK4" t="s">
        <v>134</v>
      </c>
      <c r="CL4" t="s">
        <v>135</v>
      </c>
      <c r="CM4" s="2" t="b">
        <v>1</v>
      </c>
      <c r="CN4" t="b">
        <v>1</v>
      </c>
      <c r="CO4" t="b">
        <v>1</v>
      </c>
      <c r="CP4" t="b">
        <v>1</v>
      </c>
      <c r="CQ4" t="b">
        <v>1</v>
      </c>
      <c r="CR4" t="b">
        <v>1</v>
      </c>
      <c r="CT4">
        <v>11.574999809265137</v>
      </c>
      <c r="CU4">
        <v>110000</v>
      </c>
      <c r="CV4">
        <v>60</v>
      </c>
      <c r="CW4" t="s">
        <v>136</v>
      </c>
      <c r="CX4">
        <v>3</v>
      </c>
      <c r="CY4">
        <v>4</v>
      </c>
      <c r="CZ4">
        <v>1</v>
      </c>
      <c r="DA4">
        <v>2</v>
      </c>
      <c r="DD4" t="b">
        <v>1</v>
      </c>
      <c r="DE4" t="b">
        <v>1</v>
      </c>
      <c r="DF4" t="b">
        <v>0</v>
      </c>
      <c r="DG4" t="b">
        <v>1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31</vt:i4>
      </vt:variant>
    </vt:vector>
  </HeadingPairs>
  <TitlesOfParts>
    <vt:vector size="34" baseType="lpstr">
      <vt:lpstr>Cleaning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glanda</cp:lastModifiedBy>
  <dcterms:created xsi:type="dcterms:W3CDTF">2019-01-29T23:32:42Z</dcterms:created>
  <dcterms:modified xsi:type="dcterms:W3CDTF">2019-08-05T23:24:27Z</dcterms:modified>
</cp:coreProperties>
</file>