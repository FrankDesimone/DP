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drawings/drawing2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drawings/drawing3.xml" ContentType="application/vnd.openxmlformats-officedocument.drawing+xml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drawings/drawing4.xml" ContentType="application/vnd.openxmlformats-officedocument.drawing+xml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drawings/drawing5.xml" ContentType="application/vnd.openxmlformats-officedocument.drawing+xml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drawings/drawing6.xml" ContentType="application/vnd.openxmlformats-officedocument.drawing+xml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drawings/drawing7.xml" ContentType="application/vnd.openxmlformats-officedocument.drawing+xml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drawings/drawing8.xml" ContentType="application/vnd.openxmlformats-officedocument.drawing+xml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drawings/drawing9.xml" ContentType="application/vnd.openxmlformats-officedocument.drawing+xml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drawings/drawing10.xml" ContentType="application/vnd.openxmlformats-officedocument.drawing+xml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drawings/drawing11.xml" ContentType="application/vnd.openxmlformats-officedocument.drawing+xml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Clients\GitHub\DP\Excel\"/>
    </mc:Choice>
  </mc:AlternateContent>
  <bookViews>
    <workbookView xWindow="0" yWindow="0" windowWidth="17880" windowHeight="14600" activeTab="10"/>
  </bookViews>
  <sheets>
    <sheet name="Menu" sheetId="8" r:id="rId1"/>
    <sheet name="Company" sheetId="2" state="hidden" r:id="rId2"/>
    <sheet name="CompanyLocation" sheetId="7" state="hidden" r:id="rId3"/>
    <sheet name="Contacts" sheetId="15" state="hidden" r:id="rId4"/>
    <sheet name="Vehicle" sheetId="10" state="hidden" r:id="rId5"/>
    <sheet name="Engine" sheetId="12" state="hidden" r:id="rId6"/>
    <sheet name="Manufacturer" sheetId="11" state="hidden" r:id="rId7"/>
    <sheet name="ECD" sheetId="14" state="hidden" r:id="rId8"/>
    <sheet name="DPF" sheetId="16" r:id="rId9"/>
    <sheet name="Quality" sheetId="18" r:id="rId10"/>
    <sheet name="QAProcess" sheetId="19" r:id="rId11"/>
  </sheets>
  <functionGroups builtInGroupCount="18"/>
  <definedNames>
    <definedName name="CleanChannels" localSheetId="9">Quality!$D$31</definedName>
    <definedName name="company" localSheetId="1">Company!$C$3:$C$9</definedName>
    <definedName name="company" localSheetId="8">DPF!$F$9:$F$18</definedName>
    <definedName name="companylocation" localSheetId="2">CompanyLocation!$B$4:$B$10</definedName>
    <definedName name="companylocation" localSheetId="8">DPF!$F$33:$F$36</definedName>
    <definedName name="contacts" localSheetId="3">Contacts!$B$4:$B$13</definedName>
    <definedName name="contacts" localSheetId="8">DPF!$F$21:$F$30</definedName>
    <definedName name="dpf" localSheetId="8">DPF!$F$5:$F$95</definedName>
    <definedName name="dpf" localSheetId="10">QAProcess!$C$5:$C$13</definedName>
    <definedName name="dpf" localSheetId="9">Quality!$C$5:$C$22</definedName>
    <definedName name="ecd" localSheetId="8">DPF!$F$57:$F$68</definedName>
    <definedName name="ecd" localSheetId="7">ECD!$B$4:$B$14</definedName>
    <definedName name="ecd" localSheetId="10">QAProcess!$C$8:$C$10</definedName>
    <definedName name="ecd" localSheetId="9">Quality!$C$10:$C$21</definedName>
    <definedName name="engine" localSheetId="8">DPF!$F$51:$F$54</definedName>
    <definedName name="engine" localSheetId="5">Engine!$B$4:$B$8</definedName>
    <definedName name="InletCells" localSheetId="9">Quality!$D$34:$E$38</definedName>
    <definedName name="manufacturer" localSheetId="6">Manufacturer!$B$3:$B$4</definedName>
    <definedName name="Mass0" localSheetId="9">Quality!$E$26</definedName>
    <definedName name="Mass1" localSheetId="9">Quality!$F$26</definedName>
    <definedName name="Mass2" localSheetId="9">Quality!$G$26</definedName>
    <definedName name="MaxHertz" localSheetId="10">QAProcess!$C$12</definedName>
    <definedName name="MaxSpaceVelocity" localSheetId="10">QAProcess!$C$11</definedName>
    <definedName name="Note" localSheetId="2">CompanyLocation!$A$1</definedName>
    <definedName name="Note" localSheetId="7">ECD!$A$1</definedName>
    <definedName name="Note" localSheetId="5">Engine!$A$1</definedName>
    <definedName name="Note" localSheetId="6">Manufacturer!$A$1</definedName>
    <definedName name="Note" localSheetId="4">Vehicle!$A$1</definedName>
    <definedName name="NoteCompany">Company!$F$3</definedName>
    <definedName name="NoteContacts">Contacts!$E$3</definedName>
    <definedName name="P0a" localSheetId="10">QAProcess!$H$34</definedName>
    <definedName name="P0AirTemp" localSheetId="10">QAProcess!$D$17</definedName>
    <definedName name="P0b" localSheetId="10">QAProcess!$H$35</definedName>
    <definedName name="P0BackPress" localSheetId="10">QAProcess!$D$19</definedName>
    <definedName name="P0BaroPress" localSheetId="10">QAProcess!$D$18</definedName>
    <definedName name="P0c">QAProcess!$H$36</definedName>
    <definedName name="P0PSI" localSheetId="10">QAProcess!$D$22:$D$32</definedName>
    <definedName name="P0SV" localSheetId="10">QAProcess!$G$22:$G$32</definedName>
    <definedName name="P11PSI" localSheetId="10">QAProcess!$D$46:$D$56</definedName>
    <definedName name="P1a" localSheetId="10">QAProcess!$H$58</definedName>
    <definedName name="P1AirTemp" localSheetId="10">QAProcess!$D$41</definedName>
    <definedName name="P1b" localSheetId="10">QAProcess!$H$59</definedName>
    <definedName name="P1BackPress" localSheetId="10">QAProcess!$D$43</definedName>
    <definedName name="P1BaroPress" localSheetId="10">QAProcess!$D$42</definedName>
    <definedName name="P1c" localSheetId="10">QAProcess!$H$60</definedName>
    <definedName name="P1SV" localSheetId="10">QAProcess!$G$46:$G$56</definedName>
    <definedName name="P2a" localSheetId="10">QAProcess!$H$83</definedName>
    <definedName name="P2AirTemp" localSheetId="10">QAProcess!$D$66</definedName>
    <definedName name="P2b" localSheetId="10">QAProcess!$H$84</definedName>
    <definedName name="P2BackPress" localSheetId="10">QAProcess!$D$68</definedName>
    <definedName name="P2BaroPress" localSheetId="10">QAProcess!$D$67</definedName>
    <definedName name="P2c" localSheetId="10">QAProcess!$H$34+QAProcess!$H$85</definedName>
    <definedName name="P2PSI">QAProcess!$D$71:$D$81</definedName>
    <definedName name="P2SV" localSheetId="10">QAProcess!$G$71:$G$81</definedName>
    <definedName name="SubDiameter" localSheetId="10">QAProcess!$C$9</definedName>
    <definedName name="SubLenth" localSheetId="10">QAProcess!$C$10</definedName>
    <definedName name="vehicle" localSheetId="8">DPF!$F$41:$F$48</definedName>
    <definedName name="vehicle" localSheetId="4">Vehicle!$B$4:$B$9</definedName>
    <definedName name="Volume" localSheetId="10">QAProcess!$H$11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14" i="19" l="1"/>
  <c r="H13" i="19"/>
  <c r="I81" i="19"/>
  <c r="I80" i="19"/>
  <c r="I79" i="19"/>
  <c r="I78" i="19"/>
  <c r="I77" i="19"/>
  <c r="I76" i="19"/>
  <c r="I75" i="19"/>
  <c r="I74" i="19"/>
  <c r="I73" i="19"/>
  <c r="I72" i="19"/>
  <c r="I71" i="19"/>
  <c r="I56" i="19"/>
  <c r="I55" i="19"/>
  <c r="I54" i="19"/>
  <c r="I53" i="19"/>
  <c r="I52" i="19"/>
  <c r="I51" i="19"/>
  <c r="I50" i="19"/>
  <c r="I49" i="19"/>
  <c r="I48" i="19"/>
  <c r="I47" i="19"/>
  <c r="I46" i="19"/>
  <c r="I32" i="19"/>
  <c r="I31" i="19"/>
  <c r="I30" i="19"/>
  <c r="I29" i="19"/>
  <c r="I28" i="19"/>
  <c r="I27" i="19"/>
  <c r="I26" i="19"/>
  <c r="I25" i="19"/>
  <c r="I24" i="19"/>
  <c r="I23" i="19"/>
  <c r="I22" i="19"/>
  <c r="D64" i="19"/>
  <c r="D39" i="19"/>
  <c r="D15" i="19"/>
  <c r="H11" i="19" l="1"/>
  <c r="H49" i="19" s="1"/>
  <c r="H72" i="19" l="1"/>
  <c r="H79" i="19"/>
  <c r="H54" i="19"/>
  <c r="H78" i="19"/>
  <c r="H55" i="19"/>
  <c r="H73" i="19"/>
  <c r="H48" i="19"/>
  <c r="H22" i="19"/>
  <c r="H32" i="19"/>
  <c r="H53" i="19"/>
  <c r="H75" i="19"/>
  <c r="H12" i="19"/>
  <c r="H31" i="19"/>
  <c r="H52" i="19"/>
  <c r="H74" i="19"/>
  <c r="H25" i="19"/>
  <c r="H51" i="19"/>
  <c r="H81" i="19"/>
  <c r="H50" i="19"/>
  <c r="H80" i="19"/>
  <c r="H47" i="19"/>
  <c r="H77" i="19"/>
  <c r="H46" i="19"/>
  <c r="H76" i="19"/>
  <c r="H24" i="19"/>
  <c r="H23" i="19"/>
  <c r="H27" i="19"/>
  <c r="H29" i="19"/>
  <c r="H30" i="19"/>
  <c r="H56" i="19"/>
  <c r="H26" i="19"/>
  <c r="H71" i="19"/>
  <c r="H28" i="19"/>
  <c r="B25" i="19" l="1"/>
  <c r="C25" i="19" s="1"/>
  <c r="E25" i="19" s="1"/>
  <c r="F25" i="19" s="1"/>
  <c r="B48" i="19"/>
  <c r="C48" i="19" s="1"/>
  <c r="E48" i="19" s="1"/>
  <c r="F48" i="19" s="1"/>
  <c r="B52" i="19"/>
  <c r="C52" i="19" s="1"/>
  <c r="E52" i="19" s="1"/>
  <c r="F52" i="19" s="1"/>
  <c r="B72" i="19"/>
  <c r="C72" i="19" s="1"/>
  <c r="E72" i="19" s="1"/>
  <c r="F72" i="19" s="1"/>
  <c r="B29" i="19"/>
  <c r="C29" i="19" s="1"/>
  <c r="E29" i="19" s="1"/>
  <c r="F29" i="19" s="1"/>
  <c r="B73" i="19"/>
  <c r="C73" i="19" s="1"/>
  <c r="E73" i="19" s="1"/>
  <c r="F73" i="19" s="1"/>
  <c r="B30" i="19"/>
  <c r="C30" i="19" s="1"/>
  <c r="E30" i="19" s="1"/>
  <c r="F30" i="19" s="1"/>
  <c r="B75" i="19"/>
  <c r="C75" i="19" s="1"/>
  <c r="E75" i="19" s="1"/>
  <c r="F75" i="19" s="1"/>
  <c r="B24" i="19"/>
  <c r="C24" i="19" s="1"/>
  <c r="E24" i="19" s="1"/>
  <c r="F24" i="19" s="1"/>
  <c r="B56" i="19"/>
  <c r="C56" i="19" s="1"/>
  <c r="E56" i="19" s="1"/>
  <c r="F56" i="19" s="1"/>
  <c r="B31" i="19"/>
  <c r="C31" i="19" s="1"/>
  <c r="E31" i="19" s="1"/>
  <c r="F31" i="19" s="1"/>
  <c r="B54" i="19"/>
  <c r="C54" i="19" s="1"/>
  <c r="E54" i="19" s="1"/>
  <c r="F54" i="19" s="1"/>
  <c r="B80" i="19"/>
  <c r="C80" i="19" s="1"/>
  <c r="E80" i="19" s="1"/>
  <c r="F80" i="19" s="1"/>
  <c r="B55" i="19"/>
  <c r="C55" i="19" s="1"/>
  <c r="E55" i="19" s="1"/>
  <c r="F55" i="19" s="1"/>
  <c r="B26" i="19"/>
  <c r="C26" i="19" s="1"/>
  <c r="E26" i="19" s="1"/>
  <c r="F26" i="19" s="1"/>
  <c r="B71" i="19"/>
  <c r="C71" i="19" s="1"/>
  <c r="E71" i="19" s="1"/>
  <c r="F71" i="19" s="1"/>
  <c r="B49" i="19"/>
  <c r="C49" i="19" s="1"/>
  <c r="E49" i="19" s="1"/>
  <c r="F49" i="19" s="1"/>
  <c r="B78" i="19"/>
  <c r="C78" i="19" s="1"/>
  <c r="E78" i="19" s="1"/>
  <c r="F78" i="19" s="1"/>
  <c r="B23" i="19"/>
  <c r="C23" i="19" s="1"/>
  <c r="E23" i="19" s="1"/>
  <c r="F23" i="19" s="1"/>
  <c r="B81" i="19"/>
  <c r="C81" i="19" s="1"/>
  <c r="E81" i="19" s="1"/>
  <c r="F81" i="19" s="1"/>
  <c r="B22" i="19"/>
  <c r="C22" i="19" s="1"/>
  <c r="E22" i="19" s="1"/>
  <c r="F22" i="19" s="1"/>
  <c r="B28" i="19"/>
  <c r="C28" i="19" s="1"/>
  <c r="E28" i="19" s="1"/>
  <c r="F28" i="19" s="1"/>
  <c r="B76" i="19"/>
  <c r="C76" i="19" s="1"/>
  <c r="E76" i="19" s="1"/>
  <c r="F76" i="19" s="1"/>
  <c r="B77" i="19"/>
  <c r="C77" i="19" s="1"/>
  <c r="E77" i="19" s="1"/>
  <c r="F77" i="19" s="1"/>
  <c r="B79" i="19"/>
  <c r="C79" i="19" s="1"/>
  <c r="E79" i="19" s="1"/>
  <c r="F79" i="19" s="1"/>
  <c r="B27" i="19"/>
  <c r="C27" i="19" s="1"/>
  <c r="E27" i="19" s="1"/>
  <c r="F27" i="19" s="1"/>
  <c r="B50" i="19"/>
  <c r="C50" i="19" s="1"/>
  <c r="E50" i="19" s="1"/>
  <c r="F50" i="19" s="1"/>
  <c r="B51" i="19"/>
  <c r="C51" i="19" s="1"/>
  <c r="E51" i="19" s="1"/>
  <c r="F51" i="19" s="1"/>
  <c r="B53" i="19"/>
  <c r="C53" i="19" s="1"/>
  <c r="E53" i="19" s="1"/>
  <c r="F53" i="19" s="1"/>
  <c r="B74" i="19"/>
  <c r="C74" i="19" s="1"/>
  <c r="E74" i="19" s="1"/>
  <c r="F74" i="19" s="1"/>
  <c r="B46" i="19"/>
  <c r="C46" i="19" s="1"/>
  <c r="E46" i="19" s="1"/>
  <c r="F46" i="19" s="1"/>
  <c r="B47" i="19"/>
  <c r="C47" i="19" s="1"/>
  <c r="E47" i="19" s="1"/>
  <c r="F47" i="19" s="1"/>
  <c r="B32" i="19"/>
  <c r="C32" i="19" s="1"/>
  <c r="E32" i="19" s="1"/>
  <c r="F32" i="19" s="1"/>
</calcChain>
</file>

<file path=xl/sharedStrings.xml><?xml version="1.0" encoding="utf-8"?>
<sst xmlns="http://schemas.openxmlformats.org/spreadsheetml/2006/main" count="307" uniqueCount="187">
  <si>
    <t>From DPF Write - up Sheet</t>
  </si>
  <si>
    <t>Sales Order No</t>
  </si>
  <si>
    <t>Date</t>
  </si>
  <si>
    <t xml:space="preserve">Customer / Company Information </t>
  </si>
  <si>
    <t>Company Name</t>
  </si>
  <si>
    <t>Company ID</t>
  </si>
  <si>
    <t>Address</t>
  </si>
  <si>
    <t>City</t>
  </si>
  <si>
    <t>State</t>
  </si>
  <si>
    <t>Zip</t>
  </si>
  <si>
    <t>Billing Contact Information</t>
  </si>
  <si>
    <t>First Name</t>
  </si>
  <si>
    <t>Last Name</t>
  </si>
  <si>
    <t>Contact: Email/Phone (if not known, option N/A)</t>
  </si>
  <si>
    <t>Company Contact Information</t>
  </si>
  <si>
    <t>Contact Name</t>
  </si>
  <si>
    <t>Contact ID</t>
  </si>
  <si>
    <t>Last Name (if not known, option N/A)</t>
  </si>
  <si>
    <t xml:space="preserve"> </t>
  </si>
  <si>
    <t>Job Site Information</t>
  </si>
  <si>
    <t>Site Address (with pop up list / auto populate)</t>
  </si>
  <si>
    <t>Vehicle / Equipment Information</t>
  </si>
  <si>
    <t>Vehicle Owner (if different Company than Customer)</t>
  </si>
  <si>
    <t>For On-Road: VIN (17 digits)</t>
  </si>
  <si>
    <t>For Off-Road: Equipment S/N</t>
  </si>
  <si>
    <t>Vehicle ID</t>
  </si>
  <si>
    <t>Owner Unit#/Bus#/Truck#/Asset#</t>
  </si>
  <si>
    <t>Make</t>
  </si>
  <si>
    <t>Model</t>
  </si>
  <si>
    <t>Year</t>
  </si>
  <si>
    <t>Engine Information</t>
  </si>
  <si>
    <t xml:space="preserve">Engine Serial Number </t>
  </si>
  <si>
    <t>Engine Make</t>
  </si>
  <si>
    <t>Engine Model</t>
  </si>
  <si>
    <t>Engine Year</t>
  </si>
  <si>
    <t>DPF Information</t>
  </si>
  <si>
    <t>DPF ID</t>
  </si>
  <si>
    <t>Type of ECD (DOC, DPF, SCR)</t>
  </si>
  <si>
    <t>Serial Number (if not readable, option N/A)</t>
  </si>
  <si>
    <t>Part Number (if not readable, option N/A)</t>
  </si>
  <si>
    <t>Other Number</t>
  </si>
  <si>
    <t>Other Information</t>
  </si>
  <si>
    <t>Manufacturer</t>
  </si>
  <si>
    <t>Type of Substrate (Cordierite of SiC)</t>
  </si>
  <si>
    <t>Outer Diameter(inch)</t>
  </si>
  <si>
    <t>Substrate Diameter(inch)</t>
  </si>
  <si>
    <t>Outer Length(inch)</t>
  </si>
  <si>
    <t>Substrate Length(inch)</t>
  </si>
  <si>
    <t>Job Information</t>
  </si>
  <si>
    <t>Old Job ID</t>
  </si>
  <si>
    <t>Hunsicker Emissions Clean Location</t>
  </si>
  <si>
    <t>Purchase Order Number (if not known, option N/A)</t>
  </si>
  <si>
    <t>Work Order Number</t>
  </si>
  <si>
    <t>Vehicle Total Mileage (if not known, option N/A)</t>
  </si>
  <si>
    <t>Vehicle Total Hours (if not known, option N/A)</t>
  </si>
  <si>
    <t>Type of Driving</t>
  </si>
  <si>
    <t>Over the Road/Highway</t>
  </si>
  <si>
    <t>Start and Stop</t>
  </si>
  <si>
    <t>High Idle</t>
  </si>
  <si>
    <t>Other</t>
  </si>
  <si>
    <t>Reasons for Cleaning</t>
  </si>
  <si>
    <t>Preventive Maint./Ash Cleaning Interval</t>
  </si>
  <si>
    <t>High Soot Load / CEL Warning</t>
  </si>
  <si>
    <t>Engine Failure/Fluids in Exhaust Stream</t>
  </si>
  <si>
    <t>Other (please describe)</t>
  </si>
  <si>
    <t>DPF Cleaning History (if elsewhere)</t>
  </si>
  <si>
    <t>First Cleaning</t>
  </si>
  <si>
    <t>Cleaned Prior</t>
  </si>
  <si>
    <t>Active</t>
  </si>
  <si>
    <t>Address2</t>
  </si>
  <si>
    <t>Location</t>
  </si>
  <si>
    <t>Location Name</t>
  </si>
  <si>
    <t>Location ID</t>
  </si>
  <si>
    <t>Vehicle</t>
  </si>
  <si>
    <t>Serial #</t>
  </si>
  <si>
    <t>Asset #</t>
  </si>
  <si>
    <t xml:space="preserve">Manufacturer </t>
  </si>
  <si>
    <t>Manufacturer ID</t>
  </si>
  <si>
    <t>Company</t>
  </si>
  <si>
    <t>Engine</t>
  </si>
  <si>
    <t>Engine ID</t>
  </si>
  <si>
    <t>ECD</t>
  </si>
  <si>
    <t>ECD ID</t>
  </si>
  <si>
    <t xml:space="preserve">Type of ECD </t>
  </si>
  <si>
    <t xml:space="preserve">Serial Number </t>
  </si>
  <si>
    <t xml:space="preserve">Part Number </t>
  </si>
  <si>
    <t xml:space="preserve">Type of Substrate </t>
  </si>
  <si>
    <t>Email</t>
  </si>
  <si>
    <t>Phone</t>
  </si>
  <si>
    <t>Contacts</t>
  </si>
  <si>
    <t>Contacts ID</t>
  </si>
  <si>
    <t>Company:</t>
  </si>
  <si>
    <t>Company ID:</t>
  </si>
  <si>
    <t>Company Name:</t>
  </si>
  <si>
    <t>Address:</t>
  </si>
  <si>
    <t>Address2:</t>
  </si>
  <si>
    <t>City:</t>
  </si>
  <si>
    <t>State:</t>
  </si>
  <si>
    <t>Zip:</t>
  </si>
  <si>
    <t>Active:</t>
  </si>
  <si>
    <t>Contact:</t>
  </si>
  <si>
    <t>Quigley Bus Company</t>
  </si>
  <si>
    <t>P.O Box 219</t>
  </si>
  <si>
    <t>Bally</t>
  </si>
  <si>
    <t>19503</t>
  </si>
  <si>
    <t>WorkOrder</t>
  </si>
  <si>
    <t>As</t>
  </si>
  <si>
    <t>Post</t>
  </si>
  <si>
    <t>Received</t>
  </si>
  <si>
    <t>Process 1</t>
  </si>
  <si>
    <t>Process 2</t>
  </si>
  <si>
    <t>ECD Mass</t>
  </si>
  <si>
    <t>lbs</t>
  </si>
  <si>
    <t>Ultrasound Signal Received</t>
  </si>
  <si>
    <t>ECD Pin Drop Depth</t>
  </si>
  <si>
    <t>Clean Channels</t>
  </si>
  <si>
    <t>Inlet cells</t>
  </si>
  <si>
    <t>As Received</t>
  </si>
  <si>
    <t>Post Process</t>
  </si>
  <si>
    <t>12 o'clock</t>
  </si>
  <si>
    <t>3 o'clock</t>
  </si>
  <si>
    <t>6 o'clock</t>
  </si>
  <si>
    <t>9 o'clock</t>
  </si>
  <si>
    <t>center</t>
  </si>
  <si>
    <t>Substrate Description</t>
  </si>
  <si>
    <t xml:space="preserve"> As Received</t>
  </si>
  <si>
    <t>Inlet Face</t>
  </si>
  <si>
    <t>Soot On Face</t>
  </si>
  <si>
    <t>Ash on Face</t>
  </si>
  <si>
    <t>Color</t>
  </si>
  <si>
    <t>Outlet Face</t>
  </si>
  <si>
    <t>Substrate Structural Conditions</t>
  </si>
  <si>
    <t>Breach</t>
  </si>
  <si>
    <t xml:space="preserve">Substrate </t>
  </si>
  <si>
    <t>Evidence of Contaminants</t>
  </si>
  <si>
    <t>Red color ash</t>
  </si>
  <si>
    <t>Quality Control</t>
  </si>
  <si>
    <t>Indication of Coolant</t>
  </si>
  <si>
    <t>Staining/Color</t>
  </si>
  <si>
    <t>Chris</t>
  </si>
  <si>
    <t>N/A</t>
  </si>
  <si>
    <t>3123 Bethlehem Pike</t>
  </si>
  <si>
    <t>Hatfield</t>
  </si>
  <si>
    <t>19440</t>
  </si>
  <si>
    <t>Info@Opdykes.com</t>
  </si>
  <si>
    <t>2157214444</t>
  </si>
  <si>
    <t>Record saved</t>
  </si>
  <si>
    <t>60 Schoolhouse &amp; Rd.</t>
  </si>
  <si>
    <t>Souderton</t>
  </si>
  <si>
    <t>18964</t>
  </si>
  <si>
    <t>Vin123456</t>
  </si>
  <si>
    <t>serial123456</t>
  </si>
  <si>
    <t>asset123456</t>
  </si>
  <si>
    <t>model1234565</t>
  </si>
  <si>
    <t>Select Valid Manufacturer</t>
  </si>
  <si>
    <t>Serial123</t>
  </si>
  <si>
    <t>Modl123</t>
  </si>
  <si>
    <t>Process Description:</t>
  </si>
  <si>
    <t>Measured Air Temperature</t>
  </si>
  <si>
    <t>oF</t>
  </si>
  <si>
    <t>Measured Barometric Pressure</t>
  </si>
  <si>
    <t>psi</t>
  </si>
  <si>
    <t>Measured Back Pressure</t>
  </si>
  <si>
    <t>Blower Settings</t>
  </si>
  <si>
    <t>Theoretical</t>
  </si>
  <si>
    <t>Measured</t>
  </si>
  <si>
    <t>Corrected</t>
  </si>
  <si>
    <t>Modeled Data</t>
  </si>
  <si>
    <t>HZ</t>
  </si>
  <si>
    <t>ACFM</t>
  </si>
  <si>
    <t>PSI</t>
  </si>
  <si>
    <t>Space Vel. 1/hr</t>
  </si>
  <si>
    <t>Space Velocity</t>
  </si>
  <si>
    <t>BP - Psi</t>
  </si>
  <si>
    <t>ft3</t>
  </si>
  <si>
    <t>Coefficients:</t>
  </si>
  <si>
    <t>a</t>
  </si>
  <si>
    <t>b</t>
  </si>
  <si>
    <t>c</t>
  </si>
  <si>
    <t>Volume</t>
  </si>
  <si>
    <t>Target Max Space Velocity</t>
  </si>
  <si>
    <t>1 /hour</t>
  </si>
  <si>
    <t>Hertz at Target Max Space Velocity</t>
  </si>
  <si>
    <t>Hertz</t>
  </si>
  <si>
    <t>Max Hertz Allowed</t>
  </si>
  <si>
    <t>Max Hertz Set Point</t>
  </si>
  <si>
    <t>Liter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</si>
</sst>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mm/dd/yy;@"/>
    <numFmt numFmtId="165" formatCode="0.000"/>
    <numFmt numFmtId="166" formatCode="0.0"/>
    <numFmt numFmtId="167" formatCode="#,##0.000"/>
  </numFmts>
  <fonts count="14" x14ac:knownFonts="1">
    <font>
      <sz val="11"/>
      <color theme="1"/>
      <name val="Calibri"/>
      <family val="2"/>
      <scheme val="minor"/>
    </font>
    <font>
      <i/>
      <sz val="14"/>
      <color theme="1"/>
      <name val="Times New Roman"/>
      <family val="1"/>
    </font>
    <font>
      <b/>
      <sz val="11"/>
      <color theme="1"/>
      <name val="Times New Roman"/>
      <family val="1"/>
    </font>
    <font>
      <sz val="11"/>
      <color theme="1"/>
      <name val="Times New Roman"/>
      <family val="1"/>
    </font>
    <font>
      <sz val="11"/>
      <color rgb="FFFF0000"/>
      <name val="Times New Roman"/>
      <family val="1"/>
    </font>
    <font>
      <sz val="11"/>
      <color theme="1"/>
      <name val="Calibri"/>
      <family val="2"/>
    </font>
    <font>
      <sz val="11"/>
      <color rgb="FFC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4"/>
      <color theme="5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</font>
    <font>
      <i/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14996795556505021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7" tint="0.59996337778862885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tted">
        <color auto="1"/>
      </left>
      <right/>
      <top/>
      <bottom/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84">
    <xf numFmtId="0" fontId="0" fillId="0" borderId="0" xfId="0"/>
    <xf numFmtId="0" fontId="1" fillId="0" borderId="0" xfId="0" applyFont="1" applyFill="1" applyAlignment="1">
      <alignment horizontal="center"/>
    </xf>
    <xf numFmtId="0" fontId="0" fillId="0" borderId="0" xfId="0" applyFill="1"/>
    <xf numFmtId="0" fontId="0" fillId="0" borderId="0" xfId="0" applyFont="1" applyFill="1" applyAlignment="1">
      <alignment horizontal="center"/>
    </xf>
    <xf numFmtId="14" fontId="0" fillId="0" borderId="0" xfId="0" applyNumberFormat="1" applyFont="1" applyFill="1" applyAlignment="1">
      <alignment horizontal="center"/>
    </xf>
    <xf numFmtId="0" fontId="2" fillId="0" borderId="0" xfId="0" applyFont="1" applyAlignment="1">
      <alignment horizontal="center" vertical="center"/>
    </xf>
    <xf numFmtId="2" fontId="0" fillId="0" borderId="0" xfId="0" applyNumberFormat="1" applyFill="1" applyAlignment="1">
      <alignment horizontal="left"/>
    </xf>
    <xf numFmtId="0" fontId="3" fillId="0" borderId="0" xfId="0" applyFont="1" applyAlignment="1">
      <alignment horizontal="right" vertical="center" indent="2"/>
    </xf>
    <xf numFmtId="0" fontId="0" fillId="0" borderId="0" xfId="0" applyFill="1" applyAlignment="1">
      <alignment horizontal="center"/>
    </xf>
    <xf numFmtId="0" fontId="4" fillId="0" borderId="0" xfId="0" applyFont="1" applyAlignment="1">
      <alignment horizontal="right" vertical="center" indent="2"/>
    </xf>
    <xf numFmtId="14" fontId="0" fillId="0" borderId="0" xfId="0" applyNumberFormat="1" applyFill="1" applyBorder="1" applyAlignment="1">
      <alignment horizontal="center" vertical="center"/>
    </xf>
    <xf numFmtId="0" fontId="0" fillId="0" borderId="0" xfId="0" applyFill="1" applyAlignment="1">
      <alignment horizontal="center" vertical="center"/>
    </xf>
    <xf numFmtId="3" fontId="0" fillId="0" borderId="0" xfId="0" applyNumberFormat="1" applyFill="1" applyAlignment="1">
      <alignment horizontal="center"/>
    </xf>
    <xf numFmtId="164" fontId="0" fillId="0" borderId="0" xfId="0" applyNumberFormat="1" applyFill="1" applyBorder="1" applyAlignment="1">
      <alignment horizontal="center"/>
    </xf>
    <xf numFmtId="0" fontId="5" fillId="0" borderId="0" xfId="0" applyFont="1" applyFill="1" applyAlignment="1">
      <alignment horizontal="center"/>
    </xf>
    <xf numFmtId="0" fontId="3" fillId="0" borderId="0" xfId="0" applyFont="1" applyAlignment="1">
      <alignment vertical="center"/>
    </xf>
    <xf numFmtId="0" fontId="3" fillId="0" borderId="0" xfId="0" applyFont="1" applyFill="1" applyAlignment="1">
      <alignment horizontal="right" vertical="center" indent="2"/>
    </xf>
    <xf numFmtId="0" fontId="0" fillId="0" borderId="0" xfId="0" applyAlignment="1">
      <alignment horizontal="left" vertical="center" indent="2"/>
    </xf>
    <xf numFmtId="0" fontId="0" fillId="0" borderId="0" xfId="0" applyAlignment="1">
      <alignment horizontal="left" indent="2"/>
    </xf>
    <xf numFmtId="0" fontId="0" fillId="0" borderId="0" xfId="0" applyAlignment="1">
      <alignment horizontal="right"/>
    </xf>
    <xf numFmtId="0" fontId="3" fillId="0" borderId="1" xfId="0" applyFont="1" applyBorder="1" applyAlignment="1">
      <alignment horizontal="right" vertical="center" indent="2"/>
    </xf>
    <xf numFmtId="2" fontId="0" fillId="3" borderId="1" xfId="0" applyNumberFormat="1" applyFill="1" applyBorder="1" applyAlignment="1" applyProtection="1">
      <alignment horizontal="left" vertical="center" indent="2"/>
      <protection locked="0"/>
    </xf>
    <xf numFmtId="0" fontId="4" fillId="0" borderId="1" xfId="0" applyFont="1" applyBorder="1" applyAlignment="1">
      <alignment horizontal="right" vertical="center" indent="2"/>
    </xf>
    <xf numFmtId="0" fontId="6" fillId="2" borderId="1" xfId="0" applyFont="1" applyFill="1" applyBorder="1" applyAlignment="1" applyProtection="1">
      <alignment horizontal="left" vertical="center" indent="2"/>
      <protection locked="0"/>
    </xf>
    <xf numFmtId="0" fontId="0" fillId="3" borderId="1" xfId="0" applyFill="1" applyBorder="1" applyAlignment="1" applyProtection="1">
      <alignment horizontal="left" vertical="center" indent="2"/>
      <protection locked="0"/>
    </xf>
    <xf numFmtId="0" fontId="0" fillId="0" borderId="0" xfId="0" applyProtection="1"/>
    <xf numFmtId="0" fontId="6" fillId="3" borderId="1" xfId="0" applyFont="1" applyFill="1" applyBorder="1" applyAlignment="1" applyProtection="1">
      <alignment horizontal="left" vertical="center" indent="2"/>
      <protection locked="0"/>
    </xf>
    <xf numFmtId="0" fontId="0" fillId="3" borderId="1" xfId="0" applyFill="1" applyBorder="1" applyAlignment="1" applyProtection="1">
      <alignment horizontal="left" indent="2"/>
      <protection locked="0"/>
    </xf>
    <xf numFmtId="0" fontId="0" fillId="3" borderId="1" xfId="0" applyNumberFormat="1" applyFill="1" applyBorder="1" applyAlignment="1" applyProtection="1">
      <alignment horizontal="left" vertical="center" indent="2"/>
      <protection locked="0"/>
    </xf>
    <xf numFmtId="0" fontId="7" fillId="3" borderId="1" xfId="1" applyFill="1" applyBorder="1" applyAlignment="1" applyProtection="1">
      <alignment horizontal="left" vertical="center" indent="2"/>
      <protection locked="0"/>
    </xf>
    <xf numFmtId="0" fontId="8" fillId="0" borderId="0" xfId="0" applyFont="1" applyAlignment="1">
      <alignment horizontal="center" vertical="center"/>
    </xf>
    <xf numFmtId="0" fontId="9" fillId="0" borderId="0" xfId="0" applyFont="1" applyAlignment="1">
      <alignment horizontal="centerContinuous" vertical="center"/>
    </xf>
    <xf numFmtId="0" fontId="10" fillId="0" borderId="0" xfId="0" applyFont="1" applyAlignment="1" applyProtection="1">
      <alignment horizontal="left" vertical="center"/>
      <protection locked="0"/>
    </xf>
    <xf numFmtId="0" fontId="0" fillId="0" borderId="0" xfId="0" applyFill="1" applyBorder="1"/>
    <xf numFmtId="0" fontId="0" fillId="0" borderId="0" xfId="0" applyFill="1" applyBorder="1" applyAlignment="1">
      <alignment horizontal="center"/>
    </xf>
    <xf numFmtId="0" fontId="0" fillId="0" borderId="0" xfId="0" applyFill="1" applyBorder="1" applyAlignment="1">
      <alignment horizontal="center" wrapText="1"/>
    </xf>
    <xf numFmtId="0" fontId="0" fillId="0" borderId="0" xfId="0" applyFill="1" applyBorder="1" applyAlignment="1">
      <alignment horizontal="left"/>
    </xf>
    <xf numFmtId="0" fontId="0" fillId="0" borderId="0" xfId="0" applyAlignment="1">
      <alignment horizontal="center"/>
    </xf>
    <xf numFmtId="0" fontId="0" fillId="0" borderId="0" xfId="0" applyFill="1" applyAlignment="1">
      <alignment horizontal="center" wrapText="1"/>
    </xf>
    <xf numFmtId="2" fontId="0" fillId="4" borderId="0" xfId="0" applyNumberFormat="1" applyFont="1" applyFill="1" applyBorder="1" applyAlignment="1">
      <alignment horizontal="right" vertical="center" indent="1"/>
    </xf>
    <xf numFmtId="2" fontId="0" fillId="4" borderId="0" xfId="0" applyNumberFormat="1" applyFill="1" applyBorder="1" applyAlignment="1">
      <alignment horizontal="right" vertical="center" indent="1"/>
    </xf>
    <xf numFmtId="0" fontId="0" fillId="4" borderId="0" xfId="0" applyFill="1"/>
    <xf numFmtId="2" fontId="0" fillId="0" borderId="0" xfId="0" applyNumberFormat="1" applyFill="1" applyBorder="1" applyAlignment="1">
      <alignment horizontal="right" vertical="center" indent="1"/>
    </xf>
    <xf numFmtId="0" fontId="0" fillId="0" borderId="0" xfId="0" applyFill="1" applyBorder="1" applyAlignment="1">
      <alignment horizontal="right" vertical="center" indent="1"/>
    </xf>
    <xf numFmtId="2" fontId="0" fillId="0" borderId="0" xfId="0" applyNumberFormat="1" applyFill="1" applyAlignment="1">
      <alignment horizontal="center"/>
    </xf>
    <xf numFmtId="2" fontId="0" fillId="0" borderId="0" xfId="0" applyNumberFormat="1" applyFill="1" applyAlignment="1">
      <alignment horizontal="right" vertical="center" indent="1"/>
    </xf>
    <xf numFmtId="165" fontId="0" fillId="0" borderId="0" xfId="0" applyNumberFormat="1" applyFill="1" applyAlignment="1">
      <alignment horizontal="right" vertical="center" indent="1"/>
    </xf>
    <xf numFmtId="0" fontId="0" fillId="0" borderId="0" xfId="0" applyFill="1" applyAlignment="1">
      <alignment horizontal="left"/>
    </xf>
    <xf numFmtId="165" fontId="0" fillId="4" borderId="0" xfId="0" applyNumberFormat="1" applyFill="1" applyAlignment="1">
      <alignment horizontal="center"/>
    </xf>
    <xf numFmtId="2" fontId="0" fillId="0" borderId="0" xfId="0" applyNumberFormat="1" applyFill="1" applyBorder="1" applyAlignment="1">
      <alignment horizontal="center"/>
    </xf>
    <xf numFmtId="0" fontId="0" fillId="0" borderId="0" xfId="0" applyFill="1" applyAlignment="1">
      <alignment horizontal="right"/>
    </xf>
    <xf numFmtId="2" fontId="0" fillId="0" borderId="0" xfId="0" applyNumberFormat="1" applyFill="1" applyAlignment="1"/>
    <xf numFmtId="2" fontId="0" fillId="0" borderId="0" xfId="0" applyNumberFormat="1" applyFill="1" applyAlignment="1">
      <alignment horizontal="left" indent="1"/>
    </xf>
    <xf numFmtId="0" fontId="12" fillId="0" borderId="0" xfId="0" applyFont="1" applyFill="1" applyAlignment="1">
      <alignment horizontal="left"/>
    </xf>
    <xf numFmtId="0" fontId="5" fillId="0" borderId="0" xfId="0" applyFont="1"/>
    <xf numFmtId="0" fontId="2" fillId="0" borderId="0" xfId="0" applyFont="1" applyFill="1" applyBorder="1" applyAlignment="1">
      <alignment horizontal="left"/>
    </xf>
    <xf numFmtId="0" fontId="5" fillId="0" borderId="0" xfId="0" applyFont="1" applyAlignment="1">
      <alignment horizontal="left"/>
    </xf>
    <xf numFmtId="0" fontId="0" fillId="0" borderId="0" xfId="0" applyBorder="1"/>
    <xf numFmtId="0" fontId="13" fillId="0" borderId="0" xfId="0" applyFont="1" applyFill="1" applyAlignment="1">
      <alignment horizontal="left"/>
    </xf>
    <xf numFmtId="0" fontId="11" fillId="0" borderId="0" xfId="0" applyFont="1" applyFill="1" applyAlignment="1">
      <alignment horizontal="left"/>
    </xf>
    <xf numFmtId="0" fontId="11" fillId="0" borderId="0" xfId="0" applyFont="1" applyFill="1" applyAlignment="1">
      <alignment horizontal="center"/>
    </xf>
    <xf numFmtId="0" fontId="11" fillId="0" borderId="0" xfId="0" applyFont="1" applyAlignment="1">
      <alignment horizontal="center"/>
    </xf>
    <xf numFmtId="0" fontId="11" fillId="0" borderId="2" xfId="0" applyFont="1" applyBorder="1" applyAlignment="1">
      <alignment horizontal="center"/>
    </xf>
    <xf numFmtId="0" fontId="11" fillId="0" borderId="0" xfId="0" applyFont="1" applyAlignment="1">
      <alignment horizontal="center" vertical="center"/>
    </xf>
    <xf numFmtId="166" fontId="0" fillId="2" borderId="0" xfId="0" applyNumberFormat="1" applyFill="1" applyAlignment="1">
      <alignment horizontal="center"/>
    </xf>
    <xf numFmtId="1" fontId="0" fillId="2" borderId="0" xfId="0" applyNumberFormat="1" applyFill="1" applyAlignment="1">
      <alignment horizontal="center"/>
    </xf>
    <xf numFmtId="1" fontId="0" fillId="2" borderId="0" xfId="0" applyNumberFormat="1" applyFill="1"/>
    <xf numFmtId="1" fontId="0" fillId="5" borderId="0" xfId="0" applyNumberFormat="1" applyFill="1"/>
    <xf numFmtId="165" fontId="0" fillId="5" borderId="0" xfId="0" applyNumberFormat="1" applyFill="1"/>
    <xf numFmtId="0" fontId="0" fillId="0" borderId="0" xfId="0" applyAlignment="1">
      <alignment horizontal="left"/>
    </xf>
    <xf numFmtId="165" fontId="0" fillId="0" borderId="0" xfId="0" applyNumberFormat="1"/>
    <xf numFmtId="0" fontId="11" fillId="0" borderId="0" xfId="0" applyFont="1" applyFill="1" applyAlignment="1">
      <alignment horizontal="center" vertical="center"/>
    </xf>
    <xf numFmtId="3" fontId="0" fillId="0" borderId="0" xfId="0" applyNumberFormat="1" applyFill="1"/>
    <xf numFmtId="3" fontId="0" fillId="0" borderId="0" xfId="0" applyNumberFormat="1" applyAlignment="1">
      <alignment horizontal="center"/>
    </xf>
    <xf numFmtId="11" fontId="0" fillId="4" borderId="0" xfId="0" applyNumberFormat="1" applyFill="1"/>
    <xf numFmtId="0" fontId="11" fillId="0" borderId="0" xfId="0" applyFont="1"/>
    <xf numFmtId="3" fontId="0" fillId="0" borderId="0" xfId="0" applyNumberFormat="1"/>
    <xf numFmtId="11" fontId="0" fillId="0" borderId="0" xfId="0" applyNumberFormat="1" applyFill="1"/>
    <xf numFmtId="0" fontId="0" fillId="0" borderId="0" xfId="0" applyFont="1" applyAlignment="1">
      <alignment horizontal="left"/>
    </xf>
    <xf numFmtId="164" fontId="0" fillId="0" borderId="0" xfId="0" applyNumberFormat="1" applyAlignment="1">
      <alignment horizontal="left"/>
    </xf>
    <xf numFmtId="167" fontId="0" fillId="0" borderId="0" xfId="0" applyNumberFormat="1"/>
    <xf numFmtId="166" fontId="0" fillId="2" borderId="0" xfId="0" applyNumberFormat="1" applyFill="1"/>
    <xf numFmtId="166" fontId="0" fillId="2" borderId="0" xfId="0" applyNumberFormat="1" applyFill="1" applyAlignment="1">
      <alignment horizontal="right"/>
    </xf>
    <xf numFmtId="0" fontId="11" fillId="0" borderId="0" xfId="0" applyFont="1" applyAlignment="1">
      <alignment horizontal="left" vertic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image" Target="../media/image8.emf"/><Relationship Id="rId7" Type="http://schemas.openxmlformats.org/officeDocument/2006/relationships/image" Target="../media/image4.emf"/><Relationship Id="rId2" Type="http://schemas.openxmlformats.org/officeDocument/2006/relationships/image" Target="../media/image7.emf"/><Relationship Id="rId1" Type="http://schemas.openxmlformats.org/officeDocument/2006/relationships/image" Target="../media/image6.emf"/><Relationship Id="rId6" Type="http://schemas.openxmlformats.org/officeDocument/2006/relationships/image" Target="../media/image5.emf"/><Relationship Id="rId5" Type="http://schemas.openxmlformats.org/officeDocument/2006/relationships/image" Target="../media/image10.emf"/><Relationship Id="rId10" Type="http://schemas.openxmlformats.org/officeDocument/2006/relationships/image" Target="../media/image1.emf"/><Relationship Id="rId4" Type="http://schemas.openxmlformats.org/officeDocument/2006/relationships/image" Target="../media/image9.emf"/><Relationship Id="rId9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12.emf"/><Relationship Id="rId2" Type="http://schemas.openxmlformats.org/officeDocument/2006/relationships/image" Target="../media/image13.emf"/><Relationship Id="rId1" Type="http://schemas.openxmlformats.org/officeDocument/2006/relationships/image" Target="../media/image14.emf"/><Relationship Id="rId5" Type="http://schemas.openxmlformats.org/officeDocument/2006/relationships/image" Target="../media/image15.emf"/><Relationship Id="rId4" Type="http://schemas.openxmlformats.org/officeDocument/2006/relationships/image" Target="../media/image11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7.emf"/><Relationship Id="rId2" Type="http://schemas.openxmlformats.org/officeDocument/2006/relationships/image" Target="../media/image18.emf"/><Relationship Id="rId1" Type="http://schemas.openxmlformats.org/officeDocument/2006/relationships/image" Target="../media/image19.emf"/><Relationship Id="rId4" Type="http://schemas.openxmlformats.org/officeDocument/2006/relationships/image" Target="../media/image16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22.emf"/><Relationship Id="rId2" Type="http://schemas.openxmlformats.org/officeDocument/2006/relationships/image" Target="../media/image21.emf"/><Relationship Id="rId1" Type="http://schemas.openxmlformats.org/officeDocument/2006/relationships/image" Target="../media/image20.emf"/><Relationship Id="rId5" Type="http://schemas.openxmlformats.org/officeDocument/2006/relationships/image" Target="../media/image13.emf"/><Relationship Id="rId4" Type="http://schemas.openxmlformats.org/officeDocument/2006/relationships/image" Target="../media/image23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25.emf"/><Relationship Id="rId2" Type="http://schemas.openxmlformats.org/officeDocument/2006/relationships/image" Target="../media/image26.emf"/><Relationship Id="rId1" Type="http://schemas.openxmlformats.org/officeDocument/2006/relationships/image" Target="../media/image27.emf"/><Relationship Id="rId4" Type="http://schemas.openxmlformats.org/officeDocument/2006/relationships/image" Target="../media/image24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30.emf"/><Relationship Id="rId2" Type="http://schemas.openxmlformats.org/officeDocument/2006/relationships/image" Target="../media/image29.emf"/><Relationship Id="rId1" Type="http://schemas.openxmlformats.org/officeDocument/2006/relationships/image" Target="../media/image28.emf"/><Relationship Id="rId4" Type="http://schemas.openxmlformats.org/officeDocument/2006/relationships/image" Target="../media/image31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33.emf"/><Relationship Id="rId1" Type="http://schemas.openxmlformats.org/officeDocument/2006/relationships/image" Target="../media/image32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36.emf"/><Relationship Id="rId2" Type="http://schemas.openxmlformats.org/officeDocument/2006/relationships/image" Target="../media/image35.emf"/><Relationship Id="rId1" Type="http://schemas.openxmlformats.org/officeDocument/2006/relationships/image" Target="../media/image34.emf"/><Relationship Id="rId6" Type="http://schemas.openxmlformats.org/officeDocument/2006/relationships/image" Target="../media/image39.emf"/><Relationship Id="rId5" Type="http://schemas.openxmlformats.org/officeDocument/2006/relationships/image" Target="../media/image38.emf"/><Relationship Id="rId4" Type="http://schemas.openxmlformats.org/officeDocument/2006/relationships/image" Target="../media/image37.emf"/></Relationships>
</file>

<file path=xl/drawings/_rels/vmlDrawing9.vml.rels><?xml version="1.0" encoding="UTF-8" standalone="yes"?>
<Relationships xmlns="http://schemas.openxmlformats.org/package/2006/relationships"><Relationship Id="rId8" Type="http://schemas.openxmlformats.org/officeDocument/2006/relationships/image" Target="../media/image47.emf"/><Relationship Id="rId3" Type="http://schemas.openxmlformats.org/officeDocument/2006/relationships/image" Target="../media/image42.emf"/><Relationship Id="rId7" Type="http://schemas.openxmlformats.org/officeDocument/2006/relationships/image" Target="../media/image46.emf"/><Relationship Id="rId2" Type="http://schemas.openxmlformats.org/officeDocument/2006/relationships/image" Target="../media/image41.emf"/><Relationship Id="rId1" Type="http://schemas.openxmlformats.org/officeDocument/2006/relationships/image" Target="../media/image40.emf"/><Relationship Id="rId6" Type="http://schemas.openxmlformats.org/officeDocument/2006/relationships/image" Target="../media/image45.emf"/><Relationship Id="rId11" Type="http://schemas.openxmlformats.org/officeDocument/2006/relationships/image" Target="../media/image50.emf"/><Relationship Id="rId5" Type="http://schemas.openxmlformats.org/officeDocument/2006/relationships/image" Target="../media/image44.emf"/><Relationship Id="rId10" Type="http://schemas.openxmlformats.org/officeDocument/2006/relationships/image" Target="../media/image49.emf"/><Relationship Id="rId4" Type="http://schemas.openxmlformats.org/officeDocument/2006/relationships/image" Target="../media/image43.emf"/><Relationship Id="rId9" Type="http://schemas.openxmlformats.org/officeDocument/2006/relationships/image" Target="../media/image48.emf"/></Relationships>
</file>

<file path=xl/drawings/_rels/vmlDrawing10.vml.rels><?xml version="1.0" encoding="UTF-8" standalone="yes"?>
<Relationships xmlns="http://schemas.openxmlformats.org/package/2006/relationships"><Relationship Id="rId8" Type="http://schemas.openxmlformats.org/officeDocument/2006/relationships/image" Target="../media/image53.emf"/><Relationship Id="rId3" Type="http://schemas.openxmlformats.org/officeDocument/2006/relationships/image" Target="../media/image58.emf"/><Relationship Id="rId7" Type="http://schemas.openxmlformats.org/officeDocument/2006/relationships/image" Target="../media/image54.emf"/><Relationship Id="rId2" Type="http://schemas.openxmlformats.org/officeDocument/2006/relationships/image" Target="../media/image60.emf"/><Relationship Id="rId1" Type="http://schemas.openxmlformats.org/officeDocument/2006/relationships/image" Target="../media/image59.emf"/><Relationship Id="rId6" Type="http://schemas.openxmlformats.org/officeDocument/2006/relationships/image" Target="../media/image55.emf"/><Relationship Id="rId5" Type="http://schemas.openxmlformats.org/officeDocument/2006/relationships/image" Target="../media/image56.emf"/><Relationship Id="rId10" Type="http://schemas.openxmlformats.org/officeDocument/2006/relationships/image" Target="../media/image51.emf"/><Relationship Id="rId4" Type="http://schemas.openxmlformats.org/officeDocument/2006/relationships/image" Target="../media/image57.emf"/><Relationship Id="rId9" Type="http://schemas.openxmlformats.org/officeDocument/2006/relationships/image" Target="../media/image52.emf"/></Relationships>
</file>

<file path=xl/drawings/_rels/vmlDrawing1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1.emf"/><Relationship Id="rId2" Type="http://schemas.openxmlformats.org/officeDocument/2006/relationships/image" Target="../media/image62.emf"/><Relationship Id="rId1" Type="http://schemas.openxmlformats.org/officeDocument/2006/relationships/image" Target="../media/image6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5</xdr:row>
          <xdr:rowOff>12700</xdr:rowOff>
        </xdr:from>
        <xdr:to>
          <xdr:col>2</xdr:col>
          <xdr:colOff>457200</xdr:colOff>
          <xdr:row>6</xdr:row>
          <xdr:rowOff>146050</xdr:rowOff>
        </xdr:to>
        <xdr:sp macro="" textlink="">
          <xdr:nvSpPr>
            <xdr:cNvPr id="7169" name="cmdCompany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xmlns="" id="{00000000-0008-0000-00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8</xdr:row>
          <xdr:rowOff>38100</xdr:rowOff>
        </xdr:from>
        <xdr:to>
          <xdr:col>3</xdr:col>
          <xdr:colOff>107950</xdr:colOff>
          <xdr:row>10</xdr:row>
          <xdr:rowOff>50800</xdr:rowOff>
        </xdr:to>
        <xdr:sp macro="" textlink="">
          <xdr:nvSpPr>
            <xdr:cNvPr id="7170" name="cmdLocation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xmlns="" id="{00000000-0008-0000-00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11</xdr:row>
          <xdr:rowOff>69850</xdr:rowOff>
        </xdr:from>
        <xdr:to>
          <xdr:col>3</xdr:col>
          <xdr:colOff>107950</xdr:colOff>
          <xdr:row>13</xdr:row>
          <xdr:rowOff>76200</xdr:rowOff>
        </xdr:to>
        <xdr:sp macro="" textlink="">
          <xdr:nvSpPr>
            <xdr:cNvPr id="7171" name="cmdVehicle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xmlns="" id="{00000000-0008-0000-00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14</xdr:row>
          <xdr:rowOff>95250</xdr:rowOff>
        </xdr:from>
        <xdr:to>
          <xdr:col>3</xdr:col>
          <xdr:colOff>107950</xdr:colOff>
          <xdr:row>16</xdr:row>
          <xdr:rowOff>107950</xdr:rowOff>
        </xdr:to>
        <xdr:sp macro="" textlink="">
          <xdr:nvSpPr>
            <xdr:cNvPr id="7172" name="cmdEngine" hidden="1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:a16="http://schemas.microsoft.com/office/drawing/2014/main" xmlns="" id="{00000000-0008-0000-0000-00000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17</xdr:row>
          <xdr:rowOff>127000</xdr:rowOff>
        </xdr:from>
        <xdr:to>
          <xdr:col>3</xdr:col>
          <xdr:colOff>107950</xdr:colOff>
          <xdr:row>19</xdr:row>
          <xdr:rowOff>133350</xdr:rowOff>
        </xdr:to>
        <xdr:sp macro="" textlink="">
          <xdr:nvSpPr>
            <xdr:cNvPr id="7173" name="cmdManufacturer" hidden="1">
              <a:extLst>
                <a:ext uri="{63B3BB69-23CF-44E3-9099-C40C66FF867C}">
                  <a14:compatExt spid="_x0000_s7173"/>
                </a:ext>
                <a:ext uri="{FF2B5EF4-FFF2-40B4-BE49-F238E27FC236}">
                  <a16:creationId xmlns:a16="http://schemas.microsoft.com/office/drawing/2014/main" xmlns="" id="{00000000-0008-0000-0000-00000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20</xdr:row>
          <xdr:rowOff>165100</xdr:rowOff>
        </xdr:from>
        <xdr:to>
          <xdr:col>3</xdr:col>
          <xdr:colOff>107950</xdr:colOff>
          <xdr:row>22</xdr:row>
          <xdr:rowOff>171450</xdr:rowOff>
        </xdr:to>
        <xdr:sp macro="" textlink="">
          <xdr:nvSpPr>
            <xdr:cNvPr id="7174" name="cmdECD" hidden="1">
              <a:extLst>
                <a:ext uri="{63B3BB69-23CF-44E3-9099-C40C66FF867C}">
                  <a14:compatExt spid="_x0000_s7174"/>
                </a:ext>
                <a:ext uri="{FF2B5EF4-FFF2-40B4-BE49-F238E27FC236}">
                  <a16:creationId xmlns:a16="http://schemas.microsoft.com/office/drawing/2014/main" xmlns="" id="{00000000-0008-0000-0000-000006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1</xdr:row>
          <xdr:rowOff>146050</xdr:rowOff>
        </xdr:from>
        <xdr:to>
          <xdr:col>7</xdr:col>
          <xdr:colOff>76200</xdr:colOff>
          <xdr:row>3</xdr:row>
          <xdr:rowOff>152400</xdr:rowOff>
        </xdr:to>
        <xdr:sp macro="" textlink="">
          <xdr:nvSpPr>
            <xdr:cNvPr id="7175" name="cmdDPF" hidden="1">
              <a:extLst>
                <a:ext uri="{63B3BB69-23CF-44E3-9099-C40C66FF867C}">
                  <a14:compatExt spid="_x0000_s7175"/>
                </a:ext>
                <a:ext uri="{FF2B5EF4-FFF2-40B4-BE49-F238E27FC236}">
                  <a16:creationId xmlns:a16="http://schemas.microsoft.com/office/drawing/2014/main" xmlns="" id="{00000000-0008-0000-0000-000007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603250</xdr:colOff>
          <xdr:row>1</xdr:row>
          <xdr:rowOff>165100</xdr:rowOff>
        </xdr:from>
        <xdr:to>
          <xdr:col>3</xdr:col>
          <xdr:colOff>88900</xdr:colOff>
          <xdr:row>3</xdr:row>
          <xdr:rowOff>171450</xdr:rowOff>
        </xdr:to>
        <xdr:sp macro="" textlink="">
          <xdr:nvSpPr>
            <xdr:cNvPr id="7177" name="cmdContacts" hidden="1">
              <a:extLst>
                <a:ext uri="{63B3BB69-23CF-44E3-9099-C40C66FF867C}">
                  <a14:compatExt spid="_x0000_s7177"/>
                </a:ext>
                <a:ext uri="{FF2B5EF4-FFF2-40B4-BE49-F238E27FC236}">
                  <a16:creationId xmlns:a16="http://schemas.microsoft.com/office/drawing/2014/main" xmlns="" id="{00000000-0008-0000-0000-000009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4</xdr:row>
          <xdr:rowOff>88900</xdr:rowOff>
        </xdr:from>
        <xdr:to>
          <xdr:col>7</xdr:col>
          <xdr:colOff>76200</xdr:colOff>
          <xdr:row>6</xdr:row>
          <xdr:rowOff>95250</xdr:rowOff>
        </xdr:to>
        <xdr:sp macro="" textlink="">
          <xdr:nvSpPr>
            <xdr:cNvPr id="7178" name="cmdQuality" hidden="1">
              <a:extLst>
                <a:ext uri="{63B3BB69-23CF-44E3-9099-C40C66FF867C}">
                  <a14:compatExt spid="_x0000_s7178"/>
                </a:ext>
                <a:ext uri="{FF2B5EF4-FFF2-40B4-BE49-F238E27FC236}">
                  <a16:creationId xmlns:a16="http://schemas.microsoft.com/office/drawing/2014/main" xmlns="" id="{00000000-0008-0000-0000-00000A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7</xdr:row>
          <xdr:rowOff>19050</xdr:rowOff>
        </xdr:from>
        <xdr:to>
          <xdr:col>7</xdr:col>
          <xdr:colOff>76200</xdr:colOff>
          <xdr:row>9</xdr:row>
          <xdr:rowOff>44450</xdr:rowOff>
        </xdr:to>
        <xdr:sp macro="" textlink="">
          <xdr:nvSpPr>
            <xdr:cNvPr id="7179" name="cmdQAProcess" hidden="1">
              <a:extLst>
                <a:ext uri="{63B3BB69-23CF-44E3-9099-C40C66FF867C}">
                  <a14:compatExt spid="_x0000_s71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</xdr:row>
          <xdr:rowOff>374650</xdr:rowOff>
        </xdr:from>
        <xdr:to>
          <xdr:col>2</xdr:col>
          <xdr:colOff>1695450</xdr:colOff>
          <xdr:row>2</xdr:row>
          <xdr:rowOff>190500</xdr:rowOff>
        </xdr:to>
        <xdr:sp macro="" textlink="">
          <xdr:nvSpPr>
            <xdr:cNvPr id="3073" name="cbCompany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xmlns="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260350</xdr:colOff>
          <xdr:row>9</xdr:row>
          <xdr:rowOff>95250</xdr:rowOff>
        </xdr:from>
        <xdr:to>
          <xdr:col>2</xdr:col>
          <xdr:colOff>679450</xdr:colOff>
          <xdr:row>9</xdr:row>
          <xdr:rowOff>298450</xdr:rowOff>
        </xdr:to>
        <xdr:sp macro="" textlink="">
          <xdr:nvSpPr>
            <xdr:cNvPr id="3074" name="chkActive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xmlns="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7</xdr:row>
          <xdr:rowOff>0</xdr:rowOff>
        </xdr:from>
        <xdr:to>
          <xdr:col>2</xdr:col>
          <xdr:colOff>1898650</xdr:colOff>
          <xdr:row>7</xdr:row>
          <xdr:rowOff>222250</xdr:rowOff>
        </xdr:to>
        <xdr:sp macro="" textlink="">
          <xdr:nvSpPr>
            <xdr:cNvPr id="3075" name="cbState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xmlns="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584200</xdr:colOff>
          <xdr:row>1</xdr:row>
          <xdr:rowOff>31750</xdr:rowOff>
        </xdr:from>
        <xdr:to>
          <xdr:col>5</xdr:col>
          <xdr:colOff>1365250</xdr:colOff>
          <xdr:row>1</xdr:row>
          <xdr:rowOff>323850</xdr:rowOff>
        </xdr:to>
        <xdr:sp macro="" textlink="">
          <xdr:nvSpPr>
            <xdr:cNvPr id="3077" name="cmdSave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xmlns="" id="{00000000-0008-0000-01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31750</xdr:colOff>
          <xdr:row>10</xdr:row>
          <xdr:rowOff>19050</xdr:rowOff>
        </xdr:from>
        <xdr:to>
          <xdr:col>2</xdr:col>
          <xdr:colOff>2927350</xdr:colOff>
          <xdr:row>10</xdr:row>
          <xdr:rowOff>304800</xdr:rowOff>
        </xdr:to>
        <xdr:sp macro="" textlink="">
          <xdr:nvSpPr>
            <xdr:cNvPr id="3078" name="cbCompContact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xmlns="" id="{00000000-0008-0000-01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1</xdr:row>
          <xdr:rowOff>31750</xdr:rowOff>
        </xdr:from>
        <xdr:to>
          <xdr:col>2</xdr:col>
          <xdr:colOff>50800</xdr:colOff>
          <xdr:row>2</xdr:row>
          <xdr:rowOff>12700</xdr:rowOff>
        </xdr:to>
        <xdr:sp macro="" textlink="">
          <xdr:nvSpPr>
            <xdr:cNvPr id="6145" name="cbCompany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xmlns="" id="{00000000-0008-0000-02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8</xdr:row>
          <xdr:rowOff>31750</xdr:rowOff>
        </xdr:from>
        <xdr:to>
          <xdr:col>2</xdr:col>
          <xdr:colOff>50800</xdr:colOff>
          <xdr:row>9</xdr:row>
          <xdr:rowOff>12700</xdr:rowOff>
        </xdr:to>
        <xdr:sp macro="" textlink="">
          <xdr:nvSpPr>
            <xdr:cNvPr id="6147" name="cbState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xmlns="" id="{00000000-0008-0000-02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584200</xdr:colOff>
          <xdr:row>1</xdr:row>
          <xdr:rowOff>31750</xdr:rowOff>
        </xdr:from>
        <xdr:to>
          <xdr:col>6</xdr:col>
          <xdr:colOff>146050</xdr:colOff>
          <xdr:row>1</xdr:row>
          <xdr:rowOff>323850</xdr:rowOff>
        </xdr:to>
        <xdr:sp macro="" textlink="">
          <xdr:nvSpPr>
            <xdr:cNvPr id="6148" name="cmdSave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xmlns="" id="{00000000-0008-0000-02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2</xdr:row>
          <xdr:rowOff>57150</xdr:rowOff>
        </xdr:from>
        <xdr:to>
          <xdr:col>2</xdr:col>
          <xdr:colOff>50800</xdr:colOff>
          <xdr:row>2</xdr:row>
          <xdr:rowOff>374650</xdr:rowOff>
        </xdr:to>
        <xdr:sp macro="" textlink="">
          <xdr:nvSpPr>
            <xdr:cNvPr id="6149" name="cbCompLocation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xmlns="" id="{00000000-0008-0000-02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1</xdr:row>
          <xdr:rowOff>31750</xdr:rowOff>
        </xdr:from>
        <xdr:to>
          <xdr:col>2</xdr:col>
          <xdr:colOff>19050</xdr:colOff>
          <xdr:row>2</xdr:row>
          <xdr:rowOff>12700</xdr:rowOff>
        </xdr:to>
        <xdr:sp macro="" textlink="">
          <xdr:nvSpPr>
            <xdr:cNvPr id="16385" name="cbCompany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xmlns="" id="{00000000-0008-0000-03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9</xdr:row>
          <xdr:rowOff>31750</xdr:rowOff>
        </xdr:from>
        <xdr:to>
          <xdr:col>2</xdr:col>
          <xdr:colOff>19050</xdr:colOff>
          <xdr:row>10</xdr:row>
          <xdr:rowOff>12700</xdr:rowOff>
        </xdr:to>
        <xdr:sp macro="" textlink="">
          <xdr:nvSpPr>
            <xdr:cNvPr id="16386" name="cbState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xmlns="" id="{00000000-0008-0000-03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190500</xdr:colOff>
          <xdr:row>1</xdr:row>
          <xdr:rowOff>31750</xdr:rowOff>
        </xdr:from>
        <xdr:to>
          <xdr:col>4</xdr:col>
          <xdr:colOff>1581150</xdr:colOff>
          <xdr:row>1</xdr:row>
          <xdr:rowOff>323850</xdr:rowOff>
        </xdr:to>
        <xdr:sp macro="" textlink="">
          <xdr:nvSpPr>
            <xdr:cNvPr id="16387" name="cmdSave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xmlns="" id="{00000000-0008-0000-03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2</xdr:row>
          <xdr:rowOff>57150</xdr:rowOff>
        </xdr:from>
        <xdr:to>
          <xdr:col>2</xdr:col>
          <xdr:colOff>19050</xdr:colOff>
          <xdr:row>2</xdr:row>
          <xdr:rowOff>374650</xdr:rowOff>
        </xdr:to>
        <xdr:sp macro="" textlink="">
          <xdr:nvSpPr>
            <xdr:cNvPr id="16388" name="cbContacts" hidden="1">
              <a:extLst>
                <a:ext uri="{63B3BB69-23CF-44E3-9099-C40C66FF867C}">
                  <a14:compatExt spid="_x0000_s16388"/>
                </a:ext>
                <a:ext uri="{FF2B5EF4-FFF2-40B4-BE49-F238E27FC236}">
                  <a16:creationId xmlns:a16="http://schemas.microsoft.com/office/drawing/2014/main" xmlns="" id="{00000000-0008-0000-0300-00000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260350</xdr:colOff>
          <xdr:row>13</xdr:row>
          <xdr:rowOff>95250</xdr:rowOff>
        </xdr:from>
        <xdr:to>
          <xdr:col>1</xdr:col>
          <xdr:colOff>685800</xdr:colOff>
          <xdr:row>13</xdr:row>
          <xdr:rowOff>298450</xdr:rowOff>
        </xdr:to>
        <xdr:sp macro="" textlink="">
          <xdr:nvSpPr>
            <xdr:cNvPr id="16389" name="chkActive" hidden="1">
              <a:extLst>
                <a:ext uri="{63B3BB69-23CF-44E3-9099-C40C66FF867C}">
                  <a14:compatExt spid="_x0000_s16389"/>
                </a:ext>
                <a:ext uri="{FF2B5EF4-FFF2-40B4-BE49-F238E27FC236}">
                  <a16:creationId xmlns:a16="http://schemas.microsoft.com/office/drawing/2014/main" xmlns="" id="{00000000-0008-0000-0300-00000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1</xdr:row>
          <xdr:rowOff>31750</xdr:rowOff>
        </xdr:from>
        <xdr:to>
          <xdr:col>2</xdr:col>
          <xdr:colOff>19050</xdr:colOff>
          <xdr:row>2</xdr:row>
          <xdr:rowOff>12700</xdr:rowOff>
        </xdr:to>
        <xdr:sp macro="" textlink="">
          <xdr:nvSpPr>
            <xdr:cNvPr id="11265" name="cbCompany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xmlns="" id="{00000000-0008-0000-04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4</xdr:row>
          <xdr:rowOff>19050</xdr:rowOff>
        </xdr:from>
        <xdr:to>
          <xdr:col>2</xdr:col>
          <xdr:colOff>19050</xdr:colOff>
          <xdr:row>5</xdr:row>
          <xdr:rowOff>0</xdr:rowOff>
        </xdr:to>
        <xdr:sp macro="" textlink="">
          <xdr:nvSpPr>
            <xdr:cNvPr id="11266" name="cbManufacturer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xmlns="" id="{00000000-0008-0000-04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584200</xdr:colOff>
          <xdr:row>1</xdr:row>
          <xdr:rowOff>31750</xdr:rowOff>
        </xdr:from>
        <xdr:to>
          <xdr:col>6</xdr:col>
          <xdr:colOff>146050</xdr:colOff>
          <xdr:row>1</xdr:row>
          <xdr:rowOff>323850</xdr:rowOff>
        </xdr:to>
        <xdr:sp macro="" textlink="">
          <xdr:nvSpPr>
            <xdr:cNvPr id="11267" name="cmdSave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xmlns="" id="{00000000-0008-0000-04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2</xdr:row>
          <xdr:rowOff>57150</xdr:rowOff>
        </xdr:from>
        <xdr:to>
          <xdr:col>2</xdr:col>
          <xdr:colOff>19050</xdr:colOff>
          <xdr:row>2</xdr:row>
          <xdr:rowOff>374650</xdr:rowOff>
        </xdr:to>
        <xdr:sp macro="" textlink="">
          <xdr:nvSpPr>
            <xdr:cNvPr id="11268" name="cbVehicle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xmlns="" id="{00000000-0008-0000-04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1</xdr:row>
          <xdr:rowOff>31750</xdr:rowOff>
        </xdr:from>
        <xdr:to>
          <xdr:col>2</xdr:col>
          <xdr:colOff>0</xdr:colOff>
          <xdr:row>2</xdr:row>
          <xdr:rowOff>12700</xdr:rowOff>
        </xdr:to>
        <xdr:sp macro="" textlink="">
          <xdr:nvSpPr>
            <xdr:cNvPr id="13313" name="cbCompany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xmlns="" id="{00000000-0008-0000-05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4</xdr:row>
          <xdr:rowOff>19050</xdr:rowOff>
        </xdr:from>
        <xdr:to>
          <xdr:col>2</xdr:col>
          <xdr:colOff>0</xdr:colOff>
          <xdr:row>5</xdr:row>
          <xdr:rowOff>0</xdr:rowOff>
        </xdr:to>
        <xdr:sp macro="" textlink="">
          <xdr:nvSpPr>
            <xdr:cNvPr id="13314" name="cbManufacturer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xmlns="" id="{00000000-0008-0000-05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584200</xdr:colOff>
          <xdr:row>1</xdr:row>
          <xdr:rowOff>31750</xdr:rowOff>
        </xdr:from>
        <xdr:to>
          <xdr:col>5</xdr:col>
          <xdr:colOff>57150</xdr:colOff>
          <xdr:row>1</xdr:row>
          <xdr:rowOff>323850</xdr:rowOff>
        </xdr:to>
        <xdr:sp macro="" textlink="">
          <xdr:nvSpPr>
            <xdr:cNvPr id="13315" name="cmdSave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xmlns="" id="{00000000-0008-0000-05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2</xdr:row>
          <xdr:rowOff>57150</xdr:rowOff>
        </xdr:from>
        <xdr:to>
          <xdr:col>2</xdr:col>
          <xdr:colOff>0</xdr:colOff>
          <xdr:row>2</xdr:row>
          <xdr:rowOff>374650</xdr:rowOff>
        </xdr:to>
        <xdr:sp macro="" textlink="">
          <xdr:nvSpPr>
            <xdr:cNvPr id="13316" name="cbEngine" hidden="1">
              <a:extLst>
                <a:ext uri="{63B3BB69-23CF-44E3-9099-C40C66FF867C}">
                  <a14:compatExt spid="_x0000_s13316"/>
                </a:ext>
                <a:ext uri="{FF2B5EF4-FFF2-40B4-BE49-F238E27FC236}">
                  <a16:creationId xmlns:a16="http://schemas.microsoft.com/office/drawing/2014/main" xmlns="" id="{00000000-0008-0000-0500-000004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1</xdr:row>
          <xdr:rowOff>12700</xdr:rowOff>
        </xdr:from>
        <xdr:to>
          <xdr:col>2</xdr:col>
          <xdr:colOff>88900</xdr:colOff>
          <xdr:row>1</xdr:row>
          <xdr:rowOff>374650</xdr:rowOff>
        </xdr:to>
        <xdr:sp macro="" textlink="">
          <xdr:nvSpPr>
            <xdr:cNvPr id="12289" name="cbManufacturer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xmlns="" id="{00000000-0008-0000-06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584200</xdr:colOff>
          <xdr:row>1</xdr:row>
          <xdr:rowOff>31750</xdr:rowOff>
        </xdr:from>
        <xdr:to>
          <xdr:col>6</xdr:col>
          <xdr:colOff>146050</xdr:colOff>
          <xdr:row>1</xdr:row>
          <xdr:rowOff>323850</xdr:rowOff>
        </xdr:to>
        <xdr:sp macro="" textlink="">
          <xdr:nvSpPr>
            <xdr:cNvPr id="12292" name="cmdSave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xmlns="" id="{00000000-0008-0000-06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1</xdr:row>
          <xdr:rowOff>31750</xdr:rowOff>
        </xdr:from>
        <xdr:to>
          <xdr:col>1</xdr:col>
          <xdr:colOff>3086100</xdr:colOff>
          <xdr:row>2</xdr:row>
          <xdr:rowOff>12700</xdr:rowOff>
        </xdr:to>
        <xdr:sp macro="" textlink="">
          <xdr:nvSpPr>
            <xdr:cNvPr id="15361" name="cbCompany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xmlns="" id="{00000000-0008-0000-07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31750</xdr:colOff>
          <xdr:row>5</xdr:row>
          <xdr:rowOff>19050</xdr:rowOff>
        </xdr:from>
        <xdr:to>
          <xdr:col>2</xdr:col>
          <xdr:colOff>0</xdr:colOff>
          <xdr:row>6</xdr:row>
          <xdr:rowOff>0</xdr:rowOff>
        </xdr:to>
        <xdr:sp macro="" textlink="">
          <xdr:nvSpPr>
            <xdr:cNvPr id="15362" name="cbManufacturer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xmlns="" id="{00000000-0008-0000-07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584200</xdr:colOff>
          <xdr:row>1</xdr:row>
          <xdr:rowOff>31750</xdr:rowOff>
        </xdr:from>
        <xdr:to>
          <xdr:col>6</xdr:col>
          <xdr:colOff>146050</xdr:colOff>
          <xdr:row>1</xdr:row>
          <xdr:rowOff>323850</xdr:rowOff>
        </xdr:to>
        <xdr:sp macro="" textlink="">
          <xdr:nvSpPr>
            <xdr:cNvPr id="15363" name="cmdSave" hidden="1">
              <a:extLst>
                <a:ext uri="{63B3BB69-23CF-44E3-9099-C40C66FF867C}">
                  <a14:compatExt spid="_x0000_s15363"/>
                </a:ext>
                <a:ext uri="{FF2B5EF4-FFF2-40B4-BE49-F238E27FC236}">
                  <a16:creationId xmlns:a16="http://schemas.microsoft.com/office/drawing/2014/main" xmlns="" id="{00000000-0008-0000-0700-00000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2</xdr:row>
          <xdr:rowOff>57150</xdr:rowOff>
        </xdr:from>
        <xdr:to>
          <xdr:col>1</xdr:col>
          <xdr:colOff>3086100</xdr:colOff>
          <xdr:row>2</xdr:row>
          <xdr:rowOff>374650</xdr:rowOff>
        </xdr:to>
        <xdr:sp macro="" textlink="">
          <xdr:nvSpPr>
            <xdr:cNvPr id="15364" name="cbECD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xmlns="" id="{00000000-0008-0000-07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4</xdr:row>
          <xdr:rowOff>12700</xdr:rowOff>
        </xdr:from>
        <xdr:to>
          <xdr:col>1</xdr:col>
          <xdr:colOff>3086100</xdr:colOff>
          <xdr:row>4</xdr:row>
          <xdr:rowOff>374650</xdr:rowOff>
        </xdr:to>
        <xdr:sp macro="" textlink="">
          <xdr:nvSpPr>
            <xdr:cNvPr id="15365" name="cbECDType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xmlns="" id="{00000000-0008-0000-07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9</xdr:row>
          <xdr:rowOff>12700</xdr:rowOff>
        </xdr:from>
        <xdr:to>
          <xdr:col>1</xdr:col>
          <xdr:colOff>3098800</xdr:colOff>
          <xdr:row>9</xdr:row>
          <xdr:rowOff>374650</xdr:rowOff>
        </xdr:to>
        <xdr:sp macro="" textlink="">
          <xdr:nvSpPr>
            <xdr:cNvPr id="15366" name="cbSubStrateType" hidden="1">
              <a:extLst>
                <a:ext uri="{63B3BB69-23CF-44E3-9099-C40C66FF867C}">
                  <a14:compatExt spid="_x0000_s15366"/>
                </a:ext>
                <a:ext uri="{FF2B5EF4-FFF2-40B4-BE49-F238E27FC236}">
                  <a16:creationId xmlns:a16="http://schemas.microsoft.com/office/drawing/2014/main" xmlns="" id="{00000000-0008-0000-0700-00000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742950</xdr:colOff>
          <xdr:row>78</xdr:row>
          <xdr:rowOff>165100</xdr:rowOff>
        </xdr:from>
        <xdr:to>
          <xdr:col>5</xdr:col>
          <xdr:colOff>933450</xdr:colOff>
          <xdr:row>79</xdr:row>
          <xdr:rowOff>152400</xdr:rowOff>
        </xdr:to>
        <xdr:sp macro="" textlink="">
          <xdr:nvSpPr>
            <xdr:cNvPr id="21505" name="chkOvrRdHw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xmlns="" id="{00000000-0008-0000-08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736600</xdr:colOff>
          <xdr:row>79</xdr:row>
          <xdr:rowOff>171450</xdr:rowOff>
        </xdr:from>
        <xdr:to>
          <xdr:col>5</xdr:col>
          <xdr:colOff>927100</xdr:colOff>
          <xdr:row>80</xdr:row>
          <xdr:rowOff>165100</xdr:rowOff>
        </xdr:to>
        <xdr:sp macro="" textlink="">
          <xdr:nvSpPr>
            <xdr:cNvPr id="21506" name="chkStartStop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xmlns="" id="{00000000-0008-0000-08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736600</xdr:colOff>
          <xdr:row>81</xdr:row>
          <xdr:rowOff>0</xdr:rowOff>
        </xdr:from>
        <xdr:to>
          <xdr:col>5</xdr:col>
          <xdr:colOff>927100</xdr:colOff>
          <xdr:row>81</xdr:row>
          <xdr:rowOff>184150</xdr:rowOff>
        </xdr:to>
        <xdr:sp macro="" textlink="">
          <xdr:nvSpPr>
            <xdr:cNvPr id="21507" name="chkHighIdle" hidden="1">
              <a:extLst>
                <a:ext uri="{63B3BB69-23CF-44E3-9099-C40C66FF867C}">
                  <a14:compatExt spid="_x0000_s21507"/>
                </a:ext>
                <a:ext uri="{FF2B5EF4-FFF2-40B4-BE49-F238E27FC236}">
                  <a16:creationId xmlns:a16="http://schemas.microsoft.com/office/drawing/2014/main" xmlns="" id="{00000000-0008-0000-0800-00000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755650</xdr:colOff>
          <xdr:row>85</xdr:row>
          <xdr:rowOff>12700</xdr:rowOff>
        </xdr:from>
        <xdr:to>
          <xdr:col>5</xdr:col>
          <xdr:colOff>946150</xdr:colOff>
          <xdr:row>86</xdr:row>
          <xdr:rowOff>0</xdr:rowOff>
        </xdr:to>
        <xdr:sp macro="" textlink="">
          <xdr:nvSpPr>
            <xdr:cNvPr id="21508" name="chkPreventMaint" hidden="1">
              <a:extLst>
                <a:ext uri="{63B3BB69-23CF-44E3-9099-C40C66FF867C}">
                  <a14:compatExt spid="_x0000_s21508"/>
                </a:ext>
                <a:ext uri="{FF2B5EF4-FFF2-40B4-BE49-F238E27FC236}">
                  <a16:creationId xmlns:a16="http://schemas.microsoft.com/office/drawing/2014/main" xmlns="" id="{00000000-0008-0000-0800-000004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736600</xdr:colOff>
          <xdr:row>86</xdr:row>
          <xdr:rowOff>12700</xdr:rowOff>
        </xdr:from>
        <xdr:to>
          <xdr:col>5</xdr:col>
          <xdr:colOff>927100</xdr:colOff>
          <xdr:row>87</xdr:row>
          <xdr:rowOff>0</xdr:rowOff>
        </xdr:to>
        <xdr:sp macro="" textlink="">
          <xdr:nvSpPr>
            <xdr:cNvPr id="21509" name="chkHighSootLoad" hidden="1">
              <a:extLst>
                <a:ext uri="{63B3BB69-23CF-44E3-9099-C40C66FF867C}">
                  <a14:compatExt spid="_x0000_s21509"/>
                </a:ext>
                <a:ext uri="{FF2B5EF4-FFF2-40B4-BE49-F238E27FC236}">
                  <a16:creationId xmlns:a16="http://schemas.microsoft.com/office/drawing/2014/main" xmlns="" id="{00000000-0008-0000-0800-000005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736600</xdr:colOff>
          <xdr:row>87</xdr:row>
          <xdr:rowOff>19050</xdr:rowOff>
        </xdr:from>
        <xdr:to>
          <xdr:col>5</xdr:col>
          <xdr:colOff>927100</xdr:colOff>
          <xdr:row>88</xdr:row>
          <xdr:rowOff>12700</xdr:rowOff>
        </xdr:to>
        <xdr:sp macro="" textlink="">
          <xdr:nvSpPr>
            <xdr:cNvPr id="21510" name="chkEngineFail" hidden="1">
              <a:extLst>
                <a:ext uri="{63B3BB69-23CF-44E3-9099-C40C66FF867C}">
                  <a14:compatExt spid="_x0000_s21510"/>
                </a:ext>
                <a:ext uri="{FF2B5EF4-FFF2-40B4-BE49-F238E27FC236}">
                  <a16:creationId xmlns:a16="http://schemas.microsoft.com/office/drawing/2014/main" xmlns="" id="{00000000-0008-0000-0800-000006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</xdr:row>
          <xdr:rowOff>0</xdr:rowOff>
        </xdr:from>
        <xdr:to>
          <xdr:col>12</xdr:col>
          <xdr:colOff>171450</xdr:colOff>
          <xdr:row>3</xdr:row>
          <xdr:rowOff>57150</xdr:rowOff>
        </xdr:to>
        <xdr:sp macro="" textlink="">
          <xdr:nvSpPr>
            <xdr:cNvPr id="21518" name="cmdSave" hidden="1">
              <a:extLst>
                <a:ext uri="{63B3BB69-23CF-44E3-9099-C40C66FF867C}">
                  <a14:compatExt spid="_x0000_s21518"/>
                </a:ext>
                <a:ext uri="{FF2B5EF4-FFF2-40B4-BE49-F238E27FC236}">
                  <a16:creationId xmlns:a16="http://schemas.microsoft.com/office/drawing/2014/main" xmlns="" id="{00000000-0008-0000-0800-00000E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819150</xdr:colOff>
          <xdr:row>91</xdr:row>
          <xdr:rowOff>31750</xdr:rowOff>
        </xdr:from>
        <xdr:to>
          <xdr:col>5</xdr:col>
          <xdr:colOff>1009650</xdr:colOff>
          <xdr:row>92</xdr:row>
          <xdr:rowOff>19050</xdr:rowOff>
        </xdr:to>
        <xdr:sp macro="" textlink="">
          <xdr:nvSpPr>
            <xdr:cNvPr id="21521" name="chkFirstCleaning" hidden="1">
              <a:extLst>
                <a:ext uri="{63B3BB69-23CF-44E3-9099-C40C66FF867C}">
                  <a14:compatExt spid="_x0000_s21521"/>
                </a:ext>
                <a:ext uri="{FF2B5EF4-FFF2-40B4-BE49-F238E27FC236}">
                  <a16:creationId xmlns:a16="http://schemas.microsoft.com/office/drawing/2014/main" xmlns="" id="{00000000-0008-0000-0800-00001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12700</xdr:colOff>
          <xdr:row>2</xdr:row>
          <xdr:rowOff>0</xdr:rowOff>
        </xdr:from>
        <xdr:to>
          <xdr:col>8</xdr:col>
          <xdr:colOff>228600</xdr:colOff>
          <xdr:row>3</xdr:row>
          <xdr:rowOff>0</xdr:rowOff>
        </xdr:to>
        <xdr:sp macro="" textlink="">
          <xdr:nvSpPr>
            <xdr:cNvPr id="21522" name="cbDPF" hidden="1">
              <a:extLst>
                <a:ext uri="{63B3BB69-23CF-44E3-9099-C40C66FF867C}">
                  <a14:compatExt spid="_x0000_s21522"/>
                </a:ext>
                <a:ext uri="{FF2B5EF4-FFF2-40B4-BE49-F238E27FC236}">
                  <a16:creationId xmlns:a16="http://schemas.microsoft.com/office/drawing/2014/main" xmlns="" id="{00000000-0008-0000-0800-00001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7</xdr:row>
          <xdr:rowOff>69850</xdr:rowOff>
        </xdr:from>
        <xdr:to>
          <xdr:col>8</xdr:col>
          <xdr:colOff>241300</xdr:colOff>
          <xdr:row>8</xdr:row>
          <xdr:rowOff>12700</xdr:rowOff>
        </xdr:to>
        <xdr:sp macro="" textlink="">
          <xdr:nvSpPr>
            <xdr:cNvPr id="21523" name="cbCompany" hidden="1">
              <a:extLst>
                <a:ext uri="{63B3BB69-23CF-44E3-9099-C40C66FF867C}">
                  <a14:compatExt spid="_x0000_s21523"/>
                </a:ext>
                <a:ext uri="{FF2B5EF4-FFF2-40B4-BE49-F238E27FC236}">
                  <a16:creationId xmlns:a16="http://schemas.microsoft.com/office/drawing/2014/main" xmlns="" id="{00000000-0008-0000-0800-00001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19</xdr:row>
          <xdr:rowOff>69850</xdr:rowOff>
        </xdr:from>
        <xdr:to>
          <xdr:col>8</xdr:col>
          <xdr:colOff>241300</xdr:colOff>
          <xdr:row>20</xdr:row>
          <xdr:rowOff>114300</xdr:rowOff>
        </xdr:to>
        <xdr:sp macro="" textlink="">
          <xdr:nvSpPr>
            <xdr:cNvPr id="21524" name="cbContacts" hidden="1">
              <a:extLst>
                <a:ext uri="{63B3BB69-23CF-44E3-9099-C40C66FF867C}">
                  <a14:compatExt spid="_x0000_s21524"/>
                </a:ext>
                <a:ext uri="{FF2B5EF4-FFF2-40B4-BE49-F238E27FC236}">
                  <a16:creationId xmlns:a16="http://schemas.microsoft.com/office/drawing/2014/main" xmlns="" id="{00000000-0008-0000-0800-000014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31</xdr:row>
          <xdr:rowOff>69850</xdr:rowOff>
        </xdr:from>
        <xdr:to>
          <xdr:col>8</xdr:col>
          <xdr:colOff>241300</xdr:colOff>
          <xdr:row>32</xdr:row>
          <xdr:rowOff>114300</xdr:rowOff>
        </xdr:to>
        <xdr:sp macro="" textlink="">
          <xdr:nvSpPr>
            <xdr:cNvPr id="21525" name="cbCompLocation" hidden="1">
              <a:extLst>
                <a:ext uri="{63B3BB69-23CF-44E3-9099-C40C66FF867C}">
                  <a14:compatExt spid="_x0000_s21525"/>
                </a:ext>
                <a:ext uri="{FF2B5EF4-FFF2-40B4-BE49-F238E27FC236}">
                  <a16:creationId xmlns:a16="http://schemas.microsoft.com/office/drawing/2014/main" xmlns="" id="{00000000-0008-0000-0800-000015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39</xdr:row>
          <xdr:rowOff>69850</xdr:rowOff>
        </xdr:from>
        <xdr:to>
          <xdr:col>8</xdr:col>
          <xdr:colOff>241300</xdr:colOff>
          <xdr:row>40</xdr:row>
          <xdr:rowOff>114300</xdr:rowOff>
        </xdr:to>
        <xdr:sp macro="" textlink="">
          <xdr:nvSpPr>
            <xdr:cNvPr id="21526" name="cbVehicle" hidden="1">
              <a:extLst>
                <a:ext uri="{63B3BB69-23CF-44E3-9099-C40C66FF867C}">
                  <a14:compatExt spid="_x0000_s21526"/>
                </a:ext>
                <a:ext uri="{FF2B5EF4-FFF2-40B4-BE49-F238E27FC236}">
                  <a16:creationId xmlns:a16="http://schemas.microsoft.com/office/drawing/2014/main" xmlns="" id="{00000000-0008-0000-0800-000016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49</xdr:row>
          <xdr:rowOff>69850</xdr:rowOff>
        </xdr:from>
        <xdr:to>
          <xdr:col>8</xdr:col>
          <xdr:colOff>241300</xdr:colOff>
          <xdr:row>50</xdr:row>
          <xdr:rowOff>114300</xdr:rowOff>
        </xdr:to>
        <xdr:sp macro="" textlink="">
          <xdr:nvSpPr>
            <xdr:cNvPr id="21527" name="cbEngine" hidden="1">
              <a:extLst>
                <a:ext uri="{63B3BB69-23CF-44E3-9099-C40C66FF867C}">
                  <a14:compatExt spid="_x0000_s21527"/>
                </a:ext>
                <a:ext uri="{FF2B5EF4-FFF2-40B4-BE49-F238E27FC236}">
                  <a16:creationId xmlns:a16="http://schemas.microsoft.com/office/drawing/2014/main" xmlns="" id="{00000000-0008-0000-0800-000017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55</xdr:row>
          <xdr:rowOff>69850</xdr:rowOff>
        </xdr:from>
        <xdr:to>
          <xdr:col>8</xdr:col>
          <xdr:colOff>241300</xdr:colOff>
          <xdr:row>56</xdr:row>
          <xdr:rowOff>114300</xdr:rowOff>
        </xdr:to>
        <xdr:sp macro="" textlink="">
          <xdr:nvSpPr>
            <xdr:cNvPr id="21528" name="cbECD" hidden="1">
              <a:extLst>
                <a:ext uri="{63B3BB69-23CF-44E3-9099-C40C66FF867C}">
                  <a14:compatExt spid="_x0000_s21528"/>
                </a:ext>
                <a:ext uri="{FF2B5EF4-FFF2-40B4-BE49-F238E27FC236}">
                  <a16:creationId xmlns:a16="http://schemas.microsoft.com/office/drawing/2014/main" xmlns="" id="{00000000-0008-0000-0800-000018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82</xdr:row>
          <xdr:rowOff>69850</xdr:rowOff>
        </xdr:from>
        <xdr:to>
          <xdr:col>8</xdr:col>
          <xdr:colOff>241300</xdr:colOff>
          <xdr:row>83</xdr:row>
          <xdr:rowOff>114300</xdr:rowOff>
        </xdr:to>
        <xdr:sp macro="" textlink="">
          <xdr:nvSpPr>
            <xdr:cNvPr id="21529" name="cbDrivingType" hidden="1">
              <a:extLst>
                <a:ext uri="{63B3BB69-23CF-44E3-9099-C40C66FF867C}">
                  <a14:compatExt spid="_x0000_s21529"/>
                </a:ext>
                <a:ext uri="{FF2B5EF4-FFF2-40B4-BE49-F238E27FC236}">
                  <a16:creationId xmlns:a16="http://schemas.microsoft.com/office/drawing/2014/main" xmlns="" id="{00000000-0008-0000-0800-000019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88</xdr:row>
          <xdr:rowOff>69850</xdr:rowOff>
        </xdr:from>
        <xdr:to>
          <xdr:col>8</xdr:col>
          <xdr:colOff>241300</xdr:colOff>
          <xdr:row>89</xdr:row>
          <xdr:rowOff>114300</xdr:rowOff>
        </xdr:to>
        <xdr:sp macro="" textlink="">
          <xdr:nvSpPr>
            <xdr:cNvPr id="21530" name="cbCleaningReason" hidden="1">
              <a:extLst>
                <a:ext uri="{63B3BB69-23CF-44E3-9099-C40C66FF867C}">
                  <a14:compatExt spid="_x0000_s21530"/>
                </a:ext>
                <a:ext uri="{FF2B5EF4-FFF2-40B4-BE49-F238E27FC236}">
                  <a16:creationId xmlns:a16="http://schemas.microsoft.com/office/drawing/2014/main" xmlns="" id="{00000000-0008-0000-0800-00001A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190500</xdr:colOff>
          <xdr:row>57</xdr:row>
          <xdr:rowOff>12700</xdr:rowOff>
        </xdr:from>
        <xdr:to>
          <xdr:col>3</xdr:col>
          <xdr:colOff>361950</xdr:colOff>
          <xdr:row>57</xdr:row>
          <xdr:rowOff>171450</xdr:rowOff>
        </xdr:to>
        <xdr:sp macro="" textlink="">
          <xdr:nvSpPr>
            <xdr:cNvPr id="23553" name="chkCoolant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xmlns="" id="{00000000-0008-0000-09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165100</xdr:colOff>
          <xdr:row>27</xdr:row>
          <xdr:rowOff>57150</xdr:rowOff>
        </xdr:from>
        <xdr:to>
          <xdr:col>3</xdr:col>
          <xdr:colOff>336550</xdr:colOff>
          <xdr:row>28</xdr:row>
          <xdr:rowOff>31750</xdr:rowOff>
        </xdr:to>
        <xdr:sp macro="" textlink="">
          <xdr:nvSpPr>
            <xdr:cNvPr id="23554" name="chkUSignalReceived" hidden="1">
              <a:extLst>
                <a:ext uri="{63B3BB69-23CF-44E3-9099-C40C66FF867C}">
                  <a14:compatExt spid="_x0000_s23554"/>
                </a:ext>
                <a:ext uri="{FF2B5EF4-FFF2-40B4-BE49-F238E27FC236}">
                  <a16:creationId xmlns:a16="http://schemas.microsoft.com/office/drawing/2014/main" xmlns="" id="{00000000-0008-0000-0900-00000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165100</xdr:colOff>
          <xdr:row>28</xdr:row>
          <xdr:rowOff>165100</xdr:rowOff>
        </xdr:from>
        <xdr:to>
          <xdr:col>3</xdr:col>
          <xdr:colOff>336550</xdr:colOff>
          <xdr:row>29</xdr:row>
          <xdr:rowOff>133350</xdr:rowOff>
        </xdr:to>
        <xdr:sp macro="" textlink="">
          <xdr:nvSpPr>
            <xdr:cNvPr id="23555" name="chkECDPinDropDepth" hidden="1">
              <a:extLst>
                <a:ext uri="{63B3BB69-23CF-44E3-9099-C40C66FF867C}">
                  <a14:compatExt spid="_x0000_s23555"/>
                </a:ext>
                <a:ext uri="{FF2B5EF4-FFF2-40B4-BE49-F238E27FC236}">
                  <a16:creationId xmlns:a16="http://schemas.microsoft.com/office/drawing/2014/main" xmlns="" id="{00000000-0008-0000-0900-00000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</xdr:row>
          <xdr:rowOff>0</xdr:rowOff>
        </xdr:from>
        <xdr:to>
          <xdr:col>9</xdr:col>
          <xdr:colOff>0</xdr:colOff>
          <xdr:row>3</xdr:row>
          <xdr:rowOff>50800</xdr:rowOff>
        </xdr:to>
        <xdr:sp macro="" textlink="">
          <xdr:nvSpPr>
            <xdr:cNvPr id="23559" name="cmdSave" hidden="1">
              <a:extLst>
                <a:ext uri="{63B3BB69-23CF-44E3-9099-C40C66FF867C}">
                  <a14:compatExt spid="_x0000_s23559"/>
                </a:ext>
                <a:ext uri="{FF2B5EF4-FFF2-40B4-BE49-F238E27FC236}">
                  <a16:creationId xmlns:a16="http://schemas.microsoft.com/office/drawing/2014/main" xmlns="" id="{00000000-0008-0000-0900-000007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184150</xdr:colOff>
          <xdr:row>59</xdr:row>
          <xdr:rowOff>38100</xdr:rowOff>
        </xdr:from>
        <xdr:to>
          <xdr:col>3</xdr:col>
          <xdr:colOff>355600</xdr:colOff>
          <xdr:row>60</xdr:row>
          <xdr:rowOff>12700</xdr:rowOff>
        </xdr:to>
        <xdr:sp macro="" textlink="">
          <xdr:nvSpPr>
            <xdr:cNvPr id="23560" name="chkRedAsh" hidden="1">
              <a:extLst>
                <a:ext uri="{63B3BB69-23CF-44E3-9099-C40C66FF867C}">
                  <a14:compatExt spid="_x0000_s23560"/>
                </a:ext>
                <a:ext uri="{FF2B5EF4-FFF2-40B4-BE49-F238E27FC236}">
                  <a16:creationId xmlns:a16="http://schemas.microsoft.com/office/drawing/2014/main" xmlns="" id="{00000000-0008-0000-0900-000008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12700</xdr:colOff>
          <xdr:row>2</xdr:row>
          <xdr:rowOff>0</xdr:rowOff>
        </xdr:from>
        <xdr:to>
          <xdr:col>4</xdr:col>
          <xdr:colOff>209550</xdr:colOff>
          <xdr:row>2</xdr:row>
          <xdr:rowOff>222250</xdr:rowOff>
        </xdr:to>
        <xdr:sp macro="" textlink="">
          <xdr:nvSpPr>
            <xdr:cNvPr id="23561" name="cbDPF" hidden="1">
              <a:extLst>
                <a:ext uri="{63B3BB69-23CF-44E3-9099-C40C66FF867C}">
                  <a14:compatExt spid="_x0000_s23561"/>
                </a:ext>
                <a:ext uri="{FF2B5EF4-FFF2-40B4-BE49-F238E27FC236}">
                  <a16:creationId xmlns:a16="http://schemas.microsoft.com/office/drawing/2014/main" xmlns="" id="{00000000-0008-0000-0900-000009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8</xdr:row>
          <xdr:rowOff>69850</xdr:rowOff>
        </xdr:from>
        <xdr:to>
          <xdr:col>4</xdr:col>
          <xdr:colOff>222250</xdr:colOff>
          <xdr:row>9</xdr:row>
          <xdr:rowOff>107950</xdr:rowOff>
        </xdr:to>
        <xdr:sp macro="" textlink="">
          <xdr:nvSpPr>
            <xdr:cNvPr id="23567" name="cbECD" hidden="1">
              <a:extLst>
                <a:ext uri="{63B3BB69-23CF-44E3-9099-C40C66FF867C}">
                  <a14:compatExt spid="_x0000_s23567"/>
                </a:ext>
                <a:ext uri="{FF2B5EF4-FFF2-40B4-BE49-F238E27FC236}">
                  <a16:creationId xmlns:a16="http://schemas.microsoft.com/office/drawing/2014/main" xmlns="" id="{00000000-0008-0000-0900-00000F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31750</xdr:colOff>
          <xdr:row>41</xdr:row>
          <xdr:rowOff>165100</xdr:rowOff>
        </xdr:from>
        <xdr:to>
          <xdr:col>7</xdr:col>
          <xdr:colOff>19050</xdr:colOff>
          <xdr:row>43</xdr:row>
          <xdr:rowOff>0</xdr:rowOff>
        </xdr:to>
        <xdr:sp macro="" textlink="">
          <xdr:nvSpPr>
            <xdr:cNvPr id="23570" name="cbSoot" hidden="1">
              <a:extLst>
                <a:ext uri="{63B3BB69-23CF-44E3-9099-C40C66FF867C}">
                  <a14:compatExt spid="_x0000_s23570"/>
                </a:ext>
                <a:ext uri="{FF2B5EF4-FFF2-40B4-BE49-F238E27FC236}">
                  <a16:creationId xmlns:a16="http://schemas.microsoft.com/office/drawing/2014/main" xmlns="" id="{00000000-0008-0000-0900-00001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31750</xdr:colOff>
          <xdr:row>43</xdr:row>
          <xdr:rowOff>165100</xdr:rowOff>
        </xdr:from>
        <xdr:to>
          <xdr:col>7</xdr:col>
          <xdr:colOff>19050</xdr:colOff>
          <xdr:row>45</xdr:row>
          <xdr:rowOff>0</xdr:rowOff>
        </xdr:to>
        <xdr:sp macro="" textlink="">
          <xdr:nvSpPr>
            <xdr:cNvPr id="23571" name="cbAsh" hidden="1">
              <a:extLst>
                <a:ext uri="{63B3BB69-23CF-44E3-9099-C40C66FF867C}">
                  <a14:compatExt spid="_x0000_s23571"/>
                </a:ext>
                <a:ext uri="{FF2B5EF4-FFF2-40B4-BE49-F238E27FC236}">
                  <a16:creationId xmlns:a16="http://schemas.microsoft.com/office/drawing/2014/main" xmlns="" id="{00000000-0008-0000-0900-00001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12700</xdr:colOff>
          <xdr:row>45</xdr:row>
          <xdr:rowOff>12700</xdr:rowOff>
        </xdr:from>
        <xdr:to>
          <xdr:col>7</xdr:col>
          <xdr:colOff>0</xdr:colOff>
          <xdr:row>46</xdr:row>
          <xdr:rowOff>38100</xdr:rowOff>
        </xdr:to>
        <xdr:sp macro="" textlink="">
          <xdr:nvSpPr>
            <xdr:cNvPr id="23572" name="cbAshColor" hidden="1">
              <a:extLst>
                <a:ext uri="{63B3BB69-23CF-44E3-9099-C40C66FF867C}">
                  <a14:compatExt spid="_x0000_s23572"/>
                </a:ext>
                <a:ext uri="{FF2B5EF4-FFF2-40B4-BE49-F238E27FC236}">
                  <a16:creationId xmlns:a16="http://schemas.microsoft.com/office/drawing/2014/main" xmlns="" id="{00000000-0008-0000-0900-000014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12700</xdr:colOff>
          <xdr:row>48</xdr:row>
          <xdr:rowOff>12700</xdr:rowOff>
        </xdr:from>
        <xdr:to>
          <xdr:col>7</xdr:col>
          <xdr:colOff>0</xdr:colOff>
          <xdr:row>49</xdr:row>
          <xdr:rowOff>38100</xdr:rowOff>
        </xdr:to>
        <xdr:sp macro="" textlink="">
          <xdr:nvSpPr>
            <xdr:cNvPr id="23573" name="cbOutletColor" hidden="1">
              <a:extLst>
                <a:ext uri="{63B3BB69-23CF-44E3-9099-C40C66FF867C}">
                  <a14:compatExt spid="_x0000_s23573"/>
                </a:ext>
                <a:ext uri="{FF2B5EF4-FFF2-40B4-BE49-F238E27FC236}">
                  <a16:creationId xmlns:a16="http://schemas.microsoft.com/office/drawing/2014/main" xmlns="" id="{00000000-0008-0000-0900-000015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50800</xdr:colOff>
          <xdr:row>52</xdr:row>
          <xdr:rowOff>0</xdr:rowOff>
        </xdr:from>
        <xdr:to>
          <xdr:col>7</xdr:col>
          <xdr:colOff>38100</xdr:colOff>
          <xdr:row>53</xdr:row>
          <xdr:rowOff>31750</xdr:rowOff>
        </xdr:to>
        <xdr:sp macro="" textlink="">
          <xdr:nvSpPr>
            <xdr:cNvPr id="23574" name="cbBreachChannels" hidden="1">
              <a:extLst>
                <a:ext uri="{63B3BB69-23CF-44E3-9099-C40C66FF867C}">
                  <a14:compatExt spid="_x0000_s23574"/>
                </a:ext>
                <a:ext uri="{FF2B5EF4-FFF2-40B4-BE49-F238E27FC236}">
                  <a16:creationId xmlns:a16="http://schemas.microsoft.com/office/drawing/2014/main" xmlns="" id="{00000000-0008-0000-0900-000016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50800</xdr:colOff>
          <xdr:row>54</xdr:row>
          <xdr:rowOff>0</xdr:rowOff>
        </xdr:from>
        <xdr:to>
          <xdr:col>7</xdr:col>
          <xdr:colOff>38100</xdr:colOff>
          <xdr:row>55</xdr:row>
          <xdr:rowOff>31750</xdr:rowOff>
        </xdr:to>
        <xdr:sp macro="" textlink="">
          <xdr:nvSpPr>
            <xdr:cNvPr id="23575" name="cbCracking" hidden="1">
              <a:extLst>
                <a:ext uri="{63B3BB69-23CF-44E3-9099-C40C66FF867C}">
                  <a14:compatExt spid="_x0000_s23575"/>
                </a:ext>
                <a:ext uri="{FF2B5EF4-FFF2-40B4-BE49-F238E27FC236}">
                  <a16:creationId xmlns:a16="http://schemas.microsoft.com/office/drawing/2014/main" xmlns="" id="{00000000-0008-0000-0900-000017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</xdr:row>
          <xdr:rowOff>0</xdr:rowOff>
        </xdr:from>
        <xdr:to>
          <xdr:col>8</xdr:col>
          <xdr:colOff>393700</xdr:colOff>
          <xdr:row>3</xdr:row>
          <xdr:rowOff>50800</xdr:rowOff>
        </xdr:to>
        <xdr:sp macro="" textlink="">
          <xdr:nvSpPr>
            <xdr:cNvPr id="24580" name="cmdSave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xmlns="" id="{00000000-0008-0000-0900-000007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12700</xdr:colOff>
          <xdr:row>2</xdr:row>
          <xdr:rowOff>0</xdr:rowOff>
        </xdr:from>
        <xdr:to>
          <xdr:col>4</xdr:col>
          <xdr:colOff>209550</xdr:colOff>
          <xdr:row>2</xdr:row>
          <xdr:rowOff>222250</xdr:rowOff>
        </xdr:to>
        <xdr:sp macro="" textlink="">
          <xdr:nvSpPr>
            <xdr:cNvPr id="24582" name="cbDPF" hidden="1">
              <a:extLst>
                <a:ext uri="{63B3BB69-23CF-44E3-9099-C40C66FF867C}">
                  <a14:compatExt spid="_x0000_s24582"/>
                </a:ext>
                <a:ext uri="{FF2B5EF4-FFF2-40B4-BE49-F238E27FC236}">
                  <a16:creationId xmlns:a16="http://schemas.microsoft.com/office/drawing/2014/main" xmlns="" id="{00000000-0008-0000-0900-000009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31750</xdr:colOff>
          <xdr:row>6</xdr:row>
          <xdr:rowOff>19050</xdr:rowOff>
        </xdr:from>
        <xdr:to>
          <xdr:col>4</xdr:col>
          <xdr:colOff>234950</xdr:colOff>
          <xdr:row>7</xdr:row>
          <xdr:rowOff>57150</xdr:rowOff>
        </xdr:to>
        <xdr:sp macro="" textlink="">
          <xdr:nvSpPr>
            <xdr:cNvPr id="24583" name="cbECD" hidden="1">
              <a:extLst>
                <a:ext uri="{63B3BB69-23CF-44E3-9099-C40C66FF867C}">
                  <a14:compatExt spid="_x0000_s24583"/>
                </a:ext>
                <a:ext uri="{FF2B5EF4-FFF2-40B4-BE49-F238E27FC236}">
                  <a16:creationId xmlns:a16="http://schemas.microsoft.com/office/drawing/2014/main" xmlns="" id="{00000000-0008-0000-0900-00000F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3.xml"/><Relationship Id="rId13" Type="http://schemas.openxmlformats.org/officeDocument/2006/relationships/image" Target="../media/image15.emf"/><Relationship Id="rId3" Type="http://schemas.openxmlformats.org/officeDocument/2006/relationships/vmlDrawing" Target="../drawings/vmlDrawing2.vml"/><Relationship Id="rId7" Type="http://schemas.openxmlformats.org/officeDocument/2006/relationships/image" Target="../media/image12.emf"/><Relationship Id="rId12" Type="http://schemas.openxmlformats.org/officeDocument/2006/relationships/control" Target="../activeX/activeX15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2.xml"/><Relationship Id="rId11" Type="http://schemas.openxmlformats.org/officeDocument/2006/relationships/image" Target="../media/image14.emf"/><Relationship Id="rId5" Type="http://schemas.openxmlformats.org/officeDocument/2006/relationships/image" Target="../media/image11.emf"/><Relationship Id="rId10" Type="http://schemas.openxmlformats.org/officeDocument/2006/relationships/control" Target="../activeX/activeX14.xml"/><Relationship Id="rId4" Type="http://schemas.openxmlformats.org/officeDocument/2006/relationships/control" Target="../activeX/activeX11.xml"/><Relationship Id="rId9" Type="http://schemas.openxmlformats.org/officeDocument/2006/relationships/image" Target="../media/image13.emf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8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17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7.xml"/><Relationship Id="rId11" Type="http://schemas.openxmlformats.org/officeDocument/2006/relationships/image" Target="../media/image19.emf"/><Relationship Id="rId5" Type="http://schemas.openxmlformats.org/officeDocument/2006/relationships/image" Target="../media/image16.emf"/><Relationship Id="rId10" Type="http://schemas.openxmlformats.org/officeDocument/2006/relationships/control" Target="../activeX/activeX19.xml"/><Relationship Id="rId4" Type="http://schemas.openxmlformats.org/officeDocument/2006/relationships/control" Target="../activeX/activeX16.xml"/><Relationship Id="rId9" Type="http://schemas.openxmlformats.org/officeDocument/2006/relationships/image" Target="../media/image18.emf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2.xml"/><Relationship Id="rId13" Type="http://schemas.openxmlformats.org/officeDocument/2006/relationships/image" Target="../media/image13.emf"/><Relationship Id="rId3" Type="http://schemas.openxmlformats.org/officeDocument/2006/relationships/vmlDrawing" Target="../drawings/vmlDrawing4.vml"/><Relationship Id="rId7" Type="http://schemas.openxmlformats.org/officeDocument/2006/relationships/image" Target="../media/image21.emf"/><Relationship Id="rId12" Type="http://schemas.openxmlformats.org/officeDocument/2006/relationships/control" Target="../activeX/activeX24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1.xml"/><Relationship Id="rId11" Type="http://schemas.openxmlformats.org/officeDocument/2006/relationships/image" Target="../media/image23.emf"/><Relationship Id="rId5" Type="http://schemas.openxmlformats.org/officeDocument/2006/relationships/image" Target="../media/image20.emf"/><Relationship Id="rId10" Type="http://schemas.openxmlformats.org/officeDocument/2006/relationships/control" Target="../activeX/activeX23.xml"/><Relationship Id="rId4" Type="http://schemas.openxmlformats.org/officeDocument/2006/relationships/control" Target="../activeX/activeX20.xml"/><Relationship Id="rId9" Type="http://schemas.openxmlformats.org/officeDocument/2006/relationships/image" Target="../media/image22.emf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7.xml"/><Relationship Id="rId3" Type="http://schemas.openxmlformats.org/officeDocument/2006/relationships/vmlDrawing" Target="../drawings/vmlDrawing5.vml"/><Relationship Id="rId7" Type="http://schemas.openxmlformats.org/officeDocument/2006/relationships/image" Target="../media/image25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26.xml"/><Relationship Id="rId11" Type="http://schemas.openxmlformats.org/officeDocument/2006/relationships/image" Target="../media/image27.emf"/><Relationship Id="rId5" Type="http://schemas.openxmlformats.org/officeDocument/2006/relationships/image" Target="../media/image24.emf"/><Relationship Id="rId10" Type="http://schemas.openxmlformats.org/officeDocument/2006/relationships/control" Target="../activeX/activeX28.xml"/><Relationship Id="rId4" Type="http://schemas.openxmlformats.org/officeDocument/2006/relationships/control" Target="../activeX/activeX25.xml"/><Relationship Id="rId9" Type="http://schemas.openxmlformats.org/officeDocument/2006/relationships/image" Target="../media/image26.emf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1.xml"/><Relationship Id="rId3" Type="http://schemas.openxmlformats.org/officeDocument/2006/relationships/vmlDrawing" Target="../drawings/vmlDrawing6.vml"/><Relationship Id="rId7" Type="http://schemas.openxmlformats.org/officeDocument/2006/relationships/image" Target="../media/image29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30.xml"/><Relationship Id="rId11" Type="http://schemas.openxmlformats.org/officeDocument/2006/relationships/image" Target="../media/image31.emf"/><Relationship Id="rId5" Type="http://schemas.openxmlformats.org/officeDocument/2006/relationships/image" Target="../media/image28.emf"/><Relationship Id="rId10" Type="http://schemas.openxmlformats.org/officeDocument/2006/relationships/control" Target="../activeX/activeX32.xml"/><Relationship Id="rId4" Type="http://schemas.openxmlformats.org/officeDocument/2006/relationships/control" Target="../activeX/activeX29.xml"/><Relationship Id="rId9" Type="http://schemas.openxmlformats.org/officeDocument/2006/relationships/image" Target="../media/image30.emf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image" Target="../media/image33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34.xml"/><Relationship Id="rId5" Type="http://schemas.openxmlformats.org/officeDocument/2006/relationships/image" Target="../media/image32.emf"/><Relationship Id="rId4" Type="http://schemas.openxmlformats.org/officeDocument/2006/relationships/control" Target="../activeX/activeX33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7.xml"/><Relationship Id="rId13" Type="http://schemas.openxmlformats.org/officeDocument/2006/relationships/image" Target="../media/image38.emf"/><Relationship Id="rId3" Type="http://schemas.openxmlformats.org/officeDocument/2006/relationships/vmlDrawing" Target="../drawings/vmlDrawing8.vml"/><Relationship Id="rId7" Type="http://schemas.openxmlformats.org/officeDocument/2006/relationships/image" Target="../media/image35.emf"/><Relationship Id="rId12" Type="http://schemas.openxmlformats.org/officeDocument/2006/relationships/control" Target="../activeX/activeX39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36.xml"/><Relationship Id="rId11" Type="http://schemas.openxmlformats.org/officeDocument/2006/relationships/image" Target="../media/image37.emf"/><Relationship Id="rId5" Type="http://schemas.openxmlformats.org/officeDocument/2006/relationships/image" Target="../media/image34.emf"/><Relationship Id="rId15" Type="http://schemas.openxmlformats.org/officeDocument/2006/relationships/image" Target="../media/image39.emf"/><Relationship Id="rId10" Type="http://schemas.openxmlformats.org/officeDocument/2006/relationships/control" Target="../activeX/activeX38.xml"/><Relationship Id="rId4" Type="http://schemas.openxmlformats.org/officeDocument/2006/relationships/control" Target="../activeX/activeX35.xml"/><Relationship Id="rId9" Type="http://schemas.openxmlformats.org/officeDocument/2006/relationships/image" Target="../media/image36.emf"/><Relationship Id="rId14" Type="http://schemas.openxmlformats.org/officeDocument/2006/relationships/control" Target="../activeX/activeX40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3.xml"/><Relationship Id="rId13" Type="http://schemas.openxmlformats.org/officeDocument/2006/relationships/control" Target="../activeX/activeX48.xml"/><Relationship Id="rId18" Type="http://schemas.openxmlformats.org/officeDocument/2006/relationships/control" Target="../activeX/activeX51.xml"/><Relationship Id="rId26" Type="http://schemas.openxmlformats.org/officeDocument/2006/relationships/control" Target="../activeX/activeX55.xml"/><Relationship Id="rId3" Type="http://schemas.openxmlformats.org/officeDocument/2006/relationships/vmlDrawing" Target="../drawings/vmlDrawing9.vml"/><Relationship Id="rId21" Type="http://schemas.openxmlformats.org/officeDocument/2006/relationships/image" Target="../media/image45.emf"/><Relationship Id="rId7" Type="http://schemas.openxmlformats.org/officeDocument/2006/relationships/image" Target="../media/image41.emf"/><Relationship Id="rId12" Type="http://schemas.openxmlformats.org/officeDocument/2006/relationships/control" Target="../activeX/activeX47.xml"/><Relationship Id="rId17" Type="http://schemas.openxmlformats.org/officeDocument/2006/relationships/image" Target="../media/image43.emf"/><Relationship Id="rId25" Type="http://schemas.openxmlformats.org/officeDocument/2006/relationships/image" Target="../media/image47.emf"/><Relationship Id="rId2" Type="http://schemas.openxmlformats.org/officeDocument/2006/relationships/drawing" Target="../drawings/drawing9.xml"/><Relationship Id="rId16" Type="http://schemas.openxmlformats.org/officeDocument/2006/relationships/control" Target="../activeX/activeX50.xml"/><Relationship Id="rId20" Type="http://schemas.openxmlformats.org/officeDocument/2006/relationships/control" Target="../activeX/activeX52.xml"/><Relationship Id="rId29" Type="http://schemas.openxmlformats.org/officeDocument/2006/relationships/image" Target="../media/image49.emf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42.xml"/><Relationship Id="rId11" Type="http://schemas.openxmlformats.org/officeDocument/2006/relationships/control" Target="../activeX/activeX46.xml"/><Relationship Id="rId24" Type="http://schemas.openxmlformats.org/officeDocument/2006/relationships/control" Target="../activeX/activeX54.xml"/><Relationship Id="rId5" Type="http://schemas.openxmlformats.org/officeDocument/2006/relationships/image" Target="../media/image40.emf"/><Relationship Id="rId15" Type="http://schemas.openxmlformats.org/officeDocument/2006/relationships/image" Target="../media/image42.emf"/><Relationship Id="rId23" Type="http://schemas.openxmlformats.org/officeDocument/2006/relationships/image" Target="../media/image46.emf"/><Relationship Id="rId28" Type="http://schemas.openxmlformats.org/officeDocument/2006/relationships/control" Target="../activeX/activeX56.xml"/><Relationship Id="rId10" Type="http://schemas.openxmlformats.org/officeDocument/2006/relationships/control" Target="../activeX/activeX45.xml"/><Relationship Id="rId19" Type="http://schemas.openxmlformats.org/officeDocument/2006/relationships/image" Target="../media/image44.emf"/><Relationship Id="rId31" Type="http://schemas.openxmlformats.org/officeDocument/2006/relationships/image" Target="../media/image50.emf"/><Relationship Id="rId4" Type="http://schemas.openxmlformats.org/officeDocument/2006/relationships/control" Target="../activeX/activeX41.xml"/><Relationship Id="rId9" Type="http://schemas.openxmlformats.org/officeDocument/2006/relationships/control" Target="../activeX/activeX44.xml"/><Relationship Id="rId14" Type="http://schemas.openxmlformats.org/officeDocument/2006/relationships/control" Target="../activeX/activeX49.xml"/><Relationship Id="rId22" Type="http://schemas.openxmlformats.org/officeDocument/2006/relationships/control" Target="../activeX/activeX53.xml"/><Relationship Id="rId27" Type="http://schemas.openxmlformats.org/officeDocument/2006/relationships/image" Target="../media/image48.emf"/><Relationship Id="rId30" Type="http://schemas.openxmlformats.org/officeDocument/2006/relationships/control" Target="../activeX/activeX57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0.xml"/><Relationship Id="rId13" Type="http://schemas.openxmlformats.org/officeDocument/2006/relationships/image" Target="../media/image55.emf"/><Relationship Id="rId18" Type="http://schemas.openxmlformats.org/officeDocument/2006/relationships/control" Target="../activeX/activeX65.xml"/><Relationship Id="rId26" Type="http://schemas.openxmlformats.org/officeDocument/2006/relationships/control" Target="../activeX/activeX70.xml"/><Relationship Id="rId3" Type="http://schemas.openxmlformats.org/officeDocument/2006/relationships/vmlDrawing" Target="../drawings/vmlDrawing10.vml"/><Relationship Id="rId21" Type="http://schemas.openxmlformats.org/officeDocument/2006/relationships/image" Target="../media/image59.emf"/><Relationship Id="rId7" Type="http://schemas.openxmlformats.org/officeDocument/2006/relationships/image" Target="../media/image52.emf"/><Relationship Id="rId12" Type="http://schemas.openxmlformats.org/officeDocument/2006/relationships/control" Target="../activeX/activeX62.xml"/><Relationship Id="rId17" Type="http://schemas.openxmlformats.org/officeDocument/2006/relationships/image" Target="../media/image57.emf"/><Relationship Id="rId25" Type="http://schemas.openxmlformats.org/officeDocument/2006/relationships/control" Target="../activeX/activeX69.xml"/><Relationship Id="rId2" Type="http://schemas.openxmlformats.org/officeDocument/2006/relationships/drawing" Target="../drawings/drawing10.xml"/><Relationship Id="rId16" Type="http://schemas.openxmlformats.org/officeDocument/2006/relationships/control" Target="../activeX/activeX64.xml"/><Relationship Id="rId20" Type="http://schemas.openxmlformats.org/officeDocument/2006/relationships/control" Target="../activeX/activeX66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59.xml"/><Relationship Id="rId11" Type="http://schemas.openxmlformats.org/officeDocument/2006/relationships/image" Target="../media/image54.emf"/><Relationship Id="rId24" Type="http://schemas.openxmlformats.org/officeDocument/2006/relationships/control" Target="../activeX/activeX68.xml"/><Relationship Id="rId5" Type="http://schemas.openxmlformats.org/officeDocument/2006/relationships/image" Target="../media/image51.emf"/><Relationship Id="rId15" Type="http://schemas.openxmlformats.org/officeDocument/2006/relationships/image" Target="../media/image56.emf"/><Relationship Id="rId23" Type="http://schemas.openxmlformats.org/officeDocument/2006/relationships/image" Target="../media/image60.emf"/><Relationship Id="rId10" Type="http://schemas.openxmlformats.org/officeDocument/2006/relationships/control" Target="../activeX/activeX61.xml"/><Relationship Id="rId19" Type="http://schemas.openxmlformats.org/officeDocument/2006/relationships/image" Target="../media/image58.emf"/><Relationship Id="rId4" Type="http://schemas.openxmlformats.org/officeDocument/2006/relationships/control" Target="../activeX/activeX58.xml"/><Relationship Id="rId9" Type="http://schemas.openxmlformats.org/officeDocument/2006/relationships/image" Target="../media/image53.emf"/><Relationship Id="rId14" Type="http://schemas.openxmlformats.org/officeDocument/2006/relationships/control" Target="../activeX/activeX63.xml"/><Relationship Id="rId22" Type="http://schemas.openxmlformats.org/officeDocument/2006/relationships/control" Target="../activeX/activeX67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3.xml"/><Relationship Id="rId3" Type="http://schemas.openxmlformats.org/officeDocument/2006/relationships/vmlDrawing" Target="../drawings/vmlDrawing11.vml"/><Relationship Id="rId7" Type="http://schemas.openxmlformats.org/officeDocument/2006/relationships/image" Target="../media/image62.emf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72.xml"/><Relationship Id="rId5" Type="http://schemas.openxmlformats.org/officeDocument/2006/relationships/image" Target="../media/image61.emf"/><Relationship Id="rId4" Type="http://schemas.openxmlformats.org/officeDocument/2006/relationships/control" Target="../activeX/activeX71.xml"/><Relationship Id="rId9" Type="http://schemas.openxmlformats.org/officeDocument/2006/relationships/image" Target="../media/image63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"/>
  <sheetViews>
    <sheetView workbookViewId="0">
      <selection activeCell="N6" sqref="N6"/>
    </sheetView>
  </sheetViews>
  <sheetFormatPr defaultRowHeight="14.5" x14ac:dyDescent="0.35"/>
  <sheetData/>
  <dataConsolidate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7179" r:id="rId4" name="cmdQAProcess">
          <controlPr defaultSize="0" autoLine="0" r:id="rId5">
            <anchor moveWithCells="1">
              <from>
                <xdr:col>4</xdr:col>
                <xdr:colOff>590550</xdr:colOff>
                <xdr:row>7</xdr:row>
                <xdr:rowOff>19050</xdr:rowOff>
              </from>
              <to>
                <xdr:col>7</xdr:col>
                <xdr:colOff>76200</xdr:colOff>
                <xdr:row>9</xdr:row>
                <xdr:rowOff>44450</xdr:rowOff>
              </to>
            </anchor>
          </controlPr>
        </control>
      </mc:Choice>
      <mc:Fallback>
        <control shapeId="7179" r:id="rId4" name="cmdQAProcess"/>
      </mc:Fallback>
    </mc:AlternateContent>
    <mc:AlternateContent xmlns:mc="http://schemas.openxmlformats.org/markup-compatibility/2006">
      <mc:Choice Requires="x14">
        <control shapeId="7178" r:id="rId6" name="cmdQuality">
          <controlPr defaultSize="0" autoLine="0" r:id="rId7">
            <anchor moveWithCells="1">
              <from>
                <xdr:col>4</xdr:col>
                <xdr:colOff>590550</xdr:colOff>
                <xdr:row>4</xdr:row>
                <xdr:rowOff>88900</xdr:rowOff>
              </from>
              <to>
                <xdr:col>7</xdr:col>
                <xdr:colOff>76200</xdr:colOff>
                <xdr:row>6</xdr:row>
                <xdr:rowOff>114300</xdr:rowOff>
              </to>
            </anchor>
          </controlPr>
        </control>
      </mc:Choice>
      <mc:Fallback>
        <control shapeId="7178" r:id="rId6" name="cmdQuality"/>
      </mc:Fallback>
    </mc:AlternateContent>
    <mc:AlternateContent xmlns:mc="http://schemas.openxmlformats.org/markup-compatibility/2006">
      <mc:Choice Requires="x14">
        <control shapeId="7177" r:id="rId8" name="cmdContacts">
          <controlPr defaultSize="0" autoLine="0" r:id="rId9">
            <anchor moveWithCells="1">
              <from>
                <xdr:col>0</xdr:col>
                <xdr:colOff>603250</xdr:colOff>
                <xdr:row>1</xdr:row>
                <xdr:rowOff>165100</xdr:rowOff>
              </from>
              <to>
                <xdr:col>3</xdr:col>
                <xdr:colOff>88900</xdr:colOff>
                <xdr:row>4</xdr:row>
                <xdr:rowOff>6350</xdr:rowOff>
              </to>
            </anchor>
          </controlPr>
        </control>
      </mc:Choice>
      <mc:Fallback>
        <control shapeId="7177" r:id="rId8" name="cmdContacts"/>
      </mc:Fallback>
    </mc:AlternateContent>
    <mc:AlternateContent xmlns:mc="http://schemas.openxmlformats.org/markup-compatibility/2006">
      <mc:Choice Requires="x14">
        <control shapeId="7175" r:id="rId10" name="cmdDPF">
          <controlPr defaultSize="0" autoLine="0" r:id="rId11">
            <anchor moveWithCells="1">
              <from>
                <xdr:col>4</xdr:col>
                <xdr:colOff>590550</xdr:colOff>
                <xdr:row>1</xdr:row>
                <xdr:rowOff>146050</xdr:rowOff>
              </from>
              <to>
                <xdr:col>7</xdr:col>
                <xdr:colOff>76200</xdr:colOff>
                <xdr:row>3</xdr:row>
                <xdr:rowOff>171450</xdr:rowOff>
              </to>
            </anchor>
          </controlPr>
        </control>
      </mc:Choice>
      <mc:Fallback>
        <control shapeId="7175" r:id="rId10" name="cmdDPF"/>
      </mc:Fallback>
    </mc:AlternateContent>
    <mc:AlternateContent xmlns:mc="http://schemas.openxmlformats.org/markup-compatibility/2006">
      <mc:Choice Requires="x14">
        <control shapeId="7174" r:id="rId12" name="cmdECD">
          <controlPr defaultSize="0" autoLine="0" r:id="rId13">
            <anchor moveWithCells="1">
              <from>
                <xdr:col>1</xdr:col>
                <xdr:colOff>12700</xdr:colOff>
                <xdr:row>20</xdr:row>
                <xdr:rowOff>165100</xdr:rowOff>
              </from>
              <to>
                <xdr:col>3</xdr:col>
                <xdr:colOff>107950</xdr:colOff>
                <xdr:row>23</xdr:row>
                <xdr:rowOff>6350</xdr:rowOff>
              </to>
            </anchor>
          </controlPr>
        </control>
      </mc:Choice>
      <mc:Fallback>
        <control shapeId="7174" r:id="rId12" name="cmdECD"/>
      </mc:Fallback>
    </mc:AlternateContent>
    <mc:AlternateContent xmlns:mc="http://schemas.openxmlformats.org/markup-compatibility/2006">
      <mc:Choice Requires="x14">
        <control shapeId="7169" r:id="rId14" name="cmdCompany">
          <controlPr defaultSize="0" autoLine="0" r:id="rId15">
            <anchor moveWithCells="1">
              <from>
                <xdr:col>1</xdr:col>
                <xdr:colOff>12700</xdr:colOff>
                <xdr:row>5</xdr:row>
                <xdr:rowOff>12700</xdr:rowOff>
              </from>
              <to>
                <xdr:col>2</xdr:col>
                <xdr:colOff>463550</xdr:colOff>
                <xdr:row>6</xdr:row>
                <xdr:rowOff>146050</xdr:rowOff>
              </to>
            </anchor>
          </controlPr>
        </control>
      </mc:Choice>
      <mc:Fallback>
        <control shapeId="7169" r:id="rId14" name="cmdCompany"/>
      </mc:Fallback>
    </mc:AlternateContent>
    <mc:AlternateContent xmlns:mc="http://schemas.openxmlformats.org/markup-compatibility/2006">
      <mc:Choice Requires="x14">
        <control shapeId="7170" r:id="rId16" name="cmdLocation">
          <controlPr defaultSize="0" autoLine="0" r:id="rId17">
            <anchor moveWithCells="1">
              <from>
                <xdr:col>1</xdr:col>
                <xdr:colOff>12700</xdr:colOff>
                <xdr:row>8</xdr:row>
                <xdr:rowOff>38100</xdr:rowOff>
              </from>
              <to>
                <xdr:col>3</xdr:col>
                <xdr:colOff>107950</xdr:colOff>
                <xdr:row>10</xdr:row>
                <xdr:rowOff>63500</xdr:rowOff>
              </to>
            </anchor>
          </controlPr>
        </control>
      </mc:Choice>
      <mc:Fallback>
        <control shapeId="7170" r:id="rId16" name="cmdLocation"/>
      </mc:Fallback>
    </mc:AlternateContent>
    <mc:AlternateContent xmlns:mc="http://schemas.openxmlformats.org/markup-compatibility/2006">
      <mc:Choice Requires="x14">
        <control shapeId="7171" r:id="rId18" name="cmdVehicle">
          <controlPr defaultSize="0" autoLine="0" r:id="rId19">
            <anchor moveWithCells="1">
              <from>
                <xdr:col>1</xdr:col>
                <xdr:colOff>12700</xdr:colOff>
                <xdr:row>11</xdr:row>
                <xdr:rowOff>69850</xdr:rowOff>
              </from>
              <to>
                <xdr:col>3</xdr:col>
                <xdr:colOff>107950</xdr:colOff>
                <xdr:row>13</xdr:row>
                <xdr:rowOff>95250</xdr:rowOff>
              </to>
            </anchor>
          </controlPr>
        </control>
      </mc:Choice>
      <mc:Fallback>
        <control shapeId="7171" r:id="rId18" name="cmdVehicle"/>
      </mc:Fallback>
    </mc:AlternateContent>
    <mc:AlternateContent xmlns:mc="http://schemas.openxmlformats.org/markup-compatibility/2006">
      <mc:Choice Requires="x14">
        <control shapeId="7172" r:id="rId20" name="cmdEngine">
          <controlPr defaultSize="0" autoLine="0" r:id="rId21">
            <anchor moveWithCells="1">
              <from>
                <xdr:col>1</xdr:col>
                <xdr:colOff>12700</xdr:colOff>
                <xdr:row>14</xdr:row>
                <xdr:rowOff>95250</xdr:rowOff>
              </from>
              <to>
                <xdr:col>3</xdr:col>
                <xdr:colOff>107950</xdr:colOff>
                <xdr:row>16</xdr:row>
                <xdr:rowOff>120650</xdr:rowOff>
              </to>
            </anchor>
          </controlPr>
        </control>
      </mc:Choice>
      <mc:Fallback>
        <control shapeId="7172" r:id="rId20" name="cmdEngine"/>
      </mc:Fallback>
    </mc:AlternateContent>
    <mc:AlternateContent xmlns:mc="http://schemas.openxmlformats.org/markup-compatibility/2006">
      <mc:Choice Requires="x14">
        <control shapeId="7173" r:id="rId22" name="cmdManufacturer">
          <controlPr defaultSize="0" autoLine="0" r:id="rId23">
            <anchor moveWithCells="1">
              <from>
                <xdr:col>1</xdr:col>
                <xdr:colOff>12700</xdr:colOff>
                <xdr:row>17</xdr:row>
                <xdr:rowOff>127000</xdr:rowOff>
              </from>
              <to>
                <xdr:col>3</xdr:col>
                <xdr:colOff>107950</xdr:colOff>
                <xdr:row>19</xdr:row>
                <xdr:rowOff>152400</xdr:rowOff>
              </to>
            </anchor>
          </controlPr>
        </control>
      </mc:Choice>
      <mc:Fallback>
        <control shapeId="7173" r:id="rId22" name="cmdManufacturer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C11"/>
  <sheetViews>
    <sheetView showGridLines="0" workbookViewId="0">
      <selection activeCell="C12" sqref="C12"/>
    </sheetView>
  </sheetViews>
  <sheetFormatPr defaultRowHeight="30" customHeight="1" x14ac:dyDescent="0.35"/>
  <cols>
    <col min="2" max="2" width="30.81640625" style="19" bestFit="1" customWidth="1"/>
    <col min="3" max="3" width="47.54296875" style="18" customWidth="1"/>
    <col min="6" max="6" width="28.1796875" customWidth="1"/>
  </cols>
  <sheetData>
    <row r="1" spans="1:3" ht="30" customHeight="1" x14ac:dyDescent="0.35">
      <c r="A1" s="25"/>
      <c r="C1" s="17"/>
    </row>
    <row r="2" spans="1:3" ht="30" customHeight="1" x14ac:dyDescent="0.35">
      <c r="B2" s="20" t="s">
        <v>91</v>
      </c>
      <c r="C2" s="21"/>
    </row>
    <row r="3" spans="1:3" ht="30" customHeight="1" x14ac:dyDescent="0.35">
      <c r="B3" s="22" t="s">
        <v>92</v>
      </c>
      <c r="C3" s="23">
        <v>13</v>
      </c>
    </row>
    <row r="4" spans="1:3" ht="30" customHeight="1" x14ac:dyDescent="0.35">
      <c r="B4" s="20" t="s">
        <v>93</v>
      </c>
      <c r="C4" s="24" t="s">
        <v>101</v>
      </c>
    </row>
    <row r="5" spans="1:3" ht="30" customHeight="1" x14ac:dyDescent="0.35">
      <c r="B5" s="20" t="s">
        <v>94</v>
      </c>
      <c r="C5" s="24" t="s">
        <v>102</v>
      </c>
    </row>
    <row r="6" spans="1:3" ht="30" customHeight="1" x14ac:dyDescent="0.35">
      <c r="B6" s="20" t="s">
        <v>95</v>
      </c>
      <c r="C6" s="24"/>
    </row>
    <row r="7" spans="1:3" ht="30" customHeight="1" x14ac:dyDescent="0.35">
      <c r="B7" s="20" t="s">
        <v>96</v>
      </c>
      <c r="C7" s="24" t="s">
        <v>103</v>
      </c>
    </row>
    <row r="8" spans="1:3" ht="30" customHeight="1" x14ac:dyDescent="0.35">
      <c r="B8" s="20" t="s">
        <v>97</v>
      </c>
      <c r="C8" s="24"/>
    </row>
    <row r="9" spans="1:3" ht="30" customHeight="1" x14ac:dyDescent="0.35">
      <c r="B9" s="20" t="s">
        <v>98</v>
      </c>
      <c r="C9" s="24" t="s">
        <v>104</v>
      </c>
    </row>
    <row r="10" spans="1:3" ht="30" customHeight="1" x14ac:dyDescent="0.35">
      <c r="B10" s="20" t="s">
        <v>99</v>
      </c>
      <c r="C10" s="24"/>
    </row>
    <row r="11" spans="1:3" ht="30" customHeight="1" x14ac:dyDescent="0.35">
      <c r="B11" s="20" t="s">
        <v>100</v>
      </c>
      <c r="C11" s="24"/>
    </row>
  </sheetData>
  <sheetProtection selectLockedCells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077" r:id="rId4" name="cmdSave">
          <controlPr autoLine="0" r:id="rId5">
            <anchor moveWithCells="1">
              <from>
                <xdr:col>4</xdr:col>
                <xdr:colOff>584200</xdr:colOff>
                <xdr:row>1</xdr:row>
                <xdr:rowOff>31750</xdr:rowOff>
              </from>
              <to>
                <xdr:col>5</xdr:col>
                <xdr:colOff>1365250</xdr:colOff>
                <xdr:row>1</xdr:row>
                <xdr:rowOff>323850</xdr:rowOff>
              </to>
            </anchor>
          </controlPr>
        </control>
      </mc:Choice>
      <mc:Fallback>
        <control shapeId="3077" r:id="rId4" name="cmdSave"/>
      </mc:Fallback>
    </mc:AlternateContent>
    <mc:AlternateContent xmlns:mc="http://schemas.openxmlformats.org/markup-compatibility/2006">
      <mc:Choice Requires="x14">
        <control shapeId="3075" r:id="rId6" name="cbState">
          <controlPr autoLine="0" r:id="rId7">
            <anchor moveWithCells="1">
              <from>
                <xdr:col>2</xdr:col>
                <xdr:colOff>19050</xdr:colOff>
                <xdr:row>7</xdr:row>
                <xdr:rowOff>0</xdr:rowOff>
              </from>
              <to>
                <xdr:col>2</xdr:col>
                <xdr:colOff>1892300</xdr:colOff>
                <xdr:row>7</xdr:row>
                <xdr:rowOff>222250</xdr:rowOff>
              </to>
            </anchor>
          </controlPr>
        </control>
      </mc:Choice>
      <mc:Fallback>
        <control shapeId="3075" r:id="rId6" name="cbState"/>
      </mc:Fallback>
    </mc:AlternateContent>
    <mc:AlternateContent xmlns:mc="http://schemas.openxmlformats.org/markup-compatibility/2006">
      <mc:Choice Requires="x14">
        <control shapeId="3074" r:id="rId8" name="chkActive">
          <controlPr autoLine="0" autoPict="0" r:id="rId9">
            <anchor moveWithCells="1">
              <from>
                <xdr:col>2</xdr:col>
                <xdr:colOff>260350</xdr:colOff>
                <xdr:row>9</xdr:row>
                <xdr:rowOff>95250</xdr:rowOff>
              </from>
              <to>
                <xdr:col>2</xdr:col>
                <xdr:colOff>679450</xdr:colOff>
                <xdr:row>9</xdr:row>
                <xdr:rowOff>298450</xdr:rowOff>
              </to>
            </anchor>
          </controlPr>
        </control>
      </mc:Choice>
      <mc:Fallback>
        <control shapeId="3074" r:id="rId8" name="chkActive"/>
      </mc:Fallback>
    </mc:AlternateContent>
    <mc:AlternateContent xmlns:mc="http://schemas.openxmlformats.org/markup-compatibility/2006">
      <mc:Choice Requires="x14">
        <control shapeId="3073" r:id="rId10" name="cbCompany">
          <controlPr autoLine="0" r:id="rId11">
            <anchor moveWithCells="1">
              <from>
                <xdr:col>2</xdr:col>
                <xdr:colOff>19050</xdr:colOff>
                <xdr:row>1</xdr:row>
                <xdr:rowOff>374650</xdr:rowOff>
              </from>
              <to>
                <xdr:col>2</xdr:col>
                <xdr:colOff>1701800</xdr:colOff>
                <xdr:row>2</xdr:row>
                <xdr:rowOff>196850</xdr:rowOff>
              </to>
            </anchor>
          </controlPr>
        </control>
      </mc:Choice>
      <mc:Fallback>
        <control shapeId="3073" r:id="rId10" name="cbCompany"/>
      </mc:Fallback>
    </mc:AlternateContent>
    <mc:AlternateContent xmlns:mc="http://schemas.openxmlformats.org/markup-compatibility/2006">
      <mc:Choice Requires="x14">
        <control shapeId="3078" r:id="rId12" name="cbCompContact">
          <controlPr autoLine="0" r:id="rId13">
            <anchor moveWithCells="1">
              <from>
                <xdr:col>2</xdr:col>
                <xdr:colOff>31750</xdr:colOff>
                <xdr:row>10</xdr:row>
                <xdr:rowOff>19050</xdr:rowOff>
              </from>
              <to>
                <xdr:col>2</xdr:col>
                <xdr:colOff>2921000</xdr:colOff>
                <xdr:row>10</xdr:row>
                <xdr:rowOff>298450</xdr:rowOff>
              </to>
            </anchor>
          </controlPr>
        </control>
      </mc:Choice>
      <mc:Fallback>
        <control shapeId="3078" r:id="rId12" name="cbCompContact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B12"/>
  <sheetViews>
    <sheetView showGridLines="0" workbookViewId="0">
      <selection activeCell="B4" sqref="B4"/>
    </sheetView>
  </sheetViews>
  <sheetFormatPr defaultRowHeight="30" customHeight="1" x14ac:dyDescent="0.35"/>
  <cols>
    <col min="1" max="1" width="30.81640625" bestFit="1" customWidth="1"/>
    <col min="2" max="2" width="45.54296875" style="18" customWidth="1"/>
  </cols>
  <sheetData>
    <row r="1" spans="1:2" ht="30" customHeight="1" x14ac:dyDescent="0.35">
      <c r="B1" s="17"/>
    </row>
    <row r="2" spans="1:2" ht="30" customHeight="1" x14ac:dyDescent="0.35">
      <c r="A2" s="5" t="s">
        <v>78</v>
      </c>
      <c r="B2" s="21"/>
    </row>
    <row r="3" spans="1:2" ht="30" customHeight="1" x14ac:dyDescent="0.35">
      <c r="A3" s="5" t="s">
        <v>70</v>
      </c>
      <c r="B3" s="26">
        <v>28</v>
      </c>
    </row>
    <row r="4" spans="1:2" ht="30" customHeight="1" x14ac:dyDescent="0.35">
      <c r="A4" s="5" t="s">
        <v>72</v>
      </c>
      <c r="B4" s="23">
        <v>11</v>
      </c>
    </row>
    <row r="5" spans="1:2" ht="30" customHeight="1" x14ac:dyDescent="0.35">
      <c r="A5" s="7" t="s">
        <v>71</v>
      </c>
      <c r="B5" s="24" t="s">
        <v>147</v>
      </c>
    </row>
    <row r="6" spans="1:2" ht="30" customHeight="1" x14ac:dyDescent="0.35">
      <c r="A6" s="7" t="s">
        <v>6</v>
      </c>
      <c r="B6" s="24" t="s">
        <v>147</v>
      </c>
    </row>
    <row r="7" spans="1:2" ht="30" customHeight="1" x14ac:dyDescent="0.35">
      <c r="A7" s="7" t="s">
        <v>69</v>
      </c>
      <c r="B7" s="24"/>
    </row>
    <row r="8" spans="1:2" ht="30" customHeight="1" x14ac:dyDescent="0.35">
      <c r="A8" s="7" t="s">
        <v>7</v>
      </c>
      <c r="B8" s="24" t="s">
        <v>148</v>
      </c>
    </row>
    <row r="9" spans="1:2" ht="30" customHeight="1" x14ac:dyDescent="0.35">
      <c r="A9" s="7" t="s">
        <v>8</v>
      </c>
      <c r="B9" s="24"/>
    </row>
    <row r="10" spans="1:2" ht="30" customHeight="1" x14ac:dyDescent="0.35">
      <c r="A10" s="7" t="s">
        <v>9</v>
      </c>
      <c r="B10" s="24" t="s">
        <v>149</v>
      </c>
    </row>
    <row r="11" spans="1:2" ht="30" customHeight="1" x14ac:dyDescent="0.35">
      <c r="A11" s="7"/>
      <c r="B11" s="17"/>
    </row>
    <row r="12" spans="1:2" ht="30" customHeight="1" x14ac:dyDescent="0.35">
      <c r="A12" s="7"/>
      <c r="B12" s="17"/>
    </row>
  </sheetData>
  <sheetProtection sheet="1" selectLockedCells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6149" r:id="rId4" name="cbCompLocation">
          <controlPr autoLine="0" r:id="rId5">
            <anchor moveWithCells="1">
              <from>
                <xdr:col>1</xdr:col>
                <xdr:colOff>12700</xdr:colOff>
                <xdr:row>2</xdr:row>
                <xdr:rowOff>57150</xdr:rowOff>
              </from>
              <to>
                <xdr:col>1</xdr:col>
                <xdr:colOff>3086100</xdr:colOff>
                <xdr:row>2</xdr:row>
                <xdr:rowOff>368300</xdr:rowOff>
              </to>
            </anchor>
          </controlPr>
        </control>
      </mc:Choice>
      <mc:Fallback>
        <control shapeId="6149" r:id="rId4" name="cbCompLocation"/>
      </mc:Fallback>
    </mc:AlternateContent>
    <mc:AlternateContent xmlns:mc="http://schemas.openxmlformats.org/markup-compatibility/2006">
      <mc:Choice Requires="x14">
        <control shapeId="6148" r:id="rId6" name="cmdSave">
          <controlPr autoLine="0" r:id="rId7">
            <anchor moveWithCells="1">
              <from>
                <xdr:col>3</xdr:col>
                <xdr:colOff>584200</xdr:colOff>
                <xdr:row>1</xdr:row>
                <xdr:rowOff>31750</xdr:rowOff>
              </from>
              <to>
                <xdr:col>6</xdr:col>
                <xdr:colOff>146050</xdr:colOff>
                <xdr:row>1</xdr:row>
                <xdr:rowOff>323850</xdr:rowOff>
              </to>
            </anchor>
          </controlPr>
        </control>
      </mc:Choice>
      <mc:Fallback>
        <control shapeId="6148" r:id="rId6" name="cmdSave"/>
      </mc:Fallback>
    </mc:AlternateContent>
    <mc:AlternateContent xmlns:mc="http://schemas.openxmlformats.org/markup-compatibility/2006">
      <mc:Choice Requires="x14">
        <control shapeId="6147" r:id="rId8" name="cbState">
          <controlPr autoLine="0" r:id="rId9">
            <anchor moveWithCells="1">
              <from>
                <xdr:col>1</xdr:col>
                <xdr:colOff>12700</xdr:colOff>
                <xdr:row>8</xdr:row>
                <xdr:rowOff>31750</xdr:rowOff>
              </from>
              <to>
                <xdr:col>1</xdr:col>
                <xdr:colOff>3086100</xdr:colOff>
                <xdr:row>9</xdr:row>
                <xdr:rowOff>12700</xdr:rowOff>
              </to>
            </anchor>
          </controlPr>
        </control>
      </mc:Choice>
      <mc:Fallback>
        <control shapeId="6147" r:id="rId8" name="cbState"/>
      </mc:Fallback>
    </mc:AlternateContent>
    <mc:AlternateContent xmlns:mc="http://schemas.openxmlformats.org/markup-compatibility/2006">
      <mc:Choice Requires="x14">
        <control shapeId="6145" r:id="rId10" name="cbCompany">
          <controlPr autoLine="0" r:id="rId11">
            <anchor moveWithCells="1">
              <from>
                <xdr:col>1</xdr:col>
                <xdr:colOff>12700</xdr:colOff>
                <xdr:row>1</xdr:row>
                <xdr:rowOff>31750</xdr:rowOff>
              </from>
              <to>
                <xdr:col>1</xdr:col>
                <xdr:colOff>3086100</xdr:colOff>
                <xdr:row>2</xdr:row>
                <xdr:rowOff>12700</xdr:rowOff>
              </to>
            </anchor>
          </controlPr>
        </control>
      </mc:Choice>
      <mc:Fallback>
        <control shapeId="6145" r:id="rId10" name="cbCompany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H14"/>
  <sheetViews>
    <sheetView showGridLines="0" workbookViewId="0">
      <selection activeCell="E3" sqref="E3"/>
    </sheetView>
  </sheetViews>
  <sheetFormatPr defaultRowHeight="30" customHeight="1" x14ac:dyDescent="0.35"/>
  <cols>
    <col min="1" max="1" width="30.81640625" bestFit="1" customWidth="1"/>
    <col min="2" max="2" width="46" style="18" customWidth="1"/>
    <col min="5" max="5" width="35.54296875" customWidth="1"/>
  </cols>
  <sheetData>
    <row r="1" spans="1:8" ht="30" customHeight="1" x14ac:dyDescent="0.35">
      <c r="A1" s="30"/>
      <c r="B1" s="17"/>
    </row>
    <row r="2" spans="1:8" ht="30" customHeight="1" x14ac:dyDescent="0.35">
      <c r="A2" s="5" t="s">
        <v>78</v>
      </c>
      <c r="B2" s="21"/>
    </row>
    <row r="3" spans="1:8" ht="30" customHeight="1" x14ac:dyDescent="0.35">
      <c r="A3" s="5" t="s">
        <v>89</v>
      </c>
      <c r="B3" s="26">
        <v>28</v>
      </c>
      <c r="E3" s="32" t="s">
        <v>146</v>
      </c>
      <c r="F3" s="31"/>
      <c r="G3" s="31"/>
      <c r="H3" s="31"/>
    </row>
    <row r="4" spans="1:8" ht="30" customHeight="1" x14ac:dyDescent="0.35">
      <c r="A4" s="5" t="s">
        <v>90</v>
      </c>
      <c r="B4" s="23">
        <v>65</v>
      </c>
    </row>
    <row r="5" spans="1:8" ht="30" customHeight="1" x14ac:dyDescent="0.35">
      <c r="A5" s="7" t="s">
        <v>11</v>
      </c>
      <c r="B5" s="24" t="s">
        <v>139</v>
      </c>
    </row>
    <row r="6" spans="1:8" ht="30" customHeight="1" x14ac:dyDescent="0.35">
      <c r="A6" s="7" t="s">
        <v>12</v>
      </c>
      <c r="B6" s="24" t="s">
        <v>140</v>
      </c>
    </row>
    <row r="7" spans="1:8" ht="30" customHeight="1" x14ac:dyDescent="0.35">
      <c r="A7" s="7" t="s">
        <v>6</v>
      </c>
      <c r="B7" s="24" t="s">
        <v>141</v>
      </c>
    </row>
    <row r="8" spans="1:8" ht="30" customHeight="1" x14ac:dyDescent="0.35">
      <c r="A8" s="7" t="s">
        <v>69</v>
      </c>
      <c r="B8" s="24"/>
    </row>
    <row r="9" spans="1:8" ht="30" customHeight="1" x14ac:dyDescent="0.35">
      <c r="A9" s="7" t="s">
        <v>7</v>
      </c>
      <c r="B9" s="24" t="s">
        <v>142</v>
      </c>
    </row>
    <row r="10" spans="1:8" ht="30" customHeight="1" x14ac:dyDescent="0.35">
      <c r="A10" s="7" t="s">
        <v>8</v>
      </c>
      <c r="B10" s="24"/>
    </row>
    <row r="11" spans="1:8" ht="30" customHeight="1" x14ac:dyDescent="0.35">
      <c r="A11" s="7" t="s">
        <v>9</v>
      </c>
      <c r="B11" s="24" t="s">
        <v>143</v>
      </c>
    </row>
    <row r="12" spans="1:8" ht="30" customHeight="1" x14ac:dyDescent="0.35">
      <c r="A12" s="7" t="s">
        <v>87</v>
      </c>
      <c r="B12" s="29" t="s">
        <v>144</v>
      </c>
    </row>
    <row r="13" spans="1:8" ht="30" customHeight="1" x14ac:dyDescent="0.35">
      <c r="A13" s="7" t="s">
        <v>88</v>
      </c>
      <c r="B13" s="24" t="s">
        <v>145</v>
      </c>
    </row>
    <row r="14" spans="1:8" ht="30" customHeight="1" x14ac:dyDescent="0.35">
      <c r="A14" s="7" t="s">
        <v>68</v>
      </c>
      <c r="B14" s="24"/>
    </row>
  </sheetData>
  <sheetProtection sheet="1" objects="1" scenarios="1" selectLockedCells="1"/>
  <dataConsolidate/>
  <dataValidations count="1">
    <dataValidation type="textLength" errorStyle="information" operator="equal" allowBlank="1" showErrorMessage="1" errorTitle="Locked " error="Locked cell" sqref="E3">
      <formula1>0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6385" r:id="rId4" name="cbCompany">
          <controlPr autoLine="0" r:id="rId5">
            <anchor moveWithCells="1">
              <from>
                <xdr:col>1</xdr:col>
                <xdr:colOff>12700</xdr:colOff>
                <xdr:row>1</xdr:row>
                <xdr:rowOff>31750</xdr:rowOff>
              </from>
              <to>
                <xdr:col>1</xdr:col>
                <xdr:colOff>3086100</xdr:colOff>
                <xdr:row>2</xdr:row>
                <xdr:rowOff>12700</xdr:rowOff>
              </to>
            </anchor>
          </controlPr>
        </control>
      </mc:Choice>
      <mc:Fallback>
        <control shapeId="16385" r:id="rId4" name="cbCompany"/>
      </mc:Fallback>
    </mc:AlternateContent>
    <mc:AlternateContent xmlns:mc="http://schemas.openxmlformats.org/markup-compatibility/2006">
      <mc:Choice Requires="x14">
        <control shapeId="16386" r:id="rId6" name="cbState">
          <controlPr autoLine="0" r:id="rId7">
            <anchor moveWithCells="1">
              <from>
                <xdr:col>1</xdr:col>
                <xdr:colOff>12700</xdr:colOff>
                <xdr:row>9</xdr:row>
                <xdr:rowOff>31750</xdr:rowOff>
              </from>
              <to>
                <xdr:col>1</xdr:col>
                <xdr:colOff>3086100</xdr:colOff>
                <xdr:row>10</xdr:row>
                <xdr:rowOff>12700</xdr:rowOff>
              </to>
            </anchor>
          </controlPr>
        </control>
      </mc:Choice>
      <mc:Fallback>
        <control shapeId="16386" r:id="rId6" name="cbState"/>
      </mc:Fallback>
    </mc:AlternateContent>
    <mc:AlternateContent xmlns:mc="http://schemas.openxmlformats.org/markup-compatibility/2006">
      <mc:Choice Requires="x14">
        <control shapeId="16387" r:id="rId8" name="cmdSave">
          <controlPr autoLine="0" r:id="rId9">
            <anchor moveWithCells="1">
              <from>
                <xdr:col>4</xdr:col>
                <xdr:colOff>190500</xdr:colOff>
                <xdr:row>1</xdr:row>
                <xdr:rowOff>31750</xdr:rowOff>
              </from>
              <to>
                <xdr:col>4</xdr:col>
                <xdr:colOff>1581150</xdr:colOff>
                <xdr:row>1</xdr:row>
                <xdr:rowOff>323850</xdr:rowOff>
              </to>
            </anchor>
          </controlPr>
        </control>
      </mc:Choice>
      <mc:Fallback>
        <control shapeId="16387" r:id="rId8" name="cmdSave"/>
      </mc:Fallback>
    </mc:AlternateContent>
    <mc:AlternateContent xmlns:mc="http://schemas.openxmlformats.org/markup-compatibility/2006">
      <mc:Choice Requires="x14">
        <control shapeId="16388" r:id="rId10" name="cbContacts">
          <controlPr autoLine="0" r:id="rId11">
            <anchor moveWithCells="1">
              <from>
                <xdr:col>1</xdr:col>
                <xdr:colOff>12700</xdr:colOff>
                <xdr:row>2</xdr:row>
                <xdr:rowOff>57150</xdr:rowOff>
              </from>
              <to>
                <xdr:col>1</xdr:col>
                <xdr:colOff>3086100</xdr:colOff>
                <xdr:row>2</xdr:row>
                <xdr:rowOff>368300</xdr:rowOff>
              </to>
            </anchor>
          </controlPr>
        </control>
      </mc:Choice>
      <mc:Fallback>
        <control shapeId="16388" r:id="rId10" name="cbContacts"/>
      </mc:Fallback>
    </mc:AlternateContent>
    <mc:AlternateContent xmlns:mc="http://schemas.openxmlformats.org/markup-compatibility/2006">
      <mc:Choice Requires="x14">
        <control shapeId="16389" r:id="rId12" name="chkActive">
          <controlPr autoLine="0" r:id="rId13">
            <anchor moveWithCells="1">
              <from>
                <xdr:col>1</xdr:col>
                <xdr:colOff>260350</xdr:colOff>
                <xdr:row>13</xdr:row>
                <xdr:rowOff>95250</xdr:rowOff>
              </from>
              <to>
                <xdr:col>1</xdr:col>
                <xdr:colOff>685800</xdr:colOff>
                <xdr:row>13</xdr:row>
                <xdr:rowOff>292100</xdr:rowOff>
              </to>
            </anchor>
          </controlPr>
        </control>
      </mc:Choice>
      <mc:Fallback>
        <control shapeId="16389" r:id="rId12" name="chkActive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B12"/>
  <sheetViews>
    <sheetView showGridLines="0" workbookViewId="0">
      <selection activeCell="B9" sqref="B9"/>
    </sheetView>
  </sheetViews>
  <sheetFormatPr defaultRowHeight="30" customHeight="1" x14ac:dyDescent="0.35"/>
  <cols>
    <col min="1" max="1" width="30.81640625" bestFit="1" customWidth="1"/>
    <col min="2" max="2" width="46" style="18" customWidth="1"/>
  </cols>
  <sheetData>
    <row r="1" spans="1:2" ht="30" customHeight="1" x14ac:dyDescent="0.35">
      <c r="B1" s="17"/>
    </row>
    <row r="2" spans="1:2" ht="30" customHeight="1" x14ac:dyDescent="0.35">
      <c r="A2" s="7" t="s">
        <v>78</v>
      </c>
      <c r="B2" s="21"/>
    </row>
    <row r="3" spans="1:2" ht="30" customHeight="1" x14ac:dyDescent="0.35">
      <c r="A3" s="7" t="s">
        <v>73</v>
      </c>
      <c r="B3" s="26">
        <v>28</v>
      </c>
    </row>
    <row r="4" spans="1:2" ht="30" customHeight="1" x14ac:dyDescent="0.35">
      <c r="A4" s="9" t="s">
        <v>25</v>
      </c>
      <c r="B4" s="23" t="s">
        <v>150</v>
      </c>
    </row>
    <row r="5" spans="1:2" ht="30" customHeight="1" x14ac:dyDescent="0.35">
      <c r="A5" s="7" t="s">
        <v>42</v>
      </c>
      <c r="B5" s="24"/>
    </row>
    <row r="6" spans="1:2" ht="30" customHeight="1" x14ac:dyDescent="0.35">
      <c r="A6" s="7" t="s">
        <v>74</v>
      </c>
      <c r="B6" s="24" t="s">
        <v>151</v>
      </c>
    </row>
    <row r="7" spans="1:2" ht="30" customHeight="1" x14ac:dyDescent="0.35">
      <c r="A7" s="7" t="s">
        <v>75</v>
      </c>
      <c r="B7" s="24" t="s">
        <v>152</v>
      </c>
    </row>
    <row r="8" spans="1:2" ht="30" customHeight="1" x14ac:dyDescent="0.35">
      <c r="A8" s="7" t="s">
        <v>28</v>
      </c>
      <c r="B8" s="24" t="s">
        <v>153</v>
      </c>
    </row>
    <row r="9" spans="1:2" ht="30" customHeight="1" x14ac:dyDescent="0.35">
      <c r="A9" s="7" t="s">
        <v>29</v>
      </c>
      <c r="B9" s="24">
        <v>2019</v>
      </c>
    </row>
    <row r="10" spans="1:2" ht="30" customHeight="1" x14ac:dyDescent="0.35">
      <c r="A10" s="7"/>
      <c r="B10" s="17"/>
    </row>
    <row r="11" spans="1:2" ht="30" customHeight="1" x14ac:dyDescent="0.35">
      <c r="A11" s="7"/>
      <c r="B11" s="17"/>
    </row>
    <row r="12" spans="1:2" ht="30" customHeight="1" x14ac:dyDescent="0.35">
      <c r="A12" s="7"/>
      <c r="B12" s="17"/>
    </row>
  </sheetData>
  <sheetProtection selectLockedCells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1268" r:id="rId4" name="cbVehicle">
          <controlPr autoLine="0" r:id="rId5">
            <anchor moveWithCells="1">
              <from>
                <xdr:col>1</xdr:col>
                <xdr:colOff>12700</xdr:colOff>
                <xdr:row>2</xdr:row>
                <xdr:rowOff>57150</xdr:rowOff>
              </from>
              <to>
                <xdr:col>1</xdr:col>
                <xdr:colOff>3086100</xdr:colOff>
                <xdr:row>2</xdr:row>
                <xdr:rowOff>368300</xdr:rowOff>
              </to>
            </anchor>
          </controlPr>
        </control>
      </mc:Choice>
      <mc:Fallback>
        <control shapeId="11268" r:id="rId4" name="cbVehicle"/>
      </mc:Fallback>
    </mc:AlternateContent>
    <mc:AlternateContent xmlns:mc="http://schemas.openxmlformats.org/markup-compatibility/2006">
      <mc:Choice Requires="x14">
        <control shapeId="11267" r:id="rId6" name="cmdSave">
          <controlPr autoLine="0" r:id="rId7">
            <anchor moveWithCells="1">
              <from>
                <xdr:col>3</xdr:col>
                <xdr:colOff>584200</xdr:colOff>
                <xdr:row>1</xdr:row>
                <xdr:rowOff>31750</xdr:rowOff>
              </from>
              <to>
                <xdr:col>6</xdr:col>
                <xdr:colOff>146050</xdr:colOff>
                <xdr:row>1</xdr:row>
                <xdr:rowOff>323850</xdr:rowOff>
              </to>
            </anchor>
          </controlPr>
        </control>
      </mc:Choice>
      <mc:Fallback>
        <control shapeId="11267" r:id="rId6" name="cmdSave"/>
      </mc:Fallback>
    </mc:AlternateContent>
    <mc:AlternateContent xmlns:mc="http://schemas.openxmlformats.org/markup-compatibility/2006">
      <mc:Choice Requires="x14">
        <control shapeId="11266" r:id="rId8" name="cbManufacturer">
          <controlPr autoLine="0" r:id="rId9">
            <anchor moveWithCells="1">
              <from>
                <xdr:col>1</xdr:col>
                <xdr:colOff>12700</xdr:colOff>
                <xdr:row>4</xdr:row>
                <xdr:rowOff>19050</xdr:rowOff>
              </from>
              <to>
                <xdr:col>1</xdr:col>
                <xdr:colOff>3086100</xdr:colOff>
                <xdr:row>5</xdr:row>
                <xdr:rowOff>0</xdr:rowOff>
              </to>
            </anchor>
          </controlPr>
        </control>
      </mc:Choice>
      <mc:Fallback>
        <control shapeId="11266" r:id="rId8" name="cbManufacturer"/>
      </mc:Fallback>
    </mc:AlternateContent>
    <mc:AlternateContent xmlns:mc="http://schemas.openxmlformats.org/markup-compatibility/2006">
      <mc:Choice Requires="x14">
        <control shapeId="11265" r:id="rId10" name="cbCompany">
          <controlPr autoLine="0" r:id="rId11">
            <anchor moveWithCells="1">
              <from>
                <xdr:col>1</xdr:col>
                <xdr:colOff>12700</xdr:colOff>
                <xdr:row>1</xdr:row>
                <xdr:rowOff>31750</xdr:rowOff>
              </from>
              <to>
                <xdr:col>1</xdr:col>
                <xdr:colOff>3086100</xdr:colOff>
                <xdr:row>2</xdr:row>
                <xdr:rowOff>12700</xdr:rowOff>
              </to>
            </anchor>
          </controlPr>
        </control>
      </mc:Choice>
      <mc:Fallback>
        <control shapeId="11265" r:id="rId10" name="cbCompany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B11"/>
  <sheetViews>
    <sheetView showFormulas="1" showGridLines="0" workbookViewId="0">
      <selection activeCell="B4" sqref="B4"/>
    </sheetView>
  </sheetViews>
  <sheetFormatPr defaultRowHeight="30" customHeight="1" x14ac:dyDescent="0.35"/>
  <cols>
    <col min="1" max="1" width="13.26953125" customWidth="1"/>
    <col min="2" max="2" width="23.1796875" style="18" customWidth="1"/>
  </cols>
  <sheetData>
    <row r="1" spans="1:2" ht="30" customHeight="1" x14ac:dyDescent="0.35">
      <c r="A1" t="s">
        <v>154</v>
      </c>
      <c r="B1" s="17"/>
    </row>
    <row r="2" spans="1:2" ht="30" customHeight="1" x14ac:dyDescent="0.35">
      <c r="A2" s="5" t="s">
        <v>78</v>
      </c>
      <c r="B2" s="21"/>
    </row>
    <row r="3" spans="1:2" ht="30" customHeight="1" x14ac:dyDescent="0.35">
      <c r="A3" s="5" t="s">
        <v>79</v>
      </c>
      <c r="B3" s="26">
        <v>28</v>
      </c>
    </row>
    <row r="4" spans="1:2" ht="30" customHeight="1" x14ac:dyDescent="0.35">
      <c r="A4" s="9" t="s">
        <v>80</v>
      </c>
      <c r="B4" s="23">
        <v>5</v>
      </c>
    </row>
    <row r="5" spans="1:2" ht="30" customHeight="1" x14ac:dyDescent="0.35">
      <c r="A5" s="7" t="s">
        <v>42</v>
      </c>
      <c r="B5" s="24"/>
    </row>
    <row r="6" spans="1:2" ht="30" customHeight="1" x14ac:dyDescent="0.35">
      <c r="A6" s="7" t="s">
        <v>74</v>
      </c>
      <c r="B6" s="24" t="s">
        <v>155</v>
      </c>
    </row>
    <row r="7" spans="1:2" ht="30" customHeight="1" x14ac:dyDescent="0.35">
      <c r="A7" s="7" t="s">
        <v>28</v>
      </c>
      <c r="B7" s="24" t="s">
        <v>156</v>
      </c>
    </row>
    <row r="8" spans="1:2" ht="30" customHeight="1" x14ac:dyDescent="0.35">
      <c r="A8" s="7" t="s">
        <v>29</v>
      </c>
      <c r="B8" s="28">
        <v>2019</v>
      </c>
    </row>
    <row r="9" spans="1:2" ht="30" customHeight="1" x14ac:dyDescent="0.35">
      <c r="A9" s="7"/>
      <c r="B9" s="17"/>
    </row>
    <row r="10" spans="1:2" ht="30" customHeight="1" x14ac:dyDescent="0.35">
      <c r="A10" s="7"/>
      <c r="B10" s="17"/>
    </row>
    <row r="11" spans="1:2" ht="30" customHeight="1" x14ac:dyDescent="0.35">
      <c r="A11" s="7"/>
      <c r="B11" s="17"/>
    </row>
  </sheetData>
  <sheetProtection selectLockedCells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3313" r:id="rId4" name="cbCompany">
          <controlPr autoLine="0" r:id="rId5">
            <anchor moveWithCells="1">
              <from>
                <xdr:col>1</xdr:col>
                <xdr:colOff>12700</xdr:colOff>
                <xdr:row>1</xdr:row>
                <xdr:rowOff>31750</xdr:rowOff>
              </from>
              <to>
                <xdr:col>1</xdr:col>
                <xdr:colOff>1549400</xdr:colOff>
                <xdr:row>2</xdr:row>
                <xdr:rowOff>12700</xdr:rowOff>
              </to>
            </anchor>
          </controlPr>
        </control>
      </mc:Choice>
      <mc:Fallback>
        <control shapeId="13313" r:id="rId4" name="cbCompany"/>
      </mc:Fallback>
    </mc:AlternateContent>
    <mc:AlternateContent xmlns:mc="http://schemas.openxmlformats.org/markup-compatibility/2006">
      <mc:Choice Requires="x14">
        <control shapeId="13314" r:id="rId6" name="cbManufacturer">
          <controlPr autoLine="0" r:id="rId7">
            <anchor moveWithCells="1">
              <from>
                <xdr:col>1</xdr:col>
                <xdr:colOff>12700</xdr:colOff>
                <xdr:row>4</xdr:row>
                <xdr:rowOff>19050</xdr:rowOff>
              </from>
              <to>
                <xdr:col>1</xdr:col>
                <xdr:colOff>1549400</xdr:colOff>
                <xdr:row>5</xdr:row>
                <xdr:rowOff>0</xdr:rowOff>
              </to>
            </anchor>
          </controlPr>
        </control>
      </mc:Choice>
      <mc:Fallback>
        <control shapeId="13314" r:id="rId6" name="cbManufacturer"/>
      </mc:Fallback>
    </mc:AlternateContent>
    <mc:AlternateContent xmlns:mc="http://schemas.openxmlformats.org/markup-compatibility/2006">
      <mc:Choice Requires="x14">
        <control shapeId="13315" r:id="rId8" name="cmdSave">
          <controlPr autoLine="0" r:id="rId9">
            <anchor moveWithCells="1">
              <from>
                <xdr:col>3</xdr:col>
                <xdr:colOff>584200</xdr:colOff>
                <xdr:row>1</xdr:row>
                <xdr:rowOff>31750</xdr:rowOff>
              </from>
              <to>
                <xdr:col>5</xdr:col>
                <xdr:colOff>57150</xdr:colOff>
                <xdr:row>1</xdr:row>
                <xdr:rowOff>323850</xdr:rowOff>
              </to>
            </anchor>
          </controlPr>
        </control>
      </mc:Choice>
      <mc:Fallback>
        <control shapeId="13315" r:id="rId8" name="cmdSave"/>
      </mc:Fallback>
    </mc:AlternateContent>
    <mc:AlternateContent xmlns:mc="http://schemas.openxmlformats.org/markup-compatibility/2006">
      <mc:Choice Requires="x14">
        <control shapeId="13316" r:id="rId10" name="cbEngine">
          <controlPr autoLine="0" r:id="rId11">
            <anchor moveWithCells="1">
              <from>
                <xdr:col>1</xdr:col>
                <xdr:colOff>12700</xdr:colOff>
                <xdr:row>2</xdr:row>
                <xdr:rowOff>57150</xdr:rowOff>
              </from>
              <to>
                <xdr:col>1</xdr:col>
                <xdr:colOff>1549400</xdr:colOff>
                <xdr:row>2</xdr:row>
                <xdr:rowOff>368300</xdr:rowOff>
              </to>
            </anchor>
          </controlPr>
        </control>
      </mc:Choice>
      <mc:Fallback>
        <control shapeId="13316" r:id="rId10" name="cbEngine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B10"/>
  <sheetViews>
    <sheetView showGridLines="0" workbookViewId="0">
      <selection activeCell="B3" sqref="B3"/>
    </sheetView>
  </sheetViews>
  <sheetFormatPr defaultRowHeight="30" customHeight="1" x14ac:dyDescent="0.35"/>
  <cols>
    <col min="1" max="1" width="30.81640625" bestFit="1" customWidth="1"/>
    <col min="2" max="2" width="47" style="18" customWidth="1"/>
  </cols>
  <sheetData>
    <row r="1" spans="1:2" ht="30" customHeight="1" x14ac:dyDescent="0.35">
      <c r="B1" s="17"/>
    </row>
    <row r="2" spans="1:2" ht="30" customHeight="1" x14ac:dyDescent="0.35">
      <c r="A2" s="5" t="s">
        <v>76</v>
      </c>
      <c r="B2" s="21"/>
    </row>
    <row r="3" spans="1:2" ht="30" customHeight="1" x14ac:dyDescent="0.35">
      <c r="A3" s="9" t="s">
        <v>77</v>
      </c>
      <c r="B3" s="23"/>
    </row>
    <row r="4" spans="1:2" ht="30" customHeight="1" x14ac:dyDescent="0.35">
      <c r="A4" s="7" t="s">
        <v>42</v>
      </c>
      <c r="B4" s="24"/>
    </row>
    <row r="5" spans="1:2" ht="30" customHeight="1" x14ac:dyDescent="0.35">
      <c r="A5" s="7"/>
      <c r="B5" s="17"/>
    </row>
    <row r="6" spans="1:2" ht="30" customHeight="1" x14ac:dyDescent="0.35">
      <c r="A6" s="7"/>
      <c r="B6" s="17"/>
    </row>
    <row r="7" spans="1:2" ht="30" customHeight="1" x14ac:dyDescent="0.35">
      <c r="A7" s="7"/>
      <c r="B7" s="17"/>
    </row>
    <row r="8" spans="1:2" ht="30" customHeight="1" x14ac:dyDescent="0.35">
      <c r="A8" s="7"/>
      <c r="B8" s="17"/>
    </row>
    <row r="9" spans="1:2" ht="30" customHeight="1" x14ac:dyDescent="0.35">
      <c r="A9" s="7"/>
      <c r="B9" s="17"/>
    </row>
    <row r="10" spans="1:2" ht="30" customHeight="1" x14ac:dyDescent="0.35">
      <c r="A10" s="7"/>
      <c r="B10" s="17"/>
    </row>
  </sheetData>
  <sheetProtection selectLockedCells="1"/>
  <dataConsolidate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289" r:id="rId4" name="cbManufacturer">
          <controlPr autoLine="0" r:id="rId5">
            <anchor moveWithCells="1">
              <from>
                <xdr:col>1</xdr:col>
                <xdr:colOff>12700</xdr:colOff>
                <xdr:row>1</xdr:row>
                <xdr:rowOff>12700</xdr:rowOff>
              </from>
              <to>
                <xdr:col>1</xdr:col>
                <xdr:colOff>3219450</xdr:colOff>
                <xdr:row>1</xdr:row>
                <xdr:rowOff>374650</xdr:rowOff>
              </to>
            </anchor>
          </controlPr>
        </control>
      </mc:Choice>
      <mc:Fallback>
        <control shapeId="12289" r:id="rId4" name="cbManufacturer"/>
      </mc:Fallback>
    </mc:AlternateContent>
    <mc:AlternateContent xmlns:mc="http://schemas.openxmlformats.org/markup-compatibility/2006">
      <mc:Choice Requires="x14">
        <control shapeId="12292" r:id="rId6" name="cmdSave">
          <controlPr autoLine="0" r:id="rId7">
            <anchor moveWithCells="1">
              <from>
                <xdr:col>3</xdr:col>
                <xdr:colOff>584200</xdr:colOff>
                <xdr:row>1</xdr:row>
                <xdr:rowOff>31750</xdr:rowOff>
              </from>
              <to>
                <xdr:col>6</xdr:col>
                <xdr:colOff>146050</xdr:colOff>
                <xdr:row>1</xdr:row>
                <xdr:rowOff>330200</xdr:rowOff>
              </to>
            </anchor>
          </controlPr>
        </control>
      </mc:Choice>
      <mc:Fallback>
        <control shapeId="12292" r:id="rId6" name="cmdSave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B14"/>
  <sheetViews>
    <sheetView showGridLines="0" workbookViewId="0">
      <selection activeCell="B14" sqref="B14"/>
    </sheetView>
  </sheetViews>
  <sheetFormatPr defaultRowHeight="30" customHeight="1" x14ac:dyDescent="0.35"/>
  <cols>
    <col min="1" max="1" width="30.81640625" bestFit="1" customWidth="1"/>
    <col min="2" max="2" width="46.54296875" style="18" customWidth="1"/>
  </cols>
  <sheetData>
    <row r="1" spans="1:2" ht="30" customHeight="1" x14ac:dyDescent="0.35">
      <c r="B1" s="17"/>
    </row>
    <row r="2" spans="1:2" ht="30" customHeight="1" x14ac:dyDescent="0.35">
      <c r="A2" s="5" t="s">
        <v>78</v>
      </c>
      <c r="B2" s="21"/>
    </row>
    <row r="3" spans="1:2" ht="30" customHeight="1" x14ac:dyDescent="0.35">
      <c r="A3" s="5" t="s">
        <v>81</v>
      </c>
      <c r="B3" s="26">
        <v>28</v>
      </c>
    </row>
    <row r="4" spans="1:2" ht="30" customHeight="1" x14ac:dyDescent="0.35">
      <c r="A4" s="9" t="s">
        <v>82</v>
      </c>
      <c r="B4" s="23"/>
    </row>
    <row r="5" spans="1:2" ht="30" customHeight="1" x14ac:dyDescent="0.35">
      <c r="A5" s="7" t="s">
        <v>83</v>
      </c>
      <c r="B5" s="24"/>
    </row>
    <row r="6" spans="1:2" ht="30" customHeight="1" x14ac:dyDescent="0.35">
      <c r="A6" s="7" t="s">
        <v>42</v>
      </c>
      <c r="B6" s="24"/>
    </row>
    <row r="7" spans="1:2" ht="30" customHeight="1" x14ac:dyDescent="0.35">
      <c r="A7" s="7" t="s">
        <v>84</v>
      </c>
      <c r="B7" s="24"/>
    </row>
    <row r="8" spans="1:2" ht="30" customHeight="1" x14ac:dyDescent="0.35">
      <c r="A8" s="7" t="s">
        <v>85</v>
      </c>
      <c r="B8" s="24"/>
    </row>
    <row r="9" spans="1:2" ht="30" customHeight="1" x14ac:dyDescent="0.35">
      <c r="A9" s="7" t="s">
        <v>40</v>
      </c>
      <c r="B9" s="24"/>
    </row>
    <row r="10" spans="1:2" ht="30" customHeight="1" x14ac:dyDescent="0.35">
      <c r="A10" s="7" t="s">
        <v>86</v>
      </c>
      <c r="B10" s="24"/>
    </row>
    <row r="11" spans="1:2" ht="30" customHeight="1" x14ac:dyDescent="0.35">
      <c r="A11" s="7" t="s">
        <v>44</v>
      </c>
      <c r="B11" s="24"/>
    </row>
    <row r="12" spans="1:2" ht="30" customHeight="1" x14ac:dyDescent="0.35">
      <c r="A12" s="7" t="s">
        <v>45</v>
      </c>
      <c r="B12" s="27"/>
    </row>
    <row r="13" spans="1:2" ht="30" customHeight="1" x14ac:dyDescent="0.35">
      <c r="A13" s="7" t="s">
        <v>46</v>
      </c>
      <c r="B13" s="27"/>
    </row>
    <row r="14" spans="1:2" ht="30" customHeight="1" x14ac:dyDescent="0.35">
      <c r="A14" s="7" t="s">
        <v>47</v>
      </c>
      <c r="B14" s="27"/>
    </row>
  </sheetData>
  <sheetProtection selectLockedCells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5361" r:id="rId4" name="cbCompany">
          <controlPr autoLine="0" r:id="rId5">
            <anchor moveWithCells="1">
              <from>
                <xdr:col>1</xdr:col>
                <xdr:colOff>12700</xdr:colOff>
                <xdr:row>1</xdr:row>
                <xdr:rowOff>31750</xdr:rowOff>
              </from>
              <to>
                <xdr:col>1</xdr:col>
                <xdr:colOff>3086100</xdr:colOff>
                <xdr:row>2</xdr:row>
                <xdr:rowOff>12700</xdr:rowOff>
              </to>
            </anchor>
          </controlPr>
        </control>
      </mc:Choice>
      <mc:Fallback>
        <control shapeId="15361" r:id="rId4" name="cbCompany"/>
      </mc:Fallback>
    </mc:AlternateContent>
    <mc:AlternateContent xmlns:mc="http://schemas.openxmlformats.org/markup-compatibility/2006">
      <mc:Choice Requires="x14">
        <control shapeId="15362" r:id="rId6" name="cbManufacturer">
          <controlPr autoLine="0" r:id="rId7">
            <anchor moveWithCells="1">
              <from>
                <xdr:col>1</xdr:col>
                <xdr:colOff>31750</xdr:colOff>
                <xdr:row>5</xdr:row>
                <xdr:rowOff>19050</xdr:rowOff>
              </from>
              <to>
                <xdr:col>1</xdr:col>
                <xdr:colOff>3105150</xdr:colOff>
                <xdr:row>6</xdr:row>
                <xdr:rowOff>0</xdr:rowOff>
              </to>
            </anchor>
          </controlPr>
        </control>
      </mc:Choice>
      <mc:Fallback>
        <control shapeId="15362" r:id="rId6" name="cbManufacturer"/>
      </mc:Fallback>
    </mc:AlternateContent>
    <mc:AlternateContent xmlns:mc="http://schemas.openxmlformats.org/markup-compatibility/2006">
      <mc:Choice Requires="x14">
        <control shapeId="15363" r:id="rId8" name="cmdSave">
          <controlPr autoLine="0" r:id="rId9">
            <anchor moveWithCells="1">
              <from>
                <xdr:col>3</xdr:col>
                <xdr:colOff>584200</xdr:colOff>
                <xdr:row>1</xdr:row>
                <xdr:rowOff>31750</xdr:rowOff>
              </from>
              <to>
                <xdr:col>6</xdr:col>
                <xdr:colOff>146050</xdr:colOff>
                <xdr:row>1</xdr:row>
                <xdr:rowOff>330200</xdr:rowOff>
              </to>
            </anchor>
          </controlPr>
        </control>
      </mc:Choice>
      <mc:Fallback>
        <control shapeId="15363" r:id="rId8" name="cmdSave"/>
      </mc:Fallback>
    </mc:AlternateContent>
    <mc:AlternateContent xmlns:mc="http://schemas.openxmlformats.org/markup-compatibility/2006">
      <mc:Choice Requires="x14">
        <control shapeId="15364" r:id="rId10" name="cbECD">
          <controlPr autoLine="0" r:id="rId11">
            <anchor moveWithCells="1">
              <from>
                <xdr:col>1</xdr:col>
                <xdr:colOff>12700</xdr:colOff>
                <xdr:row>2</xdr:row>
                <xdr:rowOff>57150</xdr:rowOff>
              </from>
              <to>
                <xdr:col>1</xdr:col>
                <xdr:colOff>3086100</xdr:colOff>
                <xdr:row>2</xdr:row>
                <xdr:rowOff>368300</xdr:rowOff>
              </to>
            </anchor>
          </controlPr>
        </control>
      </mc:Choice>
      <mc:Fallback>
        <control shapeId="15364" r:id="rId10" name="cbECD"/>
      </mc:Fallback>
    </mc:AlternateContent>
    <mc:AlternateContent xmlns:mc="http://schemas.openxmlformats.org/markup-compatibility/2006">
      <mc:Choice Requires="x14">
        <control shapeId="15365" r:id="rId12" name="cbECDType">
          <controlPr autoLine="0" r:id="rId13">
            <anchor moveWithCells="1">
              <from>
                <xdr:col>1</xdr:col>
                <xdr:colOff>12700</xdr:colOff>
                <xdr:row>4</xdr:row>
                <xdr:rowOff>12700</xdr:rowOff>
              </from>
              <to>
                <xdr:col>1</xdr:col>
                <xdr:colOff>3086100</xdr:colOff>
                <xdr:row>4</xdr:row>
                <xdr:rowOff>374650</xdr:rowOff>
              </to>
            </anchor>
          </controlPr>
        </control>
      </mc:Choice>
      <mc:Fallback>
        <control shapeId="15365" r:id="rId12" name="cbECDType"/>
      </mc:Fallback>
    </mc:AlternateContent>
    <mc:AlternateContent xmlns:mc="http://schemas.openxmlformats.org/markup-compatibility/2006">
      <mc:Choice Requires="x14">
        <control shapeId="15366" r:id="rId14" name="cbSubStrateType">
          <controlPr autoLine="0" r:id="rId15">
            <anchor moveWithCells="1">
              <from>
                <xdr:col>1</xdr:col>
                <xdr:colOff>19050</xdr:colOff>
                <xdr:row>9</xdr:row>
                <xdr:rowOff>12700</xdr:rowOff>
              </from>
              <to>
                <xdr:col>1</xdr:col>
                <xdr:colOff>3092450</xdr:colOff>
                <xdr:row>9</xdr:row>
                <xdr:rowOff>374650</xdr:rowOff>
              </to>
            </anchor>
          </controlPr>
        </control>
      </mc:Choice>
      <mc:Fallback>
        <control shapeId="15366" r:id="rId14" name="cbSubStrateType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1"/>
  <dimension ref="E3:F97"/>
  <sheetViews>
    <sheetView topLeftCell="D1" workbookViewId="0">
      <selection activeCell="F6" sqref="F6"/>
    </sheetView>
  </sheetViews>
  <sheetFormatPr defaultRowHeight="14.5" x14ac:dyDescent="0.35"/>
  <cols>
    <col min="5" max="5" width="46.81640625" bestFit="1" customWidth="1"/>
    <col min="6" max="6" width="24.54296875" bestFit="1" customWidth="1"/>
  </cols>
  <sheetData>
    <row r="3" spans="5:6" ht="18" x14ac:dyDescent="0.4">
      <c r="E3" s="1" t="s">
        <v>0</v>
      </c>
      <c r="F3" s="2"/>
    </row>
    <row r="4" spans="5:6" x14ac:dyDescent="0.35">
      <c r="E4" s="2"/>
      <c r="F4" s="2"/>
    </row>
    <row r="5" spans="5:6" x14ac:dyDescent="0.35">
      <c r="E5" s="3" t="s">
        <v>1</v>
      </c>
      <c r="F5" s="3"/>
    </row>
    <row r="6" spans="5:6" x14ac:dyDescent="0.35">
      <c r="E6" s="3" t="s">
        <v>2</v>
      </c>
      <c r="F6" s="4"/>
    </row>
    <row r="7" spans="5:6" x14ac:dyDescent="0.35">
      <c r="E7" s="2"/>
      <c r="F7" s="2"/>
    </row>
    <row r="8" spans="5:6" ht="23.5" customHeight="1" x14ac:dyDescent="0.35">
      <c r="E8" s="5" t="s">
        <v>3</v>
      </c>
      <c r="F8" s="6"/>
    </row>
    <row r="9" spans="5:6" x14ac:dyDescent="0.35">
      <c r="E9" s="7" t="s">
        <v>4</v>
      </c>
      <c r="F9" s="8"/>
    </row>
    <row r="10" spans="5:6" x14ac:dyDescent="0.35">
      <c r="E10" s="9" t="s">
        <v>5</v>
      </c>
      <c r="F10" s="8"/>
    </row>
    <row r="11" spans="5:6" x14ac:dyDescent="0.35">
      <c r="E11" s="7" t="s">
        <v>6</v>
      </c>
      <c r="F11" s="8"/>
    </row>
    <row r="12" spans="5:6" x14ac:dyDescent="0.35">
      <c r="E12" s="7" t="s">
        <v>7</v>
      </c>
      <c r="F12" s="8"/>
    </row>
    <row r="13" spans="5:6" x14ac:dyDescent="0.35">
      <c r="E13" s="7" t="s">
        <v>8</v>
      </c>
      <c r="F13" s="8"/>
    </row>
    <row r="14" spans="5:6" x14ac:dyDescent="0.35">
      <c r="E14" s="7" t="s">
        <v>9</v>
      </c>
      <c r="F14" s="8"/>
    </row>
    <row r="15" spans="5:6" x14ac:dyDescent="0.35">
      <c r="E15" s="7" t="s">
        <v>10</v>
      </c>
      <c r="F15" s="8"/>
    </row>
    <row r="16" spans="5:6" x14ac:dyDescent="0.35">
      <c r="E16" s="7" t="s">
        <v>11</v>
      </c>
      <c r="F16" s="8"/>
    </row>
    <row r="17" spans="5:6" x14ac:dyDescent="0.35">
      <c r="E17" s="7" t="s">
        <v>12</v>
      </c>
      <c r="F17" s="8"/>
    </row>
    <row r="18" spans="5:6" x14ac:dyDescent="0.35">
      <c r="E18" s="7" t="s">
        <v>13</v>
      </c>
      <c r="F18" s="8"/>
    </row>
    <row r="19" spans="5:6" x14ac:dyDescent="0.35">
      <c r="E19" s="7"/>
      <c r="F19" s="8"/>
    </row>
    <row r="20" spans="5:6" x14ac:dyDescent="0.35">
      <c r="E20" s="5" t="s">
        <v>14</v>
      </c>
      <c r="F20" s="8"/>
    </row>
    <row r="21" spans="5:6" x14ac:dyDescent="0.35">
      <c r="E21" s="7" t="s">
        <v>15</v>
      </c>
      <c r="F21" s="8"/>
    </row>
    <row r="22" spans="5:6" x14ac:dyDescent="0.35">
      <c r="E22" s="9" t="s">
        <v>16</v>
      </c>
      <c r="F22" s="8"/>
    </row>
    <row r="23" spans="5:6" x14ac:dyDescent="0.35">
      <c r="E23" s="7" t="s">
        <v>11</v>
      </c>
      <c r="F23" s="8"/>
    </row>
    <row r="24" spans="5:6" x14ac:dyDescent="0.35">
      <c r="E24" s="7" t="s">
        <v>17</v>
      </c>
      <c r="F24" s="8"/>
    </row>
    <row r="25" spans="5:6" x14ac:dyDescent="0.35">
      <c r="E25" s="7"/>
      <c r="F25" s="8"/>
    </row>
    <row r="26" spans="5:6" x14ac:dyDescent="0.35">
      <c r="E26" s="7"/>
      <c r="F26" s="8"/>
    </row>
    <row r="27" spans="5:6" x14ac:dyDescent="0.35">
      <c r="E27" s="7"/>
      <c r="F27" s="8"/>
    </row>
    <row r="28" spans="5:6" x14ac:dyDescent="0.35">
      <c r="E28" s="7" t="s">
        <v>13</v>
      </c>
      <c r="F28" s="8"/>
    </row>
    <row r="29" spans="5:6" x14ac:dyDescent="0.35">
      <c r="E29" s="7" t="s">
        <v>18</v>
      </c>
      <c r="F29" s="8"/>
    </row>
    <row r="30" spans="5:6" x14ac:dyDescent="0.35">
      <c r="E30" s="7"/>
      <c r="F30" s="8"/>
    </row>
    <row r="31" spans="5:6" x14ac:dyDescent="0.35">
      <c r="E31" s="7"/>
      <c r="F31" s="8"/>
    </row>
    <row r="32" spans="5:6" x14ac:dyDescent="0.35">
      <c r="E32" s="5" t="s">
        <v>19</v>
      </c>
      <c r="F32" s="8"/>
    </row>
    <row r="33" spans="5:6" x14ac:dyDescent="0.35">
      <c r="E33" s="7" t="s">
        <v>20</v>
      </c>
      <c r="F33" s="8"/>
    </row>
    <row r="34" spans="5:6" x14ac:dyDescent="0.35">
      <c r="E34" s="7" t="s">
        <v>7</v>
      </c>
      <c r="F34" s="8"/>
    </row>
    <row r="35" spans="5:6" x14ac:dyDescent="0.35">
      <c r="E35" s="7" t="s">
        <v>8</v>
      </c>
      <c r="F35" s="8"/>
    </row>
    <row r="36" spans="5:6" x14ac:dyDescent="0.35">
      <c r="E36" s="7" t="s">
        <v>9</v>
      </c>
      <c r="F36" s="8"/>
    </row>
    <row r="37" spans="5:6" x14ac:dyDescent="0.35">
      <c r="E37" s="7"/>
      <c r="F37" s="8"/>
    </row>
    <row r="38" spans="5:6" x14ac:dyDescent="0.35">
      <c r="E38" s="7"/>
      <c r="F38" s="8"/>
    </row>
    <row r="39" spans="5:6" x14ac:dyDescent="0.35">
      <c r="E39" s="7"/>
      <c r="F39" s="8"/>
    </row>
    <row r="40" spans="5:6" x14ac:dyDescent="0.35">
      <c r="E40" s="5" t="s">
        <v>21</v>
      </c>
      <c r="F40" s="8"/>
    </row>
    <row r="41" spans="5:6" x14ac:dyDescent="0.35">
      <c r="E41" s="7" t="s">
        <v>22</v>
      </c>
      <c r="F41" s="8"/>
    </row>
    <row r="42" spans="5:6" x14ac:dyDescent="0.35">
      <c r="E42" s="7" t="s">
        <v>23</v>
      </c>
      <c r="F42" s="8"/>
    </row>
    <row r="43" spans="5:6" x14ac:dyDescent="0.35">
      <c r="E43" s="7" t="s">
        <v>24</v>
      </c>
      <c r="F43" s="8"/>
    </row>
    <row r="44" spans="5:6" x14ac:dyDescent="0.35">
      <c r="E44" s="9" t="s">
        <v>25</v>
      </c>
      <c r="F44" s="8"/>
    </row>
    <row r="45" spans="5:6" x14ac:dyDescent="0.35">
      <c r="E45" s="7" t="s">
        <v>26</v>
      </c>
      <c r="F45" s="8"/>
    </row>
    <row r="46" spans="5:6" x14ac:dyDescent="0.35">
      <c r="E46" s="7" t="s">
        <v>27</v>
      </c>
      <c r="F46" s="8"/>
    </row>
    <row r="47" spans="5:6" x14ac:dyDescent="0.35">
      <c r="E47" s="7" t="s">
        <v>28</v>
      </c>
      <c r="F47" s="8"/>
    </row>
    <row r="48" spans="5:6" x14ac:dyDescent="0.35">
      <c r="E48" s="7" t="s">
        <v>29</v>
      </c>
      <c r="F48" s="8"/>
    </row>
    <row r="49" spans="5:6" x14ac:dyDescent="0.35">
      <c r="E49" s="7"/>
      <c r="F49" s="8"/>
    </row>
    <row r="50" spans="5:6" x14ac:dyDescent="0.35">
      <c r="E50" s="5" t="s">
        <v>30</v>
      </c>
      <c r="F50" s="8"/>
    </row>
    <row r="51" spans="5:6" x14ac:dyDescent="0.35">
      <c r="E51" s="7" t="s">
        <v>31</v>
      </c>
      <c r="F51" s="8"/>
    </row>
    <row r="52" spans="5:6" x14ac:dyDescent="0.35">
      <c r="E52" s="7" t="s">
        <v>32</v>
      </c>
      <c r="F52" s="8"/>
    </row>
    <row r="53" spans="5:6" x14ac:dyDescent="0.35">
      <c r="E53" s="7" t="s">
        <v>33</v>
      </c>
      <c r="F53" s="8"/>
    </row>
    <row r="54" spans="5:6" x14ac:dyDescent="0.35">
      <c r="E54" s="7" t="s">
        <v>34</v>
      </c>
      <c r="F54" s="8"/>
    </row>
    <row r="55" spans="5:6" x14ac:dyDescent="0.35">
      <c r="E55" s="7"/>
      <c r="F55" s="8"/>
    </row>
    <row r="56" spans="5:6" x14ac:dyDescent="0.35">
      <c r="E56" s="5" t="s">
        <v>35</v>
      </c>
      <c r="F56" s="8"/>
    </row>
    <row r="57" spans="5:6" x14ac:dyDescent="0.35">
      <c r="E57" s="7" t="s">
        <v>36</v>
      </c>
      <c r="F57" s="10"/>
    </row>
    <row r="58" spans="5:6" x14ac:dyDescent="0.35">
      <c r="E58" s="7" t="s">
        <v>37</v>
      </c>
      <c r="F58" s="8"/>
    </row>
    <row r="59" spans="5:6" x14ac:dyDescent="0.35">
      <c r="E59" s="7" t="s">
        <v>38</v>
      </c>
      <c r="F59" s="8"/>
    </row>
    <row r="60" spans="5:6" x14ac:dyDescent="0.35">
      <c r="E60" s="7" t="s">
        <v>39</v>
      </c>
      <c r="F60" s="8"/>
    </row>
    <row r="61" spans="5:6" x14ac:dyDescent="0.35">
      <c r="E61" s="7" t="s">
        <v>40</v>
      </c>
      <c r="F61" s="8"/>
    </row>
    <row r="62" spans="5:6" x14ac:dyDescent="0.35">
      <c r="E62" s="7" t="s">
        <v>41</v>
      </c>
      <c r="F62" s="8"/>
    </row>
    <row r="63" spans="5:6" x14ac:dyDescent="0.35">
      <c r="E63" s="7" t="s">
        <v>42</v>
      </c>
      <c r="F63" s="8"/>
    </row>
    <row r="64" spans="5:6" x14ac:dyDescent="0.35">
      <c r="E64" s="7" t="s">
        <v>43</v>
      </c>
      <c r="F64" s="8"/>
    </row>
    <row r="65" spans="5:6" x14ac:dyDescent="0.35">
      <c r="E65" s="7" t="s">
        <v>44</v>
      </c>
      <c r="F65" s="8"/>
    </row>
    <row r="66" spans="5:6" x14ac:dyDescent="0.35">
      <c r="E66" s="7" t="s">
        <v>45</v>
      </c>
      <c r="F66" s="8"/>
    </row>
    <row r="67" spans="5:6" x14ac:dyDescent="0.35">
      <c r="E67" s="7" t="s">
        <v>46</v>
      </c>
      <c r="F67" s="8"/>
    </row>
    <row r="68" spans="5:6" x14ac:dyDescent="0.35">
      <c r="E68" s="7" t="s">
        <v>47</v>
      </c>
      <c r="F68" s="8"/>
    </row>
    <row r="69" spans="5:6" x14ac:dyDescent="0.35">
      <c r="E69" s="7"/>
      <c r="F69" s="8"/>
    </row>
    <row r="70" spans="5:6" x14ac:dyDescent="0.35">
      <c r="E70" s="5" t="s">
        <v>48</v>
      </c>
      <c r="F70" s="8"/>
    </row>
    <row r="71" spans="5:6" x14ac:dyDescent="0.35">
      <c r="E71" s="7" t="s">
        <v>49</v>
      </c>
      <c r="F71" s="11"/>
    </row>
    <row r="72" spans="5:6" x14ac:dyDescent="0.35">
      <c r="E72" s="7" t="s">
        <v>50</v>
      </c>
      <c r="F72" s="8"/>
    </row>
    <row r="73" spans="5:6" x14ac:dyDescent="0.35">
      <c r="E73" s="7" t="s">
        <v>51</v>
      </c>
      <c r="F73" s="8"/>
    </row>
    <row r="74" spans="5:6" x14ac:dyDescent="0.35">
      <c r="E74" s="7" t="s">
        <v>52</v>
      </c>
      <c r="F74" s="8"/>
    </row>
    <row r="75" spans="5:6" x14ac:dyDescent="0.35">
      <c r="E75" s="7" t="s">
        <v>53</v>
      </c>
      <c r="F75" s="12"/>
    </row>
    <row r="76" spans="5:6" x14ac:dyDescent="0.35">
      <c r="E76" s="7" t="s">
        <v>54</v>
      </c>
      <c r="F76" s="8"/>
    </row>
    <row r="77" spans="5:6" x14ac:dyDescent="0.35">
      <c r="E77" s="7" t="s">
        <v>2</v>
      </c>
      <c r="F77" s="13"/>
    </row>
    <row r="78" spans="5:6" x14ac:dyDescent="0.35">
      <c r="E78" s="7"/>
      <c r="F78" s="8"/>
    </row>
    <row r="79" spans="5:6" x14ac:dyDescent="0.35">
      <c r="E79" s="5" t="s">
        <v>55</v>
      </c>
      <c r="F79" s="8"/>
    </row>
    <row r="80" spans="5:6" x14ac:dyDescent="0.35">
      <c r="E80" s="7" t="s">
        <v>56</v>
      </c>
      <c r="F80" s="14"/>
    </row>
    <row r="81" spans="5:6" x14ac:dyDescent="0.35">
      <c r="E81" s="7" t="s">
        <v>57</v>
      </c>
      <c r="F81" s="8"/>
    </row>
    <row r="82" spans="5:6" x14ac:dyDescent="0.35">
      <c r="E82" s="7" t="s">
        <v>58</v>
      </c>
      <c r="F82" s="8"/>
    </row>
    <row r="83" spans="5:6" x14ac:dyDescent="0.35">
      <c r="E83" s="7" t="s">
        <v>59</v>
      </c>
      <c r="F83" s="8"/>
    </row>
    <row r="84" spans="5:6" x14ac:dyDescent="0.35">
      <c r="E84" s="7"/>
      <c r="F84" s="8"/>
    </row>
    <row r="85" spans="5:6" x14ac:dyDescent="0.35">
      <c r="E85" s="5" t="s">
        <v>60</v>
      </c>
      <c r="F85" s="8"/>
    </row>
    <row r="86" spans="5:6" x14ac:dyDescent="0.35">
      <c r="E86" s="7" t="s">
        <v>61</v>
      </c>
      <c r="F86" s="14"/>
    </row>
    <row r="87" spans="5:6" x14ac:dyDescent="0.35">
      <c r="E87" s="7" t="s">
        <v>62</v>
      </c>
      <c r="F87" s="8"/>
    </row>
    <row r="88" spans="5:6" x14ac:dyDescent="0.35">
      <c r="E88" s="7" t="s">
        <v>63</v>
      </c>
      <c r="F88" s="8"/>
    </row>
    <row r="89" spans="5:6" x14ac:dyDescent="0.35">
      <c r="E89" s="7" t="s">
        <v>64</v>
      </c>
      <c r="F89" s="8"/>
    </row>
    <row r="90" spans="5:6" x14ac:dyDescent="0.35">
      <c r="E90" s="15" t="s">
        <v>18</v>
      </c>
      <c r="F90" s="8"/>
    </row>
    <row r="91" spans="5:6" x14ac:dyDescent="0.35">
      <c r="E91" s="5" t="s">
        <v>65</v>
      </c>
      <c r="F91" s="8"/>
    </row>
    <row r="92" spans="5:6" x14ac:dyDescent="0.35">
      <c r="E92" s="16" t="s">
        <v>66</v>
      </c>
      <c r="F92" s="8"/>
    </row>
    <row r="93" spans="5:6" x14ac:dyDescent="0.35">
      <c r="E93" s="16" t="s">
        <v>67</v>
      </c>
      <c r="F93" s="14"/>
    </row>
    <row r="94" spans="5:6" x14ac:dyDescent="0.35">
      <c r="E94" s="7" t="s">
        <v>53</v>
      </c>
      <c r="F94" s="12"/>
    </row>
    <row r="95" spans="5:6" x14ac:dyDescent="0.35">
      <c r="E95" s="7" t="s">
        <v>54</v>
      </c>
      <c r="F95" s="8"/>
    </row>
    <row r="96" spans="5:6" x14ac:dyDescent="0.35">
      <c r="E96" s="2"/>
      <c r="F96" s="2"/>
    </row>
    <row r="97" spans="5:6" x14ac:dyDescent="0.35">
      <c r="E97" s="2"/>
      <c r="F97" s="2"/>
    </row>
  </sheetData>
  <dataConsolidate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1521" r:id="rId4" name="chkFirstCleaning">
          <controlPr autoLine="0" r:id="rId5">
            <anchor moveWithCells="1">
              <from>
                <xdr:col>5</xdr:col>
                <xdr:colOff>819150</xdr:colOff>
                <xdr:row>91</xdr:row>
                <xdr:rowOff>31750</xdr:rowOff>
              </from>
              <to>
                <xdr:col>5</xdr:col>
                <xdr:colOff>1009650</xdr:colOff>
                <xdr:row>92</xdr:row>
                <xdr:rowOff>31750</xdr:rowOff>
              </to>
            </anchor>
          </controlPr>
        </control>
      </mc:Choice>
      <mc:Fallback>
        <control shapeId="21521" r:id="rId4" name="chkFirstCleaning"/>
      </mc:Fallback>
    </mc:AlternateContent>
    <mc:AlternateContent xmlns:mc="http://schemas.openxmlformats.org/markup-compatibility/2006">
      <mc:Choice Requires="x14">
        <control shapeId="21518" r:id="rId6" name="cmdSave">
          <controlPr defaultSize="0" autoFill="0" autoLine="0" r:id="rId7">
            <anchor moveWithCells="1">
              <from>
                <xdr:col>10</xdr:col>
                <xdr:colOff>0</xdr:colOff>
                <xdr:row>2</xdr:row>
                <xdr:rowOff>0</xdr:rowOff>
              </from>
              <to>
                <xdr:col>12</xdr:col>
                <xdr:colOff>171450</xdr:colOff>
                <xdr:row>3</xdr:row>
                <xdr:rowOff>69850</xdr:rowOff>
              </to>
            </anchor>
          </controlPr>
        </control>
      </mc:Choice>
      <mc:Fallback>
        <control shapeId="21518" r:id="rId6" name="cmdSave"/>
      </mc:Fallback>
    </mc:AlternateContent>
    <mc:AlternateContent xmlns:mc="http://schemas.openxmlformats.org/markup-compatibility/2006">
      <mc:Choice Requires="x14">
        <control shapeId="21510" r:id="rId8" name="chkEngineFail">
          <controlPr autoLine="0" r:id="rId5">
            <anchor moveWithCells="1">
              <from>
                <xdr:col>5</xdr:col>
                <xdr:colOff>736600</xdr:colOff>
                <xdr:row>87</xdr:row>
                <xdr:rowOff>19050</xdr:rowOff>
              </from>
              <to>
                <xdr:col>5</xdr:col>
                <xdr:colOff>927100</xdr:colOff>
                <xdr:row>88</xdr:row>
                <xdr:rowOff>19050</xdr:rowOff>
              </to>
            </anchor>
          </controlPr>
        </control>
      </mc:Choice>
      <mc:Fallback>
        <control shapeId="21510" r:id="rId8" name="chkEngineFail"/>
      </mc:Fallback>
    </mc:AlternateContent>
    <mc:AlternateContent xmlns:mc="http://schemas.openxmlformats.org/markup-compatibility/2006">
      <mc:Choice Requires="x14">
        <control shapeId="21509" r:id="rId9" name="chkHighSootLoad">
          <controlPr autoLine="0" r:id="rId5">
            <anchor moveWithCells="1">
              <from>
                <xdr:col>5</xdr:col>
                <xdr:colOff>736600</xdr:colOff>
                <xdr:row>86</xdr:row>
                <xdr:rowOff>12700</xdr:rowOff>
              </from>
              <to>
                <xdr:col>5</xdr:col>
                <xdr:colOff>927100</xdr:colOff>
                <xdr:row>87</xdr:row>
                <xdr:rowOff>12700</xdr:rowOff>
              </to>
            </anchor>
          </controlPr>
        </control>
      </mc:Choice>
      <mc:Fallback>
        <control shapeId="21509" r:id="rId9" name="chkHighSootLoad"/>
      </mc:Fallback>
    </mc:AlternateContent>
    <mc:AlternateContent xmlns:mc="http://schemas.openxmlformats.org/markup-compatibility/2006">
      <mc:Choice Requires="x14">
        <control shapeId="21508" r:id="rId10" name="chkPreventMaint">
          <controlPr autoLine="0" r:id="rId5">
            <anchor moveWithCells="1">
              <from>
                <xdr:col>5</xdr:col>
                <xdr:colOff>755650</xdr:colOff>
                <xdr:row>85</xdr:row>
                <xdr:rowOff>12700</xdr:rowOff>
              </from>
              <to>
                <xdr:col>5</xdr:col>
                <xdr:colOff>946150</xdr:colOff>
                <xdr:row>86</xdr:row>
                <xdr:rowOff>12700</xdr:rowOff>
              </to>
            </anchor>
          </controlPr>
        </control>
      </mc:Choice>
      <mc:Fallback>
        <control shapeId="21508" r:id="rId10" name="chkPreventMaint"/>
      </mc:Fallback>
    </mc:AlternateContent>
    <mc:AlternateContent xmlns:mc="http://schemas.openxmlformats.org/markup-compatibility/2006">
      <mc:Choice Requires="x14">
        <control shapeId="21507" r:id="rId11" name="chkHighIdle">
          <controlPr autoLine="0" r:id="rId5">
            <anchor moveWithCells="1">
              <from>
                <xdr:col>5</xdr:col>
                <xdr:colOff>736600</xdr:colOff>
                <xdr:row>81</xdr:row>
                <xdr:rowOff>0</xdr:rowOff>
              </from>
              <to>
                <xdr:col>5</xdr:col>
                <xdr:colOff>927100</xdr:colOff>
                <xdr:row>82</xdr:row>
                <xdr:rowOff>0</xdr:rowOff>
              </to>
            </anchor>
          </controlPr>
        </control>
      </mc:Choice>
      <mc:Fallback>
        <control shapeId="21507" r:id="rId11" name="chkHighIdle"/>
      </mc:Fallback>
    </mc:AlternateContent>
    <mc:AlternateContent xmlns:mc="http://schemas.openxmlformats.org/markup-compatibility/2006">
      <mc:Choice Requires="x14">
        <control shapeId="21506" r:id="rId12" name="chkStartStop">
          <controlPr autoLine="0" r:id="rId5">
            <anchor moveWithCells="1">
              <from>
                <xdr:col>5</xdr:col>
                <xdr:colOff>736600</xdr:colOff>
                <xdr:row>79</xdr:row>
                <xdr:rowOff>171450</xdr:rowOff>
              </from>
              <to>
                <xdr:col>5</xdr:col>
                <xdr:colOff>927100</xdr:colOff>
                <xdr:row>80</xdr:row>
                <xdr:rowOff>171450</xdr:rowOff>
              </to>
            </anchor>
          </controlPr>
        </control>
      </mc:Choice>
      <mc:Fallback>
        <control shapeId="21506" r:id="rId12" name="chkStartStop"/>
      </mc:Fallback>
    </mc:AlternateContent>
    <mc:AlternateContent xmlns:mc="http://schemas.openxmlformats.org/markup-compatibility/2006">
      <mc:Choice Requires="x14">
        <control shapeId="21505" r:id="rId13" name="chkOvrRdHw">
          <controlPr autoLine="0" r:id="rId5">
            <anchor moveWithCells="1">
              <from>
                <xdr:col>5</xdr:col>
                <xdr:colOff>742950</xdr:colOff>
                <xdr:row>78</xdr:row>
                <xdr:rowOff>165100</xdr:rowOff>
              </from>
              <to>
                <xdr:col>5</xdr:col>
                <xdr:colOff>933450</xdr:colOff>
                <xdr:row>79</xdr:row>
                <xdr:rowOff>165100</xdr:rowOff>
              </to>
            </anchor>
          </controlPr>
        </control>
      </mc:Choice>
      <mc:Fallback>
        <control shapeId="21505" r:id="rId13" name="chkOvrRdHw"/>
      </mc:Fallback>
    </mc:AlternateContent>
    <mc:AlternateContent xmlns:mc="http://schemas.openxmlformats.org/markup-compatibility/2006">
      <mc:Choice Requires="x14">
        <control shapeId="21522" r:id="rId14" name="cbDPF">
          <controlPr defaultSize="0" autoFill="0" autoLine="0" r:id="rId15">
            <anchor moveWithCells="1">
              <from>
                <xdr:col>5</xdr:col>
                <xdr:colOff>12700</xdr:colOff>
                <xdr:row>2</xdr:row>
                <xdr:rowOff>0</xdr:rowOff>
              </from>
              <to>
                <xdr:col>8</xdr:col>
                <xdr:colOff>152400</xdr:colOff>
                <xdr:row>3</xdr:row>
                <xdr:rowOff>6350</xdr:rowOff>
              </to>
            </anchor>
          </controlPr>
        </control>
      </mc:Choice>
      <mc:Fallback>
        <control shapeId="21522" r:id="rId14" name="cbDPF"/>
      </mc:Fallback>
    </mc:AlternateContent>
    <mc:AlternateContent xmlns:mc="http://schemas.openxmlformats.org/markup-compatibility/2006">
      <mc:Choice Requires="x14">
        <control shapeId="21523" r:id="rId16" name="cbCompany">
          <controlPr defaultSize="0" autoFill="0" autoLine="0" r:id="rId17">
            <anchor moveWithCells="1">
              <from>
                <xdr:col>5</xdr:col>
                <xdr:colOff>19050</xdr:colOff>
                <xdr:row>7</xdr:row>
                <xdr:rowOff>69850</xdr:rowOff>
              </from>
              <to>
                <xdr:col>8</xdr:col>
                <xdr:colOff>158750</xdr:colOff>
                <xdr:row>8</xdr:row>
                <xdr:rowOff>6350</xdr:rowOff>
              </to>
            </anchor>
          </controlPr>
        </control>
      </mc:Choice>
      <mc:Fallback>
        <control shapeId="21523" r:id="rId16" name="cbCompany"/>
      </mc:Fallback>
    </mc:AlternateContent>
    <mc:AlternateContent xmlns:mc="http://schemas.openxmlformats.org/markup-compatibility/2006">
      <mc:Choice Requires="x14">
        <control shapeId="21524" r:id="rId18" name="cbContacts">
          <controlPr defaultSize="0" autoFill="0" autoLine="0" r:id="rId19">
            <anchor moveWithCells="1">
              <from>
                <xdr:col>5</xdr:col>
                <xdr:colOff>19050</xdr:colOff>
                <xdr:row>19</xdr:row>
                <xdr:rowOff>69850</xdr:rowOff>
              </from>
              <to>
                <xdr:col>8</xdr:col>
                <xdr:colOff>158750</xdr:colOff>
                <xdr:row>20</xdr:row>
                <xdr:rowOff>120650</xdr:rowOff>
              </to>
            </anchor>
          </controlPr>
        </control>
      </mc:Choice>
      <mc:Fallback>
        <control shapeId="21524" r:id="rId18" name="cbContacts"/>
      </mc:Fallback>
    </mc:AlternateContent>
    <mc:AlternateContent xmlns:mc="http://schemas.openxmlformats.org/markup-compatibility/2006">
      <mc:Choice Requires="x14">
        <control shapeId="21525" r:id="rId20" name="cbCompLocation">
          <controlPr defaultSize="0" autoFill="0" autoLine="0" r:id="rId21">
            <anchor moveWithCells="1">
              <from>
                <xdr:col>5</xdr:col>
                <xdr:colOff>19050</xdr:colOff>
                <xdr:row>31</xdr:row>
                <xdr:rowOff>69850</xdr:rowOff>
              </from>
              <to>
                <xdr:col>8</xdr:col>
                <xdr:colOff>158750</xdr:colOff>
                <xdr:row>32</xdr:row>
                <xdr:rowOff>120650</xdr:rowOff>
              </to>
            </anchor>
          </controlPr>
        </control>
      </mc:Choice>
      <mc:Fallback>
        <control shapeId="21525" r:id="rId20" name="cbCompLocation"/>
      </mc:Fallback>
    </mc:AlternateContent>
    <mc:AlternateContent xmlns:mc="http://schemas.openxmlformats.org/markup-compatibility/2006">
      <mc:Choice Requires="x14">
        <control shapeId="21526" r:id="rId22" name="cbVehicle">
          <controlPr defaultSize="0" autoFill="0" autoLine="0" r:id="rId23">
            <anchor moveWithCells="1">
              <from>
                <xdr:col>5</xdr:col>
                <xdr:colOff>19050</xdr:colOff>
                <xdr:row>39</xdr:row>
                <xdr:rowOff>69850</xdr:rowOff>
              </from>
              <to>
                <xdr:col>8</xdr:col>
                <xdr:colOff>158750</xdr:colOff>
                <xdr:row>40</xdr:row>
                <xdr:rowOff>120650</xdr:rowOff>
              </to>
            </anchor>
          </controlPr>
        </control>
      </mc:Choice>
      <mc:Fallback>
        <control shapeId="21526" r:id="rId22" name="cbVehicle"/>
      </mc:Fallback>
    </mc:AlternateContent>
    <mc:AlternateContent xmlns:mc="http://schemas.openxmlformats.org/markup-compatibility/2006">
      <mc:Choice Requires="x14">
        <control shapeId="21527" r:id="rId24" name="cbEngine">
          <controlPr defaultSize="0" autoFill="0" autoLine="0" r:id="rId25">
            <anchor moveWithCells="1">
              <from>
                <xdr:col>5</xdr:col>
                <xdr:colOff>19050</xdr:colOff>
                <xdr:row>49</xdr:row>
                <xdr:rowOff>69850</xdr:rowOff>
              </from>
              <to>
                <xdr:col>8</xdr:col>
                <xdr:colOff>158750</xdr:colOff>
                <xdr:row>50</xdr:row>
                <xdr:rowOff>120650</xdr:rowOff>
              </to>
            </anchor>
          </controlPr>
        </control>
      </mc:Choice>
      <mc:Fallback>
        <control shapeId="21527" r:id="rId24" name="cbEngine"/>
      </mc:Fallback>
    </mc:AlternateContent>
    <mc:AlternateContent xmlns:mc="http://schemas.openxmlformats.org/markup-compatibility/2006">
      <mc:Choice Requires="x14">
        <control shapeId="21528" r:id="rId26" name="cbECD">
          <controlPr defaultSize="0" autoFill="0" autoLine="0" r:id="rId27">
            <anchor moveWithCells="1">
              <from>
                <xdr:col>5</xdr:col>
                <xdr:colOff>19050</xdr:colOff>
                <xdr:row>55</xdr:row>
                <xdr:rowOff>69850</xdr:rowOff>
              </from>
              <to>
                <xdr:col>8</xdr:col>
                <xdr:colOff>158750</xdr:colOff>
                <xdr:row>56</xdr:row>
                <xdr:rowOff>120650</xdr:rowOff>
              </to>
            </anchor>
          </controlPr>
        </control>
      </mc:Choice>
      <mc:Fallback>
        <control shapeId="21528" r:id="rId26" name="cbECD"/>
      </mc:Fallback>
    </mc:AlternateContent>
    <mc:AlternateContent xmlns:mc="http://schemas.openxmlformats.org/markup-compatibility/2006">
      <mc:Choice Requires="x14">
        <control shapeId="21529" r:id="rId28" name="cbDrivingType">
          <controlPr defaultSize="0" autoFill="0" autoLine="0" r:id="rId29">
            <anchor moveWithCells="1">
              <from>
                <xdr:col>5</xdr:col>
                <xdr:colOff>19050</xdr:colOff>
                <xdr:row>82</xdr:row>
                <xdr:rowOff>69850</xdr:rowOff>
              </from>
              <to>
                <xdr:col>8</xdr:col>
                <xdr:colOff>158750</xdr:colOff>
                <xdr:row>83</xdr:row>
                <xdr:rowOff>120650</xdr:rowOff>
              </to>
            </anchor>
          </controlPr>
        </control>
      </mc:Choice>
      <mc:Fallback>
        <control shapeId="21529" r:id="rId28" name="cbDrivingType"/>
      </mc:Fallback>
    </mc:AlternateContent>
    <mc:AlternateContent xmlns:mc="http://schemas.openxmlformats.org/markup-compatibility/2006">
      <mc:Choice Requires="x14">
        <control shapeId="21530" r:id="rId30" name="cbCleaningReason">
          <controlPr defaultSize="0" autoFill="0" autoLine="0" r:id="rId31">
            <anchor moveWithCells="1">
              <from>
                <xdr:col>5</xdr:col>
                <xdr:colOff>19050</xdr:colOff>
                <xdr:row>88</xdr:row>
                <xdr:rowOff>69850</xdr:rowOff>
              </from>
              <to>
                <xdr:col>8</xdr:col>
                <xdr:colOff>158750</xdr:colOff>
                <xdr:row>89</xdr:row>
                <xdr:rowOff>120650</xdr:rowOff>
              </to>
            </anchor>
          </controlPr>
        </control>
      </mc:Choice>
      <mc:Fallback>
        <control shapeId="21530" r:id="rId30" name="cbCleaningReason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2"/>
  <dimension ref="B2:I61"/>
  <sheetViews>
    <sheetView topLeftCell="A13" workbookViewId="0">
      <selection activeCell="B50" sqref="B50"/>
    </sheetView>
  </sheetViews>
  <sheetFormatPr defaultRowHeight="14.5" x14ac:dyDescent="0.35"/>
  <cols>
    <col min="2" max="2" width="46.81640625" bestFit="1" customWidth="1"/>
    <col min="3" max="3" width="24.54296875" bestFit="1" customWidth="1"/>
    <col min="4" max="4" width="10.54296875" bestFit="1" customWidth="1"/>
    <col min="5" max="5" width="11.1796875" bestFit="1" customWidth="1"/>
  </cols>
  <sheetData>
    <row r="2" spans="2:3" x14ac:dyDescent="0.35">
      <c r="B2" t="s">
        <v>136</v>
      </c>
    </row>
    <row r="3" spans="2:3" ht="18" x14ac:dyDescent="0.4">
      <c r="B3" s="1" t="s">
        <v>105</v>
      </c>
      <c r="C3" s="2"/>
    </row>
    <row r="4" spans="2:3" x14ac:dyDescent="0.35">
      <c r="B4" s="2"/>
      <c r="C4" s="2"/>
    </row>
    <row r="5" spans="2:3" x14ac:dyDescent="0.35">
      <c r="B5" s="3" t="s">
        <v>1</v>
      </c>
      <c r="C5" s="3"/>
    </row>
    <row r="6" spans="2:3" x14ac:dyDescent="0.35">
      <c r="B6" s="3" t="s">
        <v>2</v>
      </c>
      <c r="C6" s="4"/>
    </row>
    <row r="7" spans="2:3" x14ac:dyDescent="0.35">
      <c r="B7" s="2"/>
      <c r="C7" s="2"/>
    </row>
    <row r="8" spans="2:3" x14ac:dyDescent="0.35">
      <c r="B8" s="7"/>
      <c r="C8" s="8"/>
    </row>
    <row r="9" spans="2:3" x14ac:dyDescent="0.35">
      <c r="B9" s="5" t="s">
        <v>35</v>
      </c>
      <c r="C9" s="8"/>
    </row>
    <row r="10" spans="2:3" x14ac:dyDescent="0.35">
      <c r="B10" s="7" t="s">
        <v>36</v>
      </c>
      <c r="C10" s="10"/>
    </row>
    <row r="11" spans="2:3" x14ac:dyDescent="0.35">
      <c r="B11" s="7" t="s">
        <v>37</v>
      </c>
      <c r="C11" s="8"/>
    </row>
    <row r="12" spans="2:3" x14ac:dyDescent="0.35">
      <c r="B12" s="7" t="s">
        <v>38</v>
      </c>
      <c r="C12" s="8"/>
    </row>
    <row r="13" spans="2:3" x14ac:dyDescent="0.35">
      <c r="B13" s="7" t="s">
        <v>39</v>
      </c>
      <c r="C13" s="8"/>
    </row>
    <row r="14" spans="2:3" x14ac:dyDescent="0.35">
      <c r="B14" s="7" t="s">
        <v>40</v>
      </c>
      <c r="C14" s="8"/>
    </row>
    <row r="15" spans="2:3" x14ac:dyDescent="0.35">
      <c r="B15" s="7" t="s">
        <v>41</v>
      </c>
      <c r="C15" s="8"/>
    </row>
    <row r="16" spans="2:3" x14ac:dyDescent="0.35">
      <c r="B16" s="7" t="s">
        <v>42</v>
      </c>
      <c r="C16" s="8"/>
    </row>
    <row r="17" spans="2:9" x14ac:dyDescent="0.35">
      <c r="B17" s="7" t="s">
        <v>43</v>
      </c>
      <c r="C17" s="8"/>
    </row>
    <row r="18" spans="2:9" x14ac:dyDescent="0.35">
      <c r="B18" s="7" t="s">
        <v>44</v>
      </c>
      <c r="C18" s="8"/>
    </row>
    <row r="19" spans="2:9" x14ac:dyDescent="0.35">
      <c r="B19" s="7" t="s">
        <v>45</v>
      </c>
      <c r="C19" s="8"/>
    </row>
    <row r="20" spans="2:9" x14ac:dyDescent="0.35">
      <c r="B20" s="7" t="s">
        <v>46</v>
      </c>
      <c r="C20" s="8"/>
    </row>
    <row r="21" spans="2:9" x14ac:dyDescent="0.35">
      <c r="B21" s="7" t="s">
        <v>47</v>
      </c>
      <c r="C21" s="8"/>
    </row>
    <row r="22" spans="2:9" x14ac:dyDescent="0.35">
      <c r="B22" s="7"/>
      <c r="C22" s="8"/>
    </row>
    <row r="23" spans="2:9" x14ac:dyDescent="0.35">
      <c r="B23" s="2"/>
      <c r="C23" s="2"/>
    </row>
    <row r="24" spans="2:9" x14ac:dyDescent="0.35">
      <c r="B24" s="33"/>
      <c r="C24" s="33"/>
      <c r="D24" s="33"/>
      <c r="E24" s="34" t="s">
        <v>106</v>
      </c>
      <c r="F24" s="34" t="s">
        <v>107</v>
      </c>
      <c r="G24" s="8" t="s">
        <v>107</v>
      </c>
      <c r="H24" s="35"/>
      <c r="I24" s="35"/>
    </row>
    <row r="25" spans="2:9" x14ac:dyDescent="0.35">
      <c r="B25" s="36"/>
      <c r="C25" s="36"/>
      <c r="D25" s="36"/>
      <c r="E25" s="37" t="s">
        <v>108</v>
      </c>
      <c r="F25" s="37" t="s">
        <v>109</v>
      </c>
      <c r="G25" s="8" t="s">
        <v>110</v>
      </c>
      <c r="H25" s="38"/>
      <c r="I25" s="38"/>
    </row>
    <row r="26" spans="2:9" x14ac:dyDescent="0.35">
      <c r="B26" s="36" t="s">
        <v>111</v>
      </c>
      <c r="C26" s="2"/>
      <c r="D26" s="34" t="s">
        <v>112</v>
      </c>
      <c r="E26" s="39"/>
      <c r="F26" s="40"/>
      <c r="G26" s="41"/>
      <c r="H26" s="42"/>
      <c r="I26" s="43"/>
    </row>
    <row r="27" spans="2:9" x14ac:dyDescent="0.35">
      <c r="B27" s="6"/>
      <c r="C27" s="2"/>
      <c r="D27" s="44"/>
      <c r="E27" s="45"/>
      <c r="F27" s="45"/>
      <c r="G27" s="45"/>
      <c r="H27" s="45"/>
      <c r="I27" s="45"/>
    </row>
    <row r="28" spans="2:9" x14ac:dyDescent="0.35">
      <c r="B28" s="6" t="s">
        <v>113</v>
      </c>
      <c r="C28" s="2"/>
      <c r="D28" s="45"/>
      <c r="E28" s="45"/>
      <c r="F28" s="45"/>
      <c r="G28" s="45"/>
    </row>
    <row r="29" spans="2:9" x14ac:dyDescent="0.35">
      <c r="B29" s="6"/>
      <c r="C29" s="2"/>
      <c r="D29" s="45"/>
      <c r="E29" s="45"/>
      <c r="F29" s="45"/>
      <c r="G29" s="45"/>
    </row>
    <row r="30" spans="2:9" x14ac:dyDescent="0.35">
      <c r="B30" s="6" t="s">
        <v>114</v>
      </c>
      <c r="C30" s="2"/>
      <c r="D30" s="46"/>
      <c r="E30" s="45"/>
      <c r="F30" s="45"/>
      <c r="G30" s="45"/>
    </row>
    <row r="31" spans="2:9" x14ac:dyDescent="0.35">
      <c r="B31" s="6" t="s">
        <v>115</v>
      </c>
      <c r="C31" s="2"/>
      <c r="D31" s="44"/>
      <c r="E31" s="46"/>
      <c r="F31" s="46"/>
      <c r="G31" s="46"/>
    </row>
    <row r="32" spans="2:9" x14ac:dyDescent="0.35">
      <c r="B32" s="6"/>
      <c r="C32" s="2"/>
      <c r="D32" s="44"/>
      <c r="E32" s="46"/>
      <c r="F32" s="46"/>
      <c r="G32" s="46"/>
    </row>
    <row r="33" spans="2:8" x14ac:dyDescent="0.35">
      <c r="B33" s="47" t="s">
        <v>116</v>
      </c>
      <c r="C33" s="2"/>
      <c r="D33" s="44" t="s">
        <v>117</v>
      </c>
      <c r="E33" s="44" t="s">
        <v>118</v>
      </c>
      <c r="F33" s="46"/>
      <c r="G33" s="46"/>
    </row>
    <row r="34" spans="2:8" x14ac:dyDescent="0.35">
      <c r="B34" s="47"/>
      <c r="C34" s="2" t="s">
        <v>119</v>
      </c>
      <c r="D34" s="48"/>
      <c r="E34" s="48"/>
      <c r="F34" s="44"/>
      <c r="G34" s="46"/>
    </row>
    <row r="35" spans="2:8" x14ac:dyDescent="0.35">
      <c r="B35" s="2"/>
      <c r="C35" s="2" t="s">
        <v>120</v>
      </c>
      <c r="D35" s="48"/>
      <c r="E35" s="48"/>
      <c r="F35" s="44"/>
      <c r="G35" s="46"/>
    </row>
    <row r="36" spans="2:8" x14ac:dyDescent="0.35">
      <c r="B36" s="2"/>
      <c r="C36" s="2" t="s">
        <v>121</v>
      </c>
      <c r="D36" s="48"/>
      <c r="E36" s="48"/>
      <c r="F36" s="44"/>
      <c r="G36" s="46"/>
    </row>
    <row r="37" spans="2:8" x14ac:dyDescent="0.35">
      <c r="B37" s="2"/>
      <c r="C37" s="2" t="s">
        <v>122</v>
      </c>
      <c r="D37" s="48"/>
      <c r="E37" s="48"/>
      <c r="F37" s="44"/>
      <c r="G37" s="46"/>
    </row>
    <row r="38" spans="2:8" x14ac:dyDescent="0.35">
      <c r="B38" s="2"/>
      <c r="C38" s="2" t="s">
        <v>123</v>
      </c>
      <c r="D38" s="48"/>
      <c r="E38" s="48"/>
      <c r="F38" s="44"/>
      <c r="G38" s="46"/>
    </row>
    <row r="39" spans="2:8" x14ac:dyDescent="0.35">
      <c r="B39" s="2"/>
      <c r="C39" s="2"/>
      <c r="D39" s="8"/>
      <c r="E39" s="2"/>
      <c r="F39" s="2"/>
      <c r="G39" s="2"/>
      <c r="H39" s="2"/>
    </row>
    <row r="40" spans="2:8" x14ac:dyDescent="0.35">
      <c r="B40" s="2" t="s">
        <v>124</v>
      </c>
      <c r="C40" s="2"/>
      <c r="D40" s="49"/>
      <c r="E40" s="2"/>
      <c r="F40" s="2"/>
      <c r="G40" s="2"/>
      <c r="H40" s="2"/>
    </row>
    <row r="41" spans="2:8" x14ac:dyDescent="0.35">
      <c r="B41" s="8" t="s">
        <v>125</v>
      </c>
      <c r="C41" s="2"/>
      <c r="D41" s="8"/>
      <c r="E41" s="2"/>
      <c r="F41" s="2"/>
      <c r="G41" s="2"/>
      <c r="H41" s="8"/>
    </row>
    <row r="42" spans="2:8" x14ac:dyDescent="0.35">
      <c r="B42" s="50" t="s">
        <v>126</v>
      </c>
      <c r="C42" s="2" t="s">
        <v>18</v>
      </c>
      <c r="D42" s="8" t="s">
        <v>18</v>
      </c>
      <c r="E42" s="47"/>
      <c r="F42" s="47"/>
      <c r="G42" s="2"/>
    </row>
    <row r="43" spans="2:8" x14ac:dyDescent="0.35">
      <c r="B43" s="2"/>
      <c r="C43" s="2" t="s">
        <v>127</v>
      </c>
      <c r="D43" s="47"/>
      <c r="E43" s="47"/>
      <c r="F43" s="2"/>
    </row>
    <row r="44" spans="2:8" x14ac:dyDescent="0.35">
      <c r="B44" s="2"/>
      <c r="C44" s="2"/>
      <c r="D44" s="47"/>
      <c r="E44" s="47"/>
      <c r="F44" s="2"/>
    </row>
    <row r="45" spans="2:8" x14ac:dyDescent="0.35">
      <c r="B45" s="2"/>
      <c r="C45" s="2" t="s">
        <v>128</v>
      </c>
      <c r="D45" s="2"/>
      <c r="E45" s="2"/>
      <c r="F45" s="2"/>
    </row>
    <row r="46" spans="2:8" x14ac:dyDescent="0.35">
      <c r="B46" s="2"/>
      <c r="C46" s="2" t="s">
        <v>129</v>
      </c>
      <c r="D46" s="47"/>
      <c r="E46" s="47"/>
      <c r="F46" s="2"/>
    </row>
    <row r="47" spans="2:8" x14ac:dyDescent="0.35">
      <c r="B47" s="2"/>
      <c r="C47" s="2"/>
      <c r="D47" s="47"/>
      <c r="E47" s="47"/>
      <c r="F47" s="2"/>
    </row>
    <row r="48" spans="2:8" x14ac:dyDescent="0.35">
      <c r="B48" s="50" t="s">
        <v>130</v>
      </c>
      <c r="C48" s="2"/>
      <c r="D48" s="47"/>
      <c r="E48" s="47"/>
      <c r="F48" s="2"/>
    </row>
    <row r="49" spans="2:9" x14ac:dyDescent="0.35">
      <c r="B49" s="2"/>
      <c r="C49" s="2" t="s">
        <v>138</v>
      </c>
      <c r="D49" s="47"/>
      <c r="E49" s="47"/>
      <c r="F49" s="2"/>
    </row>
    <row r="50" spans="2:9" x14ac:dyDescent="0.35">
      <c r="B50" s="2"/>
      <c r="C50" s="2" t="s">
        <v>129</v>
      </c>
      <c r="D50" s="47"/>
      <c r="E50" s="47"/>
      <c r="F50" s="2"/>
    </row>
    <row r="51" spans="2:9" x14ac:dyDescent="0.35">
      <c r="B51" s="2"/>
      <c r="C51" s="51" t="s">
        <v>18</v>
      </c>
      <c r="D51" s="47"/>
      <c r="E51" s="47"/>
      <c r="F51" s="2"/>
    </row>
    <row r="52" spans="2:9" x14ac:dyDescent="0.35">
      <c r="B52" s="2" t="s">
        <v>131</v>
      </c>
      <c r="C52" s="2" t="s">
        <v>18</v>
      </c>
      <c r="D52" s="47"/>
      <c r="E52" s="47"/>
      <c r="F52" s="2"/>
    </row>
    <row r="53" spans="2:9" x14ac:dyDescent="0.35">
      <c r="B53" s="2"/>
      <c r="C53" s="2" t="s">
        <v>132</v>
      </c>
      <c r="D53" s="2"/>
      <c r="E53" s="2"/>
      <c r="F53" s="2"/>
    </row>
    <row r="54" spans="2:9" x14ac:dyDescent="0.35">
      <c r="B54" s="2"/>
      <c r="C54" s="52"/>
      <c r="D54" s="2"/>
      <c r="E54" s="2"/>
      <c r="F54" s="2"/>
      <c r="G54" s="47"/>
    </row>
    <row r="55" spans="2:9" x14ac:dyDescent="0.35">
      <c r="B55" s="2"/>
      <c r="C55" s="52" t="s">
        <v>133</v>
      </c>
      <c r="D55" s="2"/>
      <c r="E55" s="2"/>
      <c r="F55" s="2"/>
      <c r="G55" s="47"/>
    </row>
    <row r="56" spans="2:9" x14ac:dyDescent="0.35">
      <c r="B56" s="2"/>
      <c r="C56" s="52"/>
      <c r="D56" s="8"/>
      <c r="E56" s="2"/>
      <c r="F56" s="2"/>
      <c r="G56" s="2"/>
      <c r="H56" s="47"/>
    </row>
    <row r="57" spans="2:9" x14ac:dyDescent="0.35">
      <c r="B57" s="2" t="s">
        <v>134</v>
      </c>
      <c r="C57" s="52"/>
      <c r="D57" s="8"/>
      <c r="E57" s="2"/>
      <c r="F57" s="2"/>
      <c r="G57" s="2"/>
      <c r="H57" s="47"/>
    </row>
    <row r="58" spans="2:9" x14ac:dyDescent="0.35">
      <c r="B58" s="2"/>
      <c r="C58" s="52" t="s">
        <v>137</v>
      </c>
      <c r="D58" s="2"/>
      <c r="E58" s="2"/>
      <c r="F58" s="2"/>
      <c r="G58" s="47"/>
    </row>
    <row r="59" spans="2:9" x14ac:dyDescent="0.35">
      <c r="B59" s="2"/>
      <c r="C59" s="52"/>
      <c r="D59" s="2"/>
      <c r="E59" s="2"/>
      <c r="F59" s="2"/>
      <c r="G59" s="47"/>
    </row>
    <row r="60" spans="2:9" x14ac:dyDescent="0.35">
      <c r="B60" s="2"/>
      <c r="C60" s="52" t="s">
        <v>135</v>
      </c>
      <c r="D60" s="2"/>
      <c r="E60" s="2"/>
      <c r="F60" s="2"/>
      <c r="G60" s="47"/>
    </row>
    <row r="61" spans="2:9" x14ac:dyDescent="0.35">
      <c r="B61" s="11"/>
      <c r="C61" s="2"/>
      <c r="D61" s="2"/>
      <c r="E61" s="2"/>
      <c r="F61" s="2"/>
      <c r="G61" s="2"/>
      <c r="H61" s="47"/>
      <c r="I61" s="47"/>
    </row>
  </sheetData>
  <dataConsolidate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3575" r:id="rId4" name="cbCracking">
          <controlPr defaultSize="0" autoFill="0" autoLine="0" r:id="rId5">
            <anchor moveWithCells="1">
              <from>
                <xdr:col>3</xdr:col>
                <xdr:colOff>50800</xdr:colOff>
                <xdr:row>54</xdr:row>
                <xdr:rowOff>0</xdr:rowOff>
              </from>
              <to>
                <xdr:col>6</xdr:col>
                <xdr:colOff>584200</xdr:colOff>
                <xdr:row>55</xdr:row>
                <xdr:rowOff>31750</xdr:rowOff>
              </to>
            </anchor>
          </controlPr>
        </control>
      </mc:Choice>
      <mc:Fallback>
        <control shapeId="23575" r:id="rId4" name="cbCracking"/>
      </mc:Fallback>
    </mc:AlternateContent>
    <mc:AlternateContent xmlns:mc="http://schemas.openxmlformats.org/markup-compatibility/2006">
      <mc:Choice Requires="x14">
        <control shapeId="23574" r:id="rId6" name="cbBreachChannels">
          <controlPr defaultSize="0" autoFill="0" autoLine="0" r:id="rId7">
            <anchor moveWithCells="1">
              <from>
                <xdr:col>3</xdr:col>
                <xdr:colOff>50800</xdr:colOff>
                <xdr:row>52</xdr:row>
                <xdr:rowOff>0</xdr:rowOff>
              </from>
              <to>
                <xdr:col>6</xdr:col>
                <xdr:colOff>584200</xdr:colOff>
                <xdr:row>53</xdr:row>
                <xdr:rowOff>31750</xdr:rowOff>
              </to>
            </anchor>
          </controlPr>
        </control>
      </mc:Choice>
      <mc:Fallback>
        <control shapeId="23574" r:id="rId6" name="cbBreachChannels"/>
      </mc:Fallback>
    </mc:AlternateContent>
    <mc:AlternateContent xmlns:mc="http://schemas.openxmlformats.org/markup-compatibility/2006">
      <mc:Choice Requires="x14">
        <control shapeId="23573" r:id="rId8" name="cbOutletColor">
          <controlPr defaultSize="0" autoFill="0" autoLine="0" r:id="rId9">
            <anchor moveWithCells="1">
              <from>
                <xdr:col>3</xdr:col>
                <xdr:colOff>12700</xdr:colOff>
                <xdr:row>48</xdr:row>
                <xdr:rowOff>12700</xdr:rowOff>
              </from>
              <to>
                <xdr:col>6</xdr:col>
                <xdr:colOff>546100</xdr:colOff>
                <xdr:row>49</xdr:row>
                <xdr:rowOff>44450</xdr:rowOff>
              </to>
            </anchor>
          </controlPr>
        </control>
      </mc:Choice>
      <mc:Fallback>
        <control shapeId="23573" r:id="rId8" name="cbOutletColor"/>
      </mc:Fallback>
    </mc:AlternateContent>
    <mc:AlternateContent xmlns:mc="http://schemas.openxmlformats.org/markup-compatibility/2006">
      <mc:Choice Requires="x14">
        <control shapeId="23572" r:id="rId10" name="cbAshColor">
          <controlPr defaultSize="0" autoFill="0" autoLine="0" r:id="rId11">
            <anchor moveWithCells="1">
              <from>
                <xdr:col>3</xdr:col>
                <xdr:colOff>12700</xdr:colOff>
                <xdr:row>45</xdr:row>
                <xdr:rowOff>12700</xdr:rowOff>
              </from>
              <to>
                <xdr:col>6</xdr:col>
                <xdr:colOff>546100</xdr:colOff>
                <xdr:row>46</xdr:row>
                <xdr:rowOff>44450</xdr:rowOff>
              </to>
            </anchor>
          </controlPr>
        </control>
      </mc:Choice>
      <mc:Fallback>
        <control shapeId="23572" r:id="rId10" name="cbAshColor"/>
      </mc:Fallback>
    </mc:AlternateContent>
    <mc:AlternateContent xmlns:mc="http://schemas.openxmlformats.org/markup-compatibility/2006">
      <mc:Choice Requires="x14">
        <control shapeId="23571" r:id="rId12" name="cbAsh">
          <controlPr defaultSize="0" autoFill="0" autoLine="0" r:id="rId13">
            <anchor moveWithCells="1">
              <from>
                <xdr:col>3</xdr:col>
                <xdr:colOff>31750</xdr:colOff>
                <xdr:row>43</xdr:row>
                <xdr:rowOff>165100</xdr:rowOff>
              </from>
              <to>
                <xdr:col>6</xdr:col>
                <xdr:colOff>565150</xdr:colOff>
                <xdr:row>45</xdr:row>
                <xdr:rowOff>12700</xdr:rowOff>
              </to>
            </anchor>
          </controlPr>
        </control>
      </mc:Choice>
      <mc:Fallback>
        <control shapeId="23571" r:id="rId12" name="cbAsh"/>
      </mc:Fallback>
    </mc:AlternateContent>
    <mc:AlternateContent xmlns:mc="http://schemas.openxmlformats.org/markup-compatibility/2006">
      <mc:Choice Requires="x14">
        <control shapeId="23570" r:id="rId14" name="cbSoot">
          <controlPr defaultSize="0" autoFill="0" autoLine="0" r:id="rId15">
            <anchor moveWithCells="1">
              <from>
                <xdr:col>3</xdr:col>
                <xdr:colOff>31750</xdr:colOff>
                <xdr:row>41</xdr:row>
                <xdr:rowOff>165100</xdr:rowOff>
              </from>
              <to>
                <xdr:col>6</xdr:col>
                <xdr:colOff>565150</xdr:colOff>
                <xdr:row>43</xdr:row>
                <xdr:rowOff>12700</xdr:rowOff>
              </to>
            </anchor>
          </controlPr>
        </control>
      </mc:Choice>
      <mc:Fallback>
        <control shapeId="23570" r:id="rId14" name="cbSoot"/>
      </mc:Fallback>
    </mc:AlternateContent>
    <mc:AlternateContent xmlns:mc="http://schemas.openxmlformats.org/markup-compatibility/2006">
      <mc:Choice Requires="x14">
        <control shapeId="23567" r:id="rId16" name="cbECD">
          <controlPr defaultSize="0" autoFill="0" autoLine="0" autoPict="0" r:id="rId17">
            <anchor moveWithCells="1">
              <from>
                <xdr:col>2</xdr:col>
                <xdr:colOff>19050</xdr:colOff>
                <xdr:row>8</xdr:row>
                <xdr:rowOff>69850</xdr:rowOff>
              </from>
              <to>
                <xdr:col>4</xdr:col>
                <xdr:colOff>222250</xdr:colOff>
                <xdr:row>9</xdr:row>
                <xdr:rowOff>107950</xdr:rowOff>
              </to>
            </anchor>
          </controlPr>
        </control>
      </mc:Choice>
      <mc:Fallback>
        <control shapeId="23567" r:id="rId16" name="cbECD"/>
      </mc:Fallback>
    </mc:AlternateContent>
    <mc:AlternateContent xmlns:mc="http://schemas.openxmlformats.org/markup-compatibility/2006">
      <mc:Choice Requires="x14">
        <control shapeId="23561" r:id="rId18" name="cbDPF">
          <controlPr defaultSize="0" autoFill="0" autoLine="0" autoPict="0" r:id="rId19">
            <anchor moveWithCells="1">
              <from>
                <xdr:col>2</xdr:col>
                <xdr:colOff>12700</xdr:colOff>
                <xdr:row>2</xdr:row>
                <xdr:rowOff>0</xdr:rowOff>
              </from>
              <to>
                <xdr:col>4</xdr:col>
                <xdr:colOff>209550</xdr:colOff>
                <xdr:row>2</xdr:row>
                <xdr:rowOff>222250</xdr:rowOff>
              </to>
            </anchor>
          </controlPr>
        </control>
      </mc:Choice>
      <mc:Fallback>
        <control shapeId="23561" r:id="rId18" name="cbDPF"/>
      </mc:Fallback>
    </mc:AlternateContent>
    <mc:AlternateContent xmlns:mc="http://schemas.openxmlformats.org/markup-compatibility/2006">
      <mc:Choice Requires="x14">
        <control shapeId="23560" r:id="rId20" name="chkRedAsh">
          <controlPr autoLine="0" r:id="rId21">
            <anchor moveWithCells="1">
              <from>
                <xdr:col>3</xdr:col>
                <xdr:colOff>184150</xdr:colOff>
                <xdr:row>59</xdr:row>
                <xdr:rowOff>38100</xdr:rowOff>
              </from>
              <to>
                <xdr:col>3</xdr:col>
                <xdr:colOff>355600</xdr:colOff>
                <xdr:row>60</xdr:row>
                <xdr:rowOff>19050</xdr:rowOff>
              </to>
            </anchor>
          </controlPr>
        </control>
      </mc:Choice>
      <mc:Fallback>
        <control shapeId="23560" r:id="rId20" name="chkRedAsh"/>
      </mc:Fallback>
    </mc:AlternateContent>
    <mc:AlternateContent xmlns:mc="http://schemas.openxmlformats.org/markup-compatibility/2006">
      <mc:Choice Requires="x14">
        <control shapeId="23559" r:id="rId22" name="cmdSave">
          <controlPr defaultSize="0" autoFill="0" autoLine="0" autoPict="0" r:id="rId23">
            <anchor moveWithCells="1">
              <from>
                <xdr:col>7</xdr:col>
                <xdr:colOff>0</xdr:colOff>
                <xdr:row>2</xdr:row>
                <xdr:rowOff>0</xdr:rowOff>
              </from>
              <to>
                <xdr:col>9</xdr:col>
                <xdr:colOff>0</xdr:colOff>
                <xdr:row>3</xdr:row>
                <xdr:rowOff>50800</xdr:rowOff>
              </to>
            </anchor>
          </controlPr>
        </control>
      </mc:Choice>
      <mc:Fallback>
        <control shapeId="23559" r:id="rId22" name="cmdSave"/>
      </mc:Fallback>
    </mc:AlternateContent>
    <mc:AlternateContent xmlns:mc="http://schemas.openxmlformats.org/markup-compatibility/2006">
      <mc:Choice Requires="x14">
        <control shapeId="23555" r:id="rId24" name="chkECDPinDropDepth">
          <controlPr autoLine="0" r:id="rId21">
            <anchor moveWithCells="1">
              <from>
                <xdr:col>3</xdr:col>
                <xdr:colOff>165100</xdr:colOff>
                <xdr:row>28</xdr:row>
                <xdr:rowOff>165100</xdr:rowOff>
              </from>
              <to>
                <xdr:col>3</xdr:col>
                <xdr:colOff>336550</xdr:colOff>
                <xdr:row>29</xdr:row>
                <xdr:rowOff>146050</xdr:rowOff>
              </to>
            </anchor>
          </controlPr>
        </control>
      </mc:Choice>
      <mc:Fallback>
        <control shapeId="23555" r:id="rId24" name="chkECDPinDropDepth"/>
      </mc:Fallback>
    </mc:AlternateContent>
    <mc:AlternateContent xmlns:mc="http://schemas.openxmlformats.org/markup-compatibility/2006">
      <mc:Choice Requires="x14">
        <control shapeId="23554" r:id="rId25" name="chkUSignalReceived">
          <controlPr autoLine="0" r:id="rId21">
            <anchor moveWithCells="1">
              <from>
                <xdr:col>3</xdr:col>
                <xdr:colOff>165100</xdr:colOff>
                <xdr:row>27</xdr:row>
                <xdr:rowOff>57150</xdr:rowOff>
              </from>
              <to>
                <xdr:col>3</xdr:col>
                <xdr:colOff>336550</xdr:colOff>
                <xdr:row>28</xdr:row>
                <xdr:rowOff>38100</xdr:rowOff>
              </to>
            </anchor>
          </controlPr>
        </control>
      </mc:Choice>
      <mc:Fallback>
        <control shapeId="23554" r:id="rId25" name="chkUSignalReceived"/>
      </mc:Fallback>
    </mc:AlternateContent>
    <mc:AlternateContent xmlns:mc="http://schemas.openxmlformats.org/markup-compatibility/2006">
      <mc:Choice Requires="x14">
        <control shapeId="23553" r:id="rId26" name="chkCoolant">
          <controlPr autoLine="0" r:id="rId21">
            <anchor moveWithCells="1">
              <from>
                <xdr:col>3</xdr:col>
                <xdr:colOff>190500</xdr:colOff>
                <xdr:row>57</xdr:row>
                <xdr:rowOff>12700</xdr:rowOff>
              </from>
              <to>
                <xdr:col>3</xdr:col>
                <xdr:colOff>361950</xdr:colOff>
                <xdr:row>57</xdr:row>
                <xdr:rowOff>177800</xdr:rowOff>
              </to>
            </anchor>
          </controlPr>
        </control>
      </mc:Choice>
      <mc:Fallback>
        <control shapeId="23553" r:id="rId26" name="chkCoolant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3"/>
  <dimension ref="B2:I86"/>
  <sheetViews>
    <sheetView tabSelected="1" workbookViewId="0">
      <selection activeCell="G22" sqref="G22:G32"/>
    </sheetView>
  </sheetViews>
  <sheetFormatPr defaultRowHeight="14.5" x14ac:dyDescent="0.35"/>
  <cols>
    <col min="2" max="2" width="46.81640625" bestFit="1" customWidth="1"/>
    <col min="3" max="3" width="24.54296875" bestFit="1" customWidth="1"/>
    <col min="4" max="4" width="10.54296875" bestFit="1" customWidth="1"/>
    <col min="5" max="5" width="11.1796875" bestFit="1" customWidth="1"/>
    <col min="7" max="7" width="29.81640625" bestFit="1" customWidth="1"/>
    <col min="8" max="8" width="11.81640625" bestFit="1" customWidth="1"/>
    <col min="9" max="9" width="11.36328125" bestFit="1" customWidth="1"/>
  </cols>
  <sheetData>
    <row r="2" spans="2:9" x14ac:dyDescent="0.35">
      <c r="B2" t="s">
        <v>136</v>
      </c>
    </row>
    <row r="3" spans="2:9" ht="18" x14ac:dyDescent="0.4">
      <c r="B3" s="1" t="s">
        <v>105</v>
      </c>
      <c r="C3" s="2"/>
    </row>
    <row r="4" spans="2:9" x14ac:dyDescent="0.35">
      <c r="B4" s="2"/>
      <c r="C4" s="2"/>
    </row>
    <row r="5" spans="2:9" x14ac:dyDescent="0.35">
      <c r="B5" s="3" t="s">
        <v>1</v>
      </c>
      <c r="C5" s="3"/>
    </row>
    <row r="6" spans="2:9" x14ac:dyDescent="0.35">
      <c r="B6" s="3" t="s">
        <v>2</v>
      </c>
      <c r="C6" s="4"/>
    </row>
    <row r="7" spans="2:9" x14ac:dyDescent="0.35">
      <c r="B7" s="5" t="s">
        <v>35</v>
      </c>
      <c r="C7" s="8"/>
    </row>
    <row r="8" spans="2:9" x14ac:dyDescent="0.35">
      <c r="B8" s="7" t="s">
        <v>36</v>
      </c>
      <c r="C8" s="10"/>
    </row>
    <row r="9" spans="2:9" x14ac:dyDescent="0.35">
      <c r="B9" s="7" t="s">
        <v>45</v>
      </c>
      <c r="C9" s="81">
        <v>12</v>
      </c>
    </row>
    <row r="10" spans="2:9" x14ac:dyDescent="0.35">
      <c r="B10" s="7" t="s">
        <v>47</v>
      </c>
      <c r="C10" s="81">
        <v>11</v>
      </c>
    </row>
    <row r="11" spans="2:9" x14ac:dyDescent="0.35">
      <c r="B11" t="s">
        <v>180</v>
      </c>
      <c r="C11" s="48">
        <v>110000</v>
      </c>
      <c r="D11" s="75" t="s">
        <v>181</v>
      </c>
      <c r="G11" s="75" t="s">
        <v>179</v>
      </c>
      <c r="H11" s="81">
        <f>(3.14*(SubDiameter/2)^2)*(SubLenth)*(1/12)^3</f>
        <v>0.71958333333333335</v>
      </c>
      <c r="I11" s="83" t="s">
        <v>174</v>
      </c>
    </row>
    <row r="12" spans="2:9" x14ac:dyDescent="0.35">
      <c r="B12" t="s">
        <v>184</v>
      </c>
      <c r="C12" s="48">
        <v>60</v>
      </c>
      <c r="D12" t="s">
        <v>183</v>
      </c>
      <c r="G12" s="75"/>
      <c r="H12" s="81">
        <f>Volume*28.317</f>
        <v>20.376441249999999</v>
      </c>
      <c r="I12" s="83" t="s">
        <v>186</v>
      </c>
    </row>
    <row r="13" spans="2:9" x14ac:dyDescent="0.35">
      <c r="B13" s="7"/>
      <c r="C13" s="8"/>
      <c r="G13" t="s">
        <v>182</v>
      </c>
      <c r="H13" s="81">
        <f>(Volume*MaxSpaceVelocity)*(1/60)*(61.7)/(2350*0.395)</f>
        <v>87.688519316515553</v>
      </c>
      <c r="I13" t="s">
        <v>183</v>
      </c>
    </row>
    <row r="14" spans="2:9" x14ac:dyDescent="0.35">
      <c r="G14" t="s">
        <v>185</v>
      </c>
      <c r="H14" s="82" t="str">
        <f>IF(H13&gt;MaxHertz,"60",H13)</f>
        <v>60</v>
      </c>
      <c r="I14" t="s">
        <v>183</v>
      </c>
    </row>
    <row r="15" spans="2:9" x14ac:dyDescent="0.35">
      <c r="B15" s="53" t="s">
        <v>157</v>
      </c>
      <c r="C15" s="54"/>
      <c r="D15" s="55" t="str">
        <f>B7</f>
        <v>DPF Information</v>
      </c>
      <c r="E15" s="56"/>
      <c r="F15" s="56"/>
    </row>
    <row r="16" spans="2:9" x14ac:dyDescent="0.35">
      <c r="B16" s="57"/>
      <c r="C16" s="57"/>
      <c r="D16" s="57"/>
      <c r="E16" s="57"/>
      <c r="F16" s="57"/>
    </row>
    <row r="17" spans="2:9" x14ac:dyDescent="0.35">
      <c r="B17" s="58" t="s">
        <v>158</v>
      </c>
      <c r="D17" s="41">
        <v>65</v>
      </c>
      <c r="E17" t="s">
        <v>159</v>
      </c>
    </row>
    <row r="18" spans="2:9" x14ac:dyDescent="0.35">
      <c r="B18" s="58" t="s">
        <v>160</v>
      </c>
      <c r="D18" s="41">
        <v>14.696</v>
      </c>
      <c r="E18" t="s">
        <v>161</v>
      </c>
    </row>
    <row r="19" spans="2:9" x14ac:dyDescent="0.35">
      <c r="B19" s="58" t="s">
        <v>162</v>
      </c>
      <c r="D19" s="48"/>
    </row>
    <row r="20" spans="2:9" x14ac:dyDescent="0.35">
      <c r="B20" s="59" t="s">
        <v>163</v>
      </c>
      <c r="C20" s="60" t="s">
        <v>164</v>
      </c>
      <c r="D20" s="61" t="s">
        <v>165</v>
      </c>
      <c r="E20" s="61" t="s">
        <v>166</v>
      </c>
      <c r="G20" s="62" t="s">
        <v>167</v>
      </c>
      <c r="H20" s="61"/>
      <c r="I20" s="61"/>
    </row>
    <row r="21" spans="2:9" x14ac:dyDescent="0.35">
      <c r="B21" s="63" t="s">
        <v>168</v>
      </c>
      <c r="C21" s="63" t="s">
        <v>169</v>
      </c>
      <c r="D21" s="63" t="s">
        <v>170</v>
      </c>
      <c r="E21" s="63" t="s">
        <v>169</v>
      </c>
      <c r="F21" s="63" t="s">
        <v>171</v>
      </c>
      <c r="G21" s="62" t="s">
        <v>172</v>
      </c>
      <c r="H21" s="61" t="s">
        <v>169</v>
      </c>
      <c r="I21" s="61" t="s">
        <v>173</v>
      </c>
    </row>
    <row r="22" spans="2:9" x14ac:dyDescent="0.35">
      <c r="B22" s="64">
        <f>0.25*$H$14</f>
        <v>15</v>
      </c>
      <c r="C22" s="65">
        <f>(2350/61.7)*B22*0.395</f>
        <v>225.66855753646678</v>
      </c>
      <c r="D22" s="48">
        <v>5.1999999999999998E-2</v>
      </c>
      <c r="E22" s="65">
        <f t="shared" ref="E22:E31" si="0">C22-(34.4764881*D22-4.325744048*D22^2+0.369475446*D22^3-0.01733631*D22^4+0.000339472*D22^5)</f>
        <v>223.88742514259644</v>
      </c>
      <c r="F22" s="66">
        <f>(E22*60)/Volume</f>
        <v>18668.088720633405</v>
      </c>
      <c r="G22" s="48">
        <v>20000</v>
      </c>
      <c r="H22" s="67">
        <f>G22*Volume/60</f>
        <v>239.86111111111114</v>
      </c>
      <c r="I22" s="68">
        <f>G22^2*P0a+G22*P0b+P0c</f>
        <v>5.6650687991610001E-2</v>
      </c>
    </row>
    <row r="23" spans="2:9" x14ac:dyDescent="0.35">
      <c r="B23" s="64">
        <f>0.4*$H$14</f>
        <v>24</v>
      </c>
      <c r="C23" s="65">
        <f t="shared" ref="C23:C32" si="1">(2350/61.7)*B23*0.395</f>
        <v>361.06969205834679</v>
      </c>
      <c r="D23" s="48">
        <v>8.6999999999999994E-2</v>
      </c>
      <c r="E23" s="65">
        <f t="shared" si="0"/>
        <v>358.10273684115754</v>
      </c>
      <c r="F23" s="66">
        <f>(E23*60)/Volume</f>
        <v>29859.174351549904</v>
      </c>
      <c r="G23" s="48">
        <v>35000</v>
      </c>
      <c r="H23" s="67">
        <f>G23*Volume/60</f>
        <v>419.75694444444446</v>
      </c>
      <c r="I23" s="68">
        <f>G23^2*P0a+G23*P0b+P0c</f>
        <v>0.10239421300337251</v>
      </c>
    </row>
    <row r="24" spans="2:9" x14ac:dyDescent="0.35">
      <c r="B24" s="64">
        <f>0.5*$H$14</f>
        <v>30</v>
      </c>
      <c r="C24" s="65">
        <f t="shared" si="1"/>
        <v>451.33711507293356</v>
      </c>
      <c r="D24" s="48">
        <v>0.111</v>
      </c>
      <c r="E24" s="65">
        <f t="shared" si="0"/>
        <v>447.56301970622889</v>
      </c>
      <c r="F24" s="66">
        <f>(E24*60)/Volume</f>
        <v>37318.514671509525</v>
      </c>
      <c r="G24" s="48">
        <v>50000</v>
      </c>
      <c r="H24" s="67">
        <f>G24*Volume/60</f>
        <v>599.65277777777771</v>
      </c>
      <c r="I24" s="68">
        <f>G24^2*P0a+G24*P0b+P0c</f>
        <v>0.15562699864085999</v>
      </c>
    </row>
    <row r="25" spans="2:9" x14ac:dyDescent="0.35">
      <c r="B25" s="64">
        <f>0.6*$H$14</f>
        <v>36</v>
      </c>
      <c r="C25" s="65">
        <f t="shared" si="1"/>
        <v>541.60453808752015</v>
      </c>
      <c r="D25" s="48">
        <v>0.13700000000000001</v>
      </c>
      <c r="E25" s="65">
        <f t="shared" si="0"/>
        <v>536.96150514683188</v>
      </c>
      <c r="F25" s="66">
        <f>(E25*60)/Volume</f>
        <v>44772.702224171277</v>
      </c>
      <c r="G25" s="48">
        <v>60000</v>
      </c>
      <c r="H25" s="67">
        <f>G25*Volume/60</f>
        <v>719.58333333333337</v>
      </c>
      <c r="I25" s="68">
        <f>G25^2*P0a+G25*P0b+P0c</f>
        <v>0.19527622274681</v>
      </c>
    </row>
    <row r="26" spans="2:9" x14ac:dyDescent="0.35">
      <c r="B26" s="64">
        <f>0.7*$H$14</f>
        <v>42</v>
      </c>
      <c r="C26" s="65">
        <f t="shared" si="1"/>
        <v>631.87196110210698</v>
      </c>
      <c r="D26" s="48">
        <v>0.16300000000000001</v>
      </c>
      <c r="E26" s="65">
        <f t="shared" si="0"/>
        <v>626.36563632958325</v>
      </c>
      <c r="F26" s="66">
        <f>(E26*60)/Volume</f>
        <v>52227.360527770696</v>
      </c>
      <c r="G26" s="48">
        <v>70000</v>
      </c>
      <c r="H26" s="67">
        <f>G26*Volume/60</f>
        <v>839.51388888888891</v>
      </c>
      <c r="I26" s="68">
        <f>G26^2*P0a+G26*P0b+P0c</f>
        <v>0.23825400713086001</v>
      </c>
    </row>
    <row r="27" spans="2:9" x14ac:dyDescent="0.35">
      <c r="B27" s="64">
        <f>0.75*$H$14</f>
        <v>45</v>
      </c>
      <c r="C27" s="65">
        <f t="shared" si="1"/>
        <v>677.00567260940034</v>
      </c>
      <c r="D27" s="48">
        <v>0.17699999999999999</v>
      </c>
      <c r="E27" s="65">
        <f t="shared" si="0"/>
        <v>671.03682358026538</v>
      </c>
      <c r="F27" s="66">
        <f>(E27*60)/Volume</f>
        <v>55952.114994532836</v>
      </c>
      <c r="G27" s="48">
        <v>75000</v>
      </c>
      <c r="H27" s="67">
        <f>G27*Volume/60</f>
        <v>899.47916666666663</v>
      </c>
      <c r="I27" s="68">
        <f>G27^2*P0a+G27*P0b+P0c</f>
        <v>0.26099110942717252</v>
      </c>
    </row>
    <row r="28" spans="2:9" x14ac:dyDescent="0.35">
      <c r="B28" s="64">
        <f>0.8*$H$14</f>
        <v>48</v>
      </c>
      <c r="C28" s="65">
        <f t="shared" si="1"/>
        <v>722.13938411669358</v>
      </c>
      <c r="D28" s="48">
        <v>0.19400000000000001</v>
      </c>
      <c r="E28" s="65">
        <f t="shared" si="0"/>
        <v>715.61107590922609</v>
      </c>
      <c r="F28" s="66">
        <f>(E28*60)/Volume</f>
        <v>59668.786873728175</v>
      </c>
      <c r="G28" s="48">
        <v>80000</v>
      </c>
      <c r="H28" s="67">
        <f>G28*Volume/60</f>
        <v>959.44444444444457</v>
      </c>
      <c r="I28" s="68">
        <f>G28^2*P0a+G28*P0b+P0c</f>
        <v>0.28456035179301004</v>
      </c>
    </row>
    <row r="29" spans="2:9" x14ac:dyDescent="0.35">
      <c r="B29" s="64">
        <f>0.85*$H$14</f>
        <v>51</v>
      </c>
      <c r="C29" s="65">
        <f t="shared" si="1"/>
        <v>767.27309562398705</v>
      </c>
      <c r="D29" s="48">
        <v>0.20899999999999999</v>
      </c>
      <c r="E29" s="65">
        <f t="shared" si="0"/>
        <v>760.25312231676514</v>
      </c>
      <c r="F29" s="66">
        <f>(E29*60)/Volume</f>
        <v>63391.111530755174</v>
      </c>
      <c r="G29" s="48">
        <v>85000</v>
      </c>
      <c r="H29" s="67">
        <f>G29*Volume/60</f>
        <v>1019.4097222222223</v>
      </c>
      <c r="I29" s="68">
        <f>G29^2*P0a+G29*P0b+P0c</f>
        <v>0.30896173422837253</v>
      </c>
    </row>
    <row r="30" spans="2:9" x14ac:dyDescent="0.35">
      <c r="B30" s="64">
        <f>0.9*$H$14</f>
        <v>54</v>
      </c>
      <c r="C30" s="65">
        <f t="shared" si="1"/>
        <v>812.4068071312804</v>
      </c>
      <c r="D30" s="48">
        <v>0.22700000000000001</v>
      </c>
      <c r="E30" s="65">
        <f t="shared" si="0"/>
        <v>804.79926964008484</v>
      </c>
      <c r="F30" s="66">
        <f>(E30*60)/Volume</f>
        <v>67105.439969989704</v>
      </c>
      <c r="G30" s="48">
        <v>90000</v>
      </c>
      <c r="H30" s="67">
        <f>G30*Volume/60</f>
        <v>1079.375</v>
      </c>
      <c r="I30" s="68">
        <f>G30^2*P0a+G30*P0b+P0c</f>
        <v>0.33419525673326006</v>
      </c>
    </row>
    <row r="31" spans="2:9" x14ac:dyDescent="0.35">
      <c r="B31" s="64">
        <f>0.95*$H$14</f>
        <v>57</v>
      </c>
      <c r="C31" s="65">
        <f t="shared" si="1"/>
        <v>857.54051863857376</v>
      </c>
      <c r="D31" s="48">
        <v>0.24199999999999999</v>
      </c>
      <c r="E31" s="65">
        <f t="shared" si="0"/>
        <v>849.44536418378732</v>
      </c>
      <c r="F31" s="66">
        <f>(E31*60)/Volume</f>
        <v>70828.10216703263</v>
      </c>
      <c r="G31" s="48">
        <v>95000</v>
      </c>
      <c r="H31" s="67">
        <f>G31*Volume/60</f>
        <v>1139.3402777777778</v>
      </c>
      <c r="I31" s="68">
        <f>G31^2*P0a+G31*P0b+P0c</f>
        <v>0.36026091930767251</v>
      </c>
    </row>
    <row r="32" spans="2:9" x14ac:dyDescent="0.35">
      <c r="B32" s="64">
        <f>1*$H$14</f>
        <v>60</v>
      </c>
      <c r="C32" s="65">
        <f t="shared" si="1"/>
        <v>902.67423014586711</v>
      </c>
      <c r="D32" s="48"/>
      <c r="E32" s="65">
        <f>C32-(34.4764881*D32-4.325744048*D32^2+0.369475446*D32^3-0.01733631*D32^4+0.000339472*D32^5)</f>
        <v>902.67423014586711</v>
      </c>
      <c r="F32" s="66">
        <f>(E32*60)/Volume</f>
        <v>75266.409462075768</v>
      </c>
      <c r="G32" s="48">
        <v>100000</v>
      </c>
      <c r="H32" s="67">
        <f>G32*Volume/60</f>
        <v>1199.3055555555554</v>
      </c>
      <c r="I32" s="68">
        <f>G32^2*P0a+G32*P0b+P0c</f>
        <v>0.38715872195161</v>
      </c>
    </row>
    <row r="33" spans="2:9" x14ac:dyDescent="0.35">
      <c r="B33" s="57"/>
      <c r="D33" s="57"/>
      <c r="E33" s="57"/>
      <c r="F33" s="57"/>
      <c r="G33" s="73" t="s">
        <v>175</v>
      </c>
    </row>
    <row r="34" spans="2:9" x14ac:dyDescent="0.35">
      <c r="C34" s="70"/>
      <c r="G34" s="73" t="s">
        <v>176</v>
      </c>
      <c r="H34" s="74">
        <v>1.66428013905E-11</v>
      </c>
    </row>
    <row r="35" spans="2:9" x14ac:dyDescent="0.35">
      <c r="B35" s="71"/>
      <c r="C35" s="71"/>
      <c r="D35" s="71"/>
      <c r="E35" s="71"/>
      <c r="F35" s="71"/>
      <c r="G35" s="73" t="s">
        <v>177</v>
      </c>
      <c r="H35" s="74">
        <v>2.1342142576400001E-6</v>
      </c>
    </row>
    <row r="36" spans="2:9" x14ac:dyDescent="0.35">
      <c r="B36" s="72"/>
      <c r="C36" s="72"/>
      <c r="D36" s="72"/>
      <c r="E36" s="72"/>
      <c r="F36" s="72"/>
      <c r="G36" s="73" t="s">
        <v>178</v>
      </c>
      <c r="H36" s="41">
        <v>7.3092822826099999E-3</v>
      </c>
    </row>
    <row r="37" spans="2:9" x14ac:dyDescent="0.35">
      <c r="B37" s="72"/>
      <c r="C37" s="72"/>
      <c r="D37" s="72"/>
      <c r="E37" s="72"/>
      <c r="F37" s="72"/>
      <c r="I37" t="s">
        <v>18</v>
      </c>
    </row>
    <row r="39" spans="2:9" x14ac:dyDescent="0.35">
      <c r="B39" s="58" t="s">
        <v>157</v>
      </c>
      <c r="D39" s="55" t="str">
        <f>B8</f>
        <v>DPF ID</v>
      </c>
    </row>
    <row r="41" spans="2:9" x14ac:dyDescent="0.35">
      <c r="B41" s="58" t="s">
        <v>158</v>
      </c>
      <c r="D41" s="41"/>
      <c r="E41" t="s">
        <v>159</v>
      </c>
    </row>
    <row r="42" spans="2:9" x14ac:dyDescent="0.35">
      <c r="B42" s="58" t="s">
        <v>160</v>
      </c>
      <c r="D42" s="41">
        <v>14.696</v>
      </c>
      <c r="E42" t="s">
        <v>161</v>
      </c>
      <c r="I42" s="70"/>
    </row>
    <row r="43" spans="2:9" x14ac:dyDescent="0.35">
      <c r="B43" s="58" t="s">
        <v>162</v>
      </c>
      <c r="D43" s="48"/>
    </row>
    <row r="44" spans="2:9" x14ac:dyDescent="0.35">
      <c r="B44" s="59" t="s">
        <v>163</v>
      </c>
      <c r="C44" s="60" t="s">
        <v>164</v>
      </c>
      <c r="D44" s="61" t="s">
        <v>165</v>
      </c>
      <c r="E44" s="61" t="s">
        <v>166</v>
      </c>
      <c r="F44" s="75"/>
      <c r="G44" s="62" t="s">
        <v>167</v>
      </c>
      <c r="H44" s="61"/>
      <c r="I44" s="61"/>
    </row>
    <row r="45" spans="2:9" x14ac:dyDescent="0.35">
      <c r="B45" s="61" t="s">
        <v>168</v>
      </c>
      <c r="C45" s="61" t="s">
        <v>169</v>
      </c>
      <c r="D45" s="61" t="s">
        <v>170</v>
      </c>
      <c r="E45" s="61" t="s">
        <v>169</v>
      </c>
      <c r="F45" s="61" t="s">
        <v>171</v>
      </c>
      <c r="G45" s="62" t="s">
        <v>172</v>
      </c>
      <c r="H45" s="61" t="s">
        <v>169</v>
      </c>
      <c r="I45" s="61" t="s">
        <v>173</v>
      </c>
    </row>
    <row r="46" spans="2:9" x14ac:dyDescent="0.35">
      <c r="B46" s="64">
        <f>0.25*$H$14</f>
        <v>15</v>
      </c>
      <c r="C46" s="65">
        <f>(2350/61.7)*B46*0.395</f>
        <v>225.66855753646678</v>
      </c>
      <c r="D46" s="48">
        <v>3.1E-2</v>
      </c>
      <c r="E46" s="65">
        <f t="shared" ref="E46:E56" si="2">C46-(34.4764881*D46-4.325744048*D46^2+0.369475446*D46^3-0.01733631*D46^4+0.000339472*D46^5)</f>
        <v>224.60393245435463</v>
      </c>
      <c r="F46" s="66">
        <f>(E46*60)/Volume</f>
        <v>18727.832237074155</v>
      </c>
      <c r="G46" s="48">
        <v>20000</v>
      </c>
      <c r="H46" s="67">
        <f>G46*Volume/60</f>
        <v>239.86111111111114</v>
      </c>
      <c r="I46" s="68">
        <f>G46^2*P1a+G46*P1b+P1c</f>
        <v>3.3639650518080003E-2</v>
      </c>
    </row>
    <row r="47" spans="2:9" x14ac:dyDescent="0.35">
      <c r="B47" s="64">
        <f>0.4*$H$14</f>
        <v>24</v>
      </c>
      <c r="C47" s="65">
        <f t="shared" ref="C47:C55" si="3">(2350/61.7)*B47*0.395</f>
        <v>361.06969205834679</v>
      </c>
      <c r="D47" s="48">
        <v>5.1999999999999998E-2</v>
      </c>
      <c r="E47" s="65">
        <f t="shared" si="2"/>
        <v>359.28855966447645</v>
      </c>
      <c r="F47" s="66">
        <f>(E47*60)/Volume</f>
        <v>29958.050139944764</v>
      </c>
      <c r="G47" s="48">
        <v>35000</v>
      </c>
      <c r="H47" s="67">
        <f>G47*Volume/60</f>
        <v>419.75694444444446</v>
      </c>
      <c r="I47" s="68">
        <f>G47^2*P1a+G47*P1b+P1c</f>
        <v>6.0991411968645007E-2</v>
      </c>
    </row>
    <row r="48" spans="2:9" x14ac:dyDescent="0.35">
      <c r="B48" s="64">
        <f>0.5*$H$14</f>
        <v>30</v>
      </c>
      <c r="C48" s="65">
        <f t="shared" si="3"/>
        <v>451.33711507293356</v>
      </c>
      <c r="D48" s="48">
        <v>6.6000000000000003E-2</v>
      </c>
      <c r="E48" s="65">
        <f t="shared" si="2"/>
        <v>449.08040390522058</v>
      </c>
      <c r="F48" s="66">
        <f>(E48*60)/Volume</f>
        <v>37445.036573452089</v>
      </c>
      <c r="G48" s="48">
        <v>50000</v>
      </c>
      <c r="H48" s="67">
        <f>G48*Volume/60</f>
        <v>599.65277777777771</v>
      </c>
      <c r="I48" s="68">
        <f>G48^2*P1a+G48*P1b+P1c</f>
        <v>9.4268146596300006E-2</v>
      </c>
    </row>
    <row r="49" spans="2:9" x14ac:dyDescent="0.35">
      <c r="B49" s="64">
        <f>0.6*$H$14</f>
        <v>36</v>
      </c>
      <c r="C49" s="65">
        <f t="shared" si="3"/>
        <v>541.60453808752015</v>
      </c>
      <c r="D49" s="48">
        <v>8.3000000000000004E-2</v>
      </c>
      <c r="E49" s="65">
        <f t="shared" si="2"/>
        <v>538.77257918612497</v>
      </c>
      <c r="F49" s="66">
        <f>(E49*60)/Volume</f>
        <v>44923.712450956569</v>
      </c>
      <c r="G49" s="48">
        <v>60000</v>
      </c>
      <c r="H49" s="67">
        <f>G49*Volume/60</f>
        <v>719.58333333333337</v>
      </c>
      <c r="I49" s="68">
        <f>G49^2*P1a+G49*P1b+P1c</f>
        <v>0.11974428811312002</v>
      </c>
    </row>
    <row r="50" spans="2:9" x14ac:dyDescent="0.35">
      <c r="B50" s="64">
        <f>0.7*$H$14</f>
        <v>42</v>
      </c>
      <c r="C50" s="65">
        <f t="shared" si="3"/>
        <v>631.87196110210698</v>
      </c>
      <c r="D50" s="48">
        <v>0.1</v>
      </c>
      <c r="E50" s="65">
        <f t="shared" si="2"/>
        <v>628.46720198737728</v>
      </c>
      <c r="F50" s="66">
        <f>(E50*60)/Volume</f>
        <v>52402.592406590804</v>
      </c>
      <c r="G50" s="48">
        <v>70000</v>
      </c>
      <c r="H50" s="67">
        <f>G50*Volume/60</f>
        <v>839.51388888888891</v>
      </c>
      <c r="I50" s="68">
        <f>G50^2*P1a+G50*P1b+P1c</f>
        <v>0.14785375104198001</v>
      </c>
    </row>
    <row r="51" spans="2:9" x14ac:dyDescent="0.35">
      <c r="B51" s="64">
        <f>0.75*$H$14</f>
        <v>45</v>
      </c>
      <c r="C51" s="65">
        <f t="shared" si="3"/>
        <v>677.00567260940034</v>
      </c>
      <c r="D51" s="48">
        <v>0.109</v>
      </c>
      <c r="E51" s="65">
        <f t="shared" si="2"/>
        <v>673.29865353205571</v>
      </c>
      <c r="F51" s="66">
        <f>(E51*60)/Volume</f>
        <v>56140.709964456291</v>
      </c>
      <c r="G51" s="48">
        <v>75000</v>
      </c>
      <c r="H51" s="67">
        <f>G51*Volume/60</f>
        <v>899.47916666666663</v>
      </c>
      <c r="I51" s="68">
        <f>G51^2*P1a+G51*P1b+P1c</f>
        <v>0.16289597803592501</v>
      </c>
    </row>
    <row r="52" spans="2:9" x14ac:dyDescent="0.35">
      <c r="B52" s="64">
        <f>0.8*$H$14</f>
        <v>48</v>
      </c>
      <c r="C52" s="65">
        <f t="shared" si="3"/>
        <v>722.13938411669358</v>
      </c>
      <c r="D52" s="48">
        <v>0.11899999999999999</v>
      </c>
      <c r="E52" s="65">
        <f t="shared" si="2"/>
        <v>718.0973197378014</v>
      </c>
      <c r="F52" s="66">
        <f>(E52*60)/Volume</f>
        <v>59876.093828745456</v>
      </c>
      <c r="G52" s="48">
        <v>80000</v>
      </c>
      <c r="H52" s="67">
        <f>G52*Volume/60</f>
        <v>959.44444444444457</v>
      </c>
      <c r="I52" s="68">
        <f>G52^2*P1a+G52*P1b+P1c</f>
        <v>0.17859653538288001</v>
      </c>
    </row>
    <row r="53" spans="2:9" x14ac:dyDescent="0.35">
      <c r="B53" s="64">
        <f>0.85*$H$14</f>
        <v>51</v>
      </c>
      <c r="C53" s="65">
        <f t="shared" si="3"/>
        <v>767.27309562398705</v>
      </c>
      <c r="D53" s="48">
        <v>0.129</v>
      </c>
      <c r="E53" s="65">
        <f t="shared" si="2"/>
        <v>762.89682500560809</v>
      </c>
      <c r="F53" s="66">
        <f>(E53*60)/Volume</f>
        <v>63611.547655360489</v>
      </c>
      <c r="G53" s="48">
        <v>85000</v>
      </c>
      <c r="H53" s="67">
        <f>G53*Volume/60</f>
        <v>1019.4097222222223</v>
      </c>
      <c r="I53" s="68">
        <f>G53^2*P1a+G53*P1b+P1c</f>
        <v>0.19495542308284503</v>
      </c>
    </row>
    <row r="54" spans="2:9" x14ac:dyDescent="0.35">
      <c r="B54" s="64">
        <f>0.9*$H$14</f>
        <v>54</v>
      </c>
      <c r="C54" s="65">
        <f t="shared" si="3"/>
        <v>812.4068071312804</v>
      </c>
      <c r="D54" s="48">
        <v>0.14000000000000001</v>
      </c>
      <c r="E54" s="65">
        <f t="shared" si="2"/>
        <v>807.66387618165663</v>
      </c>
      <c r="F54" s="66">
        <f>(E54*60)/Volume</f>
        <v>67344.295408314152</v>
      </c>
      <c r="G54" s="48">
        <v>90000</v>
      </c>
      <c r="H54" s="67">
        <f>G54*Volume/60</f>
        <v>1079.375</v>
      </c>
      <c r="I54" s="68">
        <f>G54^2*P1a+G54*P1b+P1c</f>
        <v>0.21197264113582001</v>
      </c>
    </row>
    <row r="55" spans="2:9" x14ac:dyDescent="0.35">
      <c r="B55" s="64">
        <f>0.95*$H$14</f>
        <v>57</v>
      </c>
      <c r="C55" s="65">
        <f t="shared" si="3"/>
        <v>857.54051863857376</v>
      </c>
      <c r="D55" s="48">
        <v>0.152</v>
      </c>
      <c r="E55" s="65">
        <f t="shared" si="2"/>
        <v>852.39874613752045</v>
      </c>
      <c r="F55" s="66">
        <f>(E55*60)/Volume</f>
        <v>71074.359840071193</v>
      </c>
      <c r="G55" s="48">
        <v>95000</v>
      </c>
      <c r="H55" s="67">
        <f>G55*Volume/60</f>
        <v>1139.3402777777778</v>
      </c>
      <c r="I55" s="68">
        <f>G55^2*P1a+G55*P1b+P1c</f>
        <v>0.22964818954180502</v>
      </c>
    </row>
    <row r="56" spans="2:9" x14ac:dyDescent="0.35">
      <c r="B56" s="64">
        <f>1*$H$14</f>
        <v>60</v>
      </c>
      <c r="C56" s="65">
        <f>(2350/61.7)*B56*0.395</f>
        <v>902.67423014586711</v>
      </c>
      <c r="D56" s="48"/>
      <c r="E56" s="65">
        <f t="shared" si="2"/>
        <v>902.67423014586711</v>
      </c>
      <c r="F56" s="66">
        <f>(E56*60)/Volume</f>
        <v>75266.409462075768</v>
      </c>
      <c r="G56" s="48">
        <v>100000</v>
      </c>
      <c r="H56" s="67">
        <f>G56*Volume/60</f>
        <v>1199.3055555555554</v>
      </c>
      <c r="I56" s="68">
        <f>G56^2*P1a+G56*P1b+P1c</f>
        <v>0.2479820683008</v>
      </c>
    </row>
    <row r="57" spans="2:9" x14ac:dyDescent="0.35">
      <c r="G57" s="73" t="s">
        <v>175</v>
      </c>
    </row>
    <row r="58" spans="2:9" x14ac:dyDescent="0.35">
      <c r="B58" s="76"/>
      <c r="C58" s="76"/>
      <c r="D58" s="76"/>
      <c r="G58" s="73" t="s">
        <v>176</v>
      </c>
      <c r="H58" s="74">
        <v>1.3166607060200001E-11</v>
      </c>
    </row>
    <row r="59" spans="2:9" x14ac:dyDescent="0.35">
      <c r="B59" s="2"/>
      <c r="C59" s="76"/>
      <c r="D59" s="76"/>
      <c r="E59" s="75"/>
      <c r="F59" s="75"/>
      <c r="G59" s="73" t="s">
        <v>177</v>
      </c>
      <c r="H59" s="74">
        <v>1.0992873750600001E-6</v>
      </c>
    </row>
    <row r="60" spans="2:9" x14ac:dyDescent="0.35">
      <c r="B60" s="77"/>
      <c r="C60" s="76"/>
      <c r="D60" s="76"/>
      <c r="E60" s="75"/>
      <c r="F60" s="75"/>
      <c r="G60" s="73" t="s">
        <v>178</v>
      </c>
      <c r="H60" s="74">
        <v>6.3872601928000004E-3</v>
      </c>
    </row>
    <row r="61" spans="2:9" x14ac:dyDescent="0.35">
      <c r="B61" s="77"/>
      <c r="C61" s="76"/>
      <c r="D61" s="76"/>
      <c r="E61" s="76"/>
      <c r="F61" s="76"/>
    </row>
    <row r="62" spans="2:9" x14ac:dyDescent="0.35">
      <c r="B62" s="2"/>
      <c r="C62" s="76"/>
      <c r="D62" s="76"/>
      <c r="E62" s="76"/>
      <c r="F62" s="76"/>
    </row>
    <row r="64" spans="2:9" x14ac:dyDescent="0.35">
      <c r="B64" s="58" t="s">
        <v>157</v>
      </c>
      <c r="D64" s="55" t="str">
        <f>B9</f>
        <v>Substrate Diameter(inch)</v>
      </c>
    </row>
    <row r="66" spans="2:9" x14ac:dyDescent="0.35">
      <c r="B66" s="58" t="s">
        <v>158</v>
      </c>
      <c r="D66" s="41"/>
      <c r="E66" t="s">
        <v>159</v>
      </c>
      <c r="H66" s="57"/>
      <c r="I66" s="57"/>
    </row>
    <row r="67" spans="2:9" x14ac:dyDescent="0.35">
      <c r="B67" s="58" t="s">
        <v>160</v>
      </c>
      <c r="D67" s="41">
        <v>14.696</v>
      </c>
      <c r="E67" t="s">
        <v>161</v>
      </c>
      <c r="H67" s="57"/>
      <c r="I67" s="57"/>
    </row>
    <row r="68" spans="2:9" x14ac:dyDescent="0.35">
      <c r="B68" s="58" t="s">
        <v>162</v>
      </c>
      <c r="D68" s="48"/>
      <c r="H68" s="78"/>
      <c r="I68" s="78"/>
    </row>
    <row r="69" spans="2:9" x14ac:dyDescent="0.35">
      <c r="B69" s="59" t="s">
        <v>163</v>
      </c>
      <c r="C69" s="60" t="s">
        <v>164</v>
      </c>
      <c r="D69" s="61" t="s">
        <v>165</v>
      </c>
      <c r="E69" s="61" t="s">
        <v>166</v>
      </c>
      <c r="F69" s="75"/>
      <c r="G69" s="62" t="s">
        <v>167</v>
      </c>
      <c r="H69" s="61"/>
      <c r="I69" s="61"/>
    </row>
    <row r="70" spans="2:9" x14ac:dyDescent="0.35">
      <c r="B70" s="61" t="s">
        <v>168</v>
      </c>
      <c r="C70" s="61" t="s">
        <v>169</v>
      </c>
      <c r="D70" s="61" t="s">
        <v>170</v>
      </c>
      <c r="E70" s="61" t="s">
        <v>169</v>
      </c>
      <c r="F70" s="61" t="s">
        <v>171</v>
      </c>
      <c r="G70" s="62" t="s">
        <v>172</v>
      </c>
      <c r="H70" s="61" t="s">
        <v>169</v>
      </c>
      <c r="I70" s="61" t="s">
        <v>173</v>
      </c>
    </row>
    <row r="71" spans="2:9" x14ac:dyDescent="0.35">
      <c r="B71" s="64">
        <f>0.25*$H$14</f>
        <v>15</v>
      </c>
      <c r="C71" s="65">
        <f>(2350/61.7)*B71*0.395</f>
        <v>225.66855753646678</v>
      </c>
      <c r="D71" s="48"/>
      <c r="E71" s="65">
        <f t="shared" ref="E71:E81" si="4">C71-(34.4764881*D71-4.325744048*D71^2+0.369475446*D71^3-0.01733631*D71^4+0.000339472*D71^5)</f>
        <v>225.66855753646678</v>
      </c>
      <c r="F71" s="65">
        <f>(E71*60)/Volume</f>
        <v>18816.602365518942</v>
      </c>
      <c r="G71" s="48">
        <v>20000</v>
      </c>
      <c r="H71" s="67">
        <f>G71*Volume/60</f>
        <v>239.86111111111114</v>
      </c>
      <c r="I71" s="68">
        <f>G71^2*P2a+G71*P2b+P2c</f>
        <v>1.66428013905E-11</v>
      </c>
    </row>
    <row r="72" spans="2:9" x14ac:dyDescent="0.35">
      <c r="B72" s="64">
        <f>0.4*$H$14</f>
        <v>24</v>
      </c>
      <c r="C72" s="65">
        <f t="shared" ref="C72:C81" si="5">(2350/61.7)*B72*0.395</f>
        <v>361.06969205834679</v>
      </c>
      <c r="D72" s="48"/>
      <c r="E72" s="65">
        <f t="shared" si="4"/>
        <v>361.06969205834679</v>
      </c>
      <c r="F72" s="65">
        <f>(E72*60)/Volume</f>
        <v>30106.563784830305</v>
      </c>
      <c r="G72" s="48">
        <v>35000</v>
      </c>
      <c r="H72" s="67">
        <f>G72*Volume/60</f>
        <v>419.75694444444446</v>
      </c>
      <c r="I72" s="68">
        <f>G72^2*P2a+G72*P2b+P2c</f>
        <v>1.66428013905E-11</v>
      </c>
    </row>
    <row r="73" spans="2:9" x14ac:dyDescent="0.35">
      <c r="B73" s="64">
        <f>0.5*$H$14</f>
        <v>30</v>
      </c>
      <c r="C73" s="65">
        <f t="shared" si="5"/>
        <v>451.33711507293356</v>
      </c>
      <c r="D73" s="48"/>
      <c r="E73" s="65">
        <f t="shared" si="4"/>
        <v>451.33711507293356</v>
      </c>
      <c r="F73" s="65">
        <f>(E73*60)/Volume</f>
        <v>37633.204731037884</v>
      </c>
      <c r="G73" s="48">
        <v>50000</v>
      </c>
      <c r="H73" s="67">
        <f>G73*Volume/60</f>
        <v>599.65277777777771</v>
      </c>
      <c r="I73" s="68">
        <f>G73^2*P2a+G73*P2b+P2c</f>
        <v>1.66428013905E-11</v>
      </c>
    </row>
    <row r="74" spans="2:9" x14ac:dyDescent="0.35">
      <c r="B74" s="64">
        <f>0.6*$H$14</f>
        <v>36</v>
      </c>
      <c r="C74" s="65">
        <f t="shared" si="5"/>
        <v>541.60453808752015</v>
      </c>
      <c r="D74" s="48"/>
      <c r="E74" s="65">
        <f t="shared" si="4"/>
        <v>541.60453808752015</v>
      </c>
      <c r="F74" s="65">
        <f>(E74*60)/Volume</f>
        <v>45159.845677245452</v>
      </c>
      <c r="G74" s="48">
        <v>60000</v>
      </c>
      <c r="H74" s="67">
        <f>G74*Volume/60</f>
        <v>719.58333333333337</v>
      </c>
      <c r="I74" s="68">
        <f>G74^2*P2a+G74*P2b+P2c</f>
        <v>1.66428013905E-11</v>
      </c>
    </row>
    <row r="75" spans="2:9" x14ac:dyDescent="0.35">
      <c r="B75" s="64">
        <f>0.7*$H$14</f>
        <v>42</v>
      </c>
      <c r="C75" s="65">
        <f t="shared" si="5"/>
        <v>631.87196110210698</v>
      </c>
      <c r="D75" s="48"/>
      <c r="E75" s="65">
        <f t="shared" si="4"/>
        <v>631.87196110210698</v>
      </c>
      <c r="F75" s="65">
        <f>(E75*60)/Volume</f>
        <v>52686.486623453035</v>
      </c>
      <c r="G75" s="48">
        <v>70000</v>
      </c>
      <c r="H75" s="67">
        <f>G75*Volume/60</f>
        <v>839.51388888888891</v>
      </c>
      <c r="I75" s="68">
        <f>G75^2*P2a+G75*P2b+P2c</f>
        <v>1.66428013905E-11</v>
      </c>
    </row>
    <row r="76" spans="2:9" x14ac:dyDescent="0.35">
      <c r="B76" s="64">
        <f>0.75*$H$14</f>
        <v>45</v>
      </c>
      <c r="C76" s="65">
        <f t="shared" si="5"/>
        <v>677.00567260940034</v>
      </c>
      <c r="D76" s="48"/>
      <c r="E76" s="65">
        <f t="shared" si="4"/>
        <v>677.00567260940034</v>
      </c>
      <c r="F76" s="65">
        <f>(E76*60)/Volume</f>
        <v>56449.807096556826</v>
      </c>
      <c r="G76" s="48">
        <v>75000</v>
      </c>
      <c r="H76" s="67">
        <f>G76*Volume/60</f>
        <v>899.47916666666663</v>
      </c>
      <c r="I76" s="68">
        <f>G76^2*P2a+G76*P2b+P2c</f>
        <v>1.66428013905E-11</v>
      </c>
    </row>
    <row r="77" spans="2:9" x14ac:dyDescent="0.35">
      <c r="B77" s="64">
        <f>0.8*$H$14</f>
        <v>48</v>
      </c>
      <c r="C77" s="65">
        <f t="shared" si="5"/>
        <v>722.13938411669358</v>
      </c>
      <c r="D77" s="48"/>
      <c r="E77" s="65">
        <f t="shared" si="4"/>
        <v>722.13938411669358</v>
      </c>
      <c r="F77" s="65">
        <f>(E77*60)/Volume</f>
        <v>60213.12756966061</v>
      </c>
      <c r="G77" s="48">
        <v>80000</v>
      </c>
      <c r="H77" s="67">
        <f>G77*Volume/60</f>
        <v>959.44444444444457</v>
      </c>
      <c r="I77" s="68">
        <f>G77^2*P2a+G77*P2b+P2c</f>
        <v>1.66428013905E-11</v>
      </c>
    </row>
    <row r="78" spans="2:9" x14ac:dyDescent="0.35">
      <c r="B78" s="64">
        <f>0.85*$H$14</f>
        <v>51</v>
      </c>
      <c r="C78" s="65">
        <f t="shared" si="5"/>
        <v>767.27309562398705</v>
      </c>
      <c r="D78" s="48"/>
      <c r="E78" s="65">
        <f t="shared" si="4"/>
        <v>767.27309562398705</v>
      </c>
      <c r="F78" s="65">
        <f>(E78*60)/Volume</f>
        <v>63976.448042764408</v>
      </c>
      <c r="G78" s="48">
        <v>85000</v>
      </c>
      <c r="H78" s="67">
        <f>G78*Volume/60</f>
        <v>1019.4097222222223</v>
      </c>
      <c r="I78" s="68">
        <f>G78^2*P2a+G78*P2b+P2c</f>
        <v>1.66428013905E-11</v>
      </c>
    </row>
    <row r="79" spans="2:9" x14ac:dyDescent="0.35">
      <c r="B79" s="64">
        <f>0.9*$H$14</f>
        <v>54</v>
      </c>
      <c r="C79" s="65">
        <f t="shared" si="5"/>
        <v>812.4068071312804</v>
      </c>
      <c r="D79" s="48"/>
      <c r="E79" s="65">
        <f t="shared" si="4"/>
        <v>812.4068071312804</v>
      </c>
      <c r="F79" s="65">
        <f>(E79*60)/Volume</f>
        <v>67739.7685158682</v>
      </c>
      <c r="G79" s="48">
        <v>90000</v>
      </c>
      <c r="H79" s="67">
        <f>G79*Volume/60</f>
        <v>1079.375</v>
      </c>
      <c r="I79" s="68">
        <f>G79^2*P2a+G79*P2b+P2c</f>
        <v>1.66428013905E-11</v>
      </c>
    </row>
    <row r="80" spans="2:9" x14ac:dyDescent="0.35">
      <c r="B80" s="64">
        <f>0.95*$H$14</f>
        <v>57</v>
      </c>
      <c r="C80" s="65">
        <f t="shared" si="5"/>
        <v>857.54051863857376</v>
      </c>
      <c r="D80" s="48"/>
      <c r="E80" s="65">
        <f t="shared" si="4"/>
        <v>857.54051863857376</v>
      </c>
      <c r="F80" s="65">
        <f>(E80*60)/Volume</f>
        <v>71503.088988971984</v>
      </c>
      <c r="G80" s="48">
        <v>95000</v>
      </c>
      <c r="H80" s="67">
        <f>G80*Volume/60</f>
        <v>1139.3402777777778</v>
      </c>
      <c r="I80" s="68">
        <f>G80^2*P2a+G80*P2b+P2c</f>
        <v>1.66428013905E-11</v>
      </c>
    </row>
    <row r="81" spans="2:9" x14ac:dyDescent="0.35">
      <c r="B81" s="64">
        <f>1*$H$14</f>
        <v>60</v>
      </c>
      <c r="C81" s="65">
        <f t="shared" si="5"/>
        <v>902.67423014586711</v>
      </c>
      <c r="D81" s="48"/>
      <c r="E81" s="65">
        <f t="shared" si="4"/>
        <v>902.67423014586711</v>
      </c>
      <c r="F81" s="65">
        <f>(E81*60)/Volume</f>
        <v>75266.409462075768</v>
      </c>
      <c r="G81" s="48">
        <v>100000</v>
      </c>
      <c r="H81" s="67">
        <f>G81*Volume/60</f>
        <v>1199.3055555555554</v>
      </c>
      <c r="I81" s="68">
        <f>G81^2*P2a+G81*P2b+P2c</f>
        <v>1.66428013905E-11</v>
      </c>
    </row>
    <row r="82" spans="2:9" x14ac:dyDescent="0.35">
      <c r="G82" s="73" t="s">
        <v>175</v>
      </c>
    </row>
    <row r="83" spans="2:9" x14ac:dyDescent="0.35">
      <c r="F83" s="79"/>
      <c r="G83" s="73" t="s">
        <v>176</v>
      </c>
      <c r="H83" s="74"/>
    </row>
    <row r="84" spans="2:9" x14ac:dyDescent="0.35">
      <c r="B84" s="77"/>
      <c r="C84" s="75"/>
      <c r="D84" s="75"/>
      <c r="F84" s="69"/>
      <c r="G84" s="73" t="s">
        <v>177</v>
      </c>
      <c r="H84" s="74"/>
    </row>
    <row r="85" spans="2:9" x14ac:dyDescent="0.35">
      <c r="B85" s="77"/>
      <c r="C85" s="75"/>
      <c r="D85" s="75"/>
      <c r="E85" s="70"/>
      <c r="F85" s="69"/>
      <c r="G85" s="73" t="s">
        <v>178</v>
      </c>
      <c r="H85" s="41"/>
    </row>
    <row r="86" spans="2:9" x14ac:dyDescent="0.35">
      <c r="B86" s="2"/>
      <c r="C86" s="80"/>
      <c r="D86" s="76"/>
      <c r="F86" s="69"/>
    </row>
  </sheetData>
  <dataConsolidate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4583" r:id="rId4" name="cbECD">
          <controlPr defaultSize="0" autoFill="0" autoLine="0" r:id="rId5">
            <anchor moveWithCells="1">
              <from>
                <xdr:col>2</xdr:col>
                <xdr:colOff>31750</xdr:colOff>
                <xdr:row>6</xdr:row>
                <xdr:rowOff>19050</xdr:rowOff>
              </from>
              <to>
                <xdr:col>4</xdr:col>
                <xdr:colOff>234950</xdr:colOff>
                <xdr:row>7</xdr:row>
                <xdr:rowOff>57150</xdr:rowOff>
              </to>
            </anchor>
          </controlPr>
        </control>
      </mc:Choice>
      <mc:Fallback>
        <control shapeId="24583" r:id="rId4" name="cbECD"/>
      </mc:Fallback>
    </mc:AlternateContent>
    <mc:AlternateContent xmlns:mc="http://schemas.openxmlformats.org/markup-compatibility/2006">
      <mc:Choice Requires="x14">
        <control shapeId="24582" r:id="rId6" name="cbDPF">
          <controlPr defaultSize="0" autoFill="0" autoLine="0" r:id="rId7">
            <anchor moveWithCells="1">
              <from>
                <xdr:col>2</xdr:col>
                <xdr:colOff>12700</xdr:colOff>
                <xdr:row>2</xdr:row>
                <xdr:rowOff>0</xdr:rowOff>
              </from>
              <to>
                <xdr:col>4</xdr:col>
                <xdr:colOff>209550</xdr:colOff>
                <xdr:row>2</xdr:row>
                <xdr:rowOff>222250</xdr:rowOff>
              </to>
            </anchor>
          </controlPr>
        </control>
      </mc:Choice>
      <mc:Fallback>
        <control shapeId="24582" r:id="rId6" name="cbDPF"/>
      </mc:Fallback>
    </mc:AlternateContent>
    <mc:AlternateContent xmlns:mc="http://schemas.openxmlformats.org/markup-compatibility/2006">
      <mc:Choice Requires="x14">
        <control shapeId="24580" r:id="rId8" name="cmdSave">
          <controlPr defaultSize="0" autoFill="0" autoLine="0" r:id="rId9">
            <anchor moveWithCells="1">
              <from>
                <xdr:col>7</xdr:col>
                <xdr:colOff>0</xdr:colOff>
                <xdr:row>2</xdr:row>
                <xdr:rowOff>0</xdr:rowOff>
              </from>
              <to>
                <xdr:col>8</xdr:col>
                <xdr:colOff>393700</xdr:colOff>
                <xdr:row>3</xdr:row>
                <xdr:rowOff>50800</xdr:rowOff>
              </to>
            </anchor>
          </controlPr>
        </control>
      </mc:Choice>
      <mc:Fallback>
        <control shapeId="24580" r:id="rId8" name="cmdSave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58</vt:i4>
      </vt:variant>
    </vt:vector>
  </HeadingPairs>
  <TitlesOfParts>
    <vt:vector size="69" baseType="lpstr">
      <vt:lpstr>Menu</vt:lpstr>
      <vt:lpstr>Company</vt:lpstr>
      <vt:lpstr>CompanyLocation</vt:lpstr>
      <vt:lpstr>Contacts</vt:lpstr>
      <vt:lpstr>Vehicle</vt:lpstr>
      <vt:lpstr>Engine</vt:lpstr>
      <vt:lpstr>Manufacturer</vt:lpstr>
      <vt:lpstr>ECD</vt:lpstr>
      <vt:lpstr>DPF</vt:lpstr>
      <vt:lpstr>Quality</vt:lpstr>
      <vt:lpstr>QAProcess</vt:lpstr>
      <vt:lpstr>Quality!CleanChannels</vt:lpstr>
      <vt:lpstr>Company!company</vt:lpstr>
      <vt:lpstr>DPF!company</vt:lpstr>
      <vt:lpstr>CompanyLocation!companylocation</vt:lpstr>
      <vt:lpstr>DPF!companylocation</vt:lpstr>
      <vt:lpstr>Contacts!contacts</vt:lpstr>
      <vt:lpstr>DPF!contacts</vt:lpstr>
      <vt:lpstr>DPF!dpf</vt:lpstr>
      <vt:lpstr>QAProcess!dpf</vt:lpstr>
      <vt:lpstr>Quality!dpf</vt:lpstr>
      <vt:lpstr>DPF!ecd</vt:lpstr>
      <vt:lpstr>ECD!ecd</vt:lpstr>
      <vt:lpstr>QAProcess!ecd</vt:lpstr>
      <vt:lpstr>Quality!ecd</vt:lpstr>
      <vt:lpstr>DPF!engine</vt:lpstr>
      <vt:lpstr>Engine!engine</vt:lpstr>
      <vt:lpstr>Quality!InletCells</vt:lpstr>
      <vt:lpstr>Manufacturer!manufacturer</vt:lpstr>
      <vt:lpstr>Quality!Mass0</vt:lpstr>
      <vt:lpstr>Quality!Mass1</vt:lpstr>
      <vt:lpstr>Quality!Mass2</vt:lpstr>
      <vt:lpstr>QAProcess!MaxHertz</vt:lpstr>
      <vt:lpstr>QAProcess!MaxSpaceVelocity</vt:lpstr>
      <vt:lpstr>CompanyLocation!Note</vt:lpstr>
      <vt:lpstr>ECD!Note</vt:lpstr>
      <vt:lpstr>Engine!Note</vt:lpstr>
      <vt:lpstr>Manufacturer!Note</vt:lpstr>
      <vt:lpstr>Vehicle!Note</vt:lpstr>
      <vt:lpstr>NoteCompany</vt:lpstr>
      <vt:lpstr>NoteContacts</vt:lpstr>
      <vt:lpstr>QAProcess!P0a</vt:lpstr>
      <vt:lpstr>QAProcess!P0AirTemp</vt:lpstr>
      <vt:lpstr>QAProcess!P0b</vt:lpstr>
      <vt:lpstr>QAProcess!P0BackPress</vt:lpstr>
      <vt:lpstr>QAProcess!P0BaroPress</vt:lpstr>
      <vt:lpstr>P0c</vt:lpstr>
      <vt:lpstr>QAProcess!P0PSI</vt:lpstr>
      <vt:lpstr>QAProcess!P0SV</vt:lpstr>
      <vt:lpstr>QAProcess!P11PSI</vt:lpstr>
      <vt:lpstr>QAProcess!P1a</vt:lpstr>
      <vt:lpstr>QAProcess!P1AirTemp</vt:lpstr>
      <vt:lpstr>QAProcess!P1b</vt:lpstr>
      <vt:lpstr>QAProcess!P1BackPress</vt:lpstr>
      <vt:lpstr>QAProcess!P1BaroPress</vt:lpstr>
      <vt:lpstr>QAProcess!P1c</vt:lpstr>
      <vt:lpstr>QAProcess!P1SV</vt:lpstr>
      <vt:lpstr>QAProcess!P2a</vt:lpstr>
      <vt:lpstr>QAProcess!P2AirTemp</vt:lpstr>
      <vt:lpstr>QAProcess!P2b</vt:lpstr>
      <vt:lpstr>QAProcess!P2BackPress</vt:lpstr>
      <vt:lpstr>QAProcess!P2BaroPress</vt:lpstr>
      <vt:lpstr>P2PSI</vt:lpstr>
      <vt:lpstr>QAProcess!P2SV</vt:lpstr>
      <vt:lpstr>QAProcess!SubDiameter</vt:lpstr>
      <vt:lpstr>QAProcess!SubLenth</vt:lpstr>
      <vt:lpstr>DPF!vehicle</vt:lpstr>
      <vt:lpstr>Vehicle!vehicle</vt:lpstr>
      <vt:lpstr>QAProcess!Volume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glanda</dc:creator>
  <cp:lastModifiedBy>glanda</cp:lastModifiedBy>
  <dcterms:created xsi:type="dcterms:W3CDTF">2018-11-08T14:27:46Z</dcterms:created>
  <dcterms:modified xsi:type="dcterms:W3CDTF">2019-01-10T21:24:04Z</dcterms:modified>
</cp:coreProperties>
</file>