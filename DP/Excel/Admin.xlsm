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0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drawings/drawing12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3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0" activeTab="8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DPF!$C$15:$C$15</definedName>
    <definedName name="dpf" localSheetId="8">DPF!$C$5:$C$28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DPF!$C$16:$C$17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<sst xmlns="http://schemas.openxmlformats.org/spreadsheetml/2006/main" count="583" uniqueCount="313">
  <si>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</si>
  <si>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</si>
  <si>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</si>
  <si>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</si>
  <si>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</si>
  <si>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</si>
  <si>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</si>
  <si>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</si>
  <si>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</si>
  <si>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</si>
  <si>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</si>
  <si>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</si>
  <si>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</si>
  <si>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</si>
  <si>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</si>
  <si>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</si>
  <si>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</si>
  <si>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</si>
  <si>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</si>
  <si>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</si>
  <si>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</si>
  <si>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</si>
  <si>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</si>
  <si>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</si>
  <si>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</si>
  <si>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</si>
  <si>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</si>
  <si>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</si>
  <si>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</si>
  <si>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</si>
  <si>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</si>
  <si>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</si>
  <si>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</si>
  <si>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</si>
  <si>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</si>
  <si>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</si>
  <si>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</si>
  <si>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</si>
  <si>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</si>
  <si>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</si>
  <si>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</si>
  <si>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</si>
  <si>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</si>
  <si>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</si>
  <si>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</si>
  <si>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</si>
  <si>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</si>
  <si>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</si>
  <si>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</si>
  <si>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</si>
  <si>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</si>
  <si>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</si>
  <si>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</si>
  <si>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</si>
  <si>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</si>
  <si>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</si>
  <si>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</si>
  <si>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</si>
  <si>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</si>
  <si>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</si>
  <si>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</si>
  <si>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</si>
  <si>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</si>
  <si>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</si>
  <si>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</si>
  <si>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</si>
  <si>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</si>
  <si>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</si>
  <si>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</si>
  <si>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</si>
  <si>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</si>
  <si>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</si>
  <si>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</si>
  <si>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</si>
  <si>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</si>
  <si>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</si>
  <si>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</si>
  <si>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</si>
  <si>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</si>
  <si>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</si>
  <si>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</si>
  <si>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</si>
  <si>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</si>
  <si>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</si>
  <si>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</si>
  <si>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</si>
  <si>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</si>
  <si>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</si>
  <si>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</si>
  <si>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</si>
  <si>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</si>
  <si>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</si>
  <si>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</si>
  <si>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</si>
  <si>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</si>
  <si>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</si>
  <si>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</si>
  <si>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</si>
  <si>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</si>
  <si>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</si>
  <si>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</si>
  <si>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</si>
  <si>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</si>
  <si>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</si>
  <si>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</si>
  <si>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</si>
  <si>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</si>
  <si>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</si>
  <si>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</si>
  <si>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</si>
  <si>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</si>
  <si>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</si>
  <si>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</si>
  <si>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</si>
  <si>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</si>
  <si>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</si>
  <si>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</si>
  <si>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</si>
  <si>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</si>
  <si>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</si>
  <si>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</si>
  <si>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</si>
  <si>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</si>
  <si>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</si>
  <si>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</si>
  <si>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</si>
  <si>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</si>
  <si>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</si>
  <si>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</si>
  <si>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</si>
  <si>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</si>
  <si>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</si>
  <si>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</si>
  <si>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</si>
  <si>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</si>
  <si>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</si>
  <si>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</si>
  <si>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</si>
  <si>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</si>
  <si>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</si>
  <si>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</si>
  <si>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</si>
  <si>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</si>
  <si>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</si>
  <si>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</si>
  <si>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</si>
  <si>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</si>
  <si>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</si>
  <si>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</si>
  <si>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</si>
  <si>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</si>
  <si>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</si>
  <si>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</si>
  <si>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</si>
  <si>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</si>
  <si>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</si>
  <si>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</si>
  <si>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</si>
  <si>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</si>
  <si>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</si>
  <si>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</si>
  <si>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</si>
  <si>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</si>
  <si>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</si>
  <si>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</si>
  <si>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</si>
  <si>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</si>
  <si>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</si>
  <si>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</si>
  <si>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</si>
  <si>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</si>
  <si>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</si>
  <si>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</si>
  <si>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</si>
  <si>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</si>
  <si>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</si>
  <si>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</si>
  <si>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</si>
  <si>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</si>
  <si>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</si>
  <si>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</si>
  <si>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</si>
  <si>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</si>
  <si>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</si>
  <si>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</si>
  <si>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</si>
  <si>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</si>
  <si>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</si>
  <si>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18104</t>
  </si>
  <si>
    <t>Asset # / Truck # / Unit #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</si>
  <si>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</si>
  <si>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</si>
  <si>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</si>
  <si>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</si>
  <si>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</si>
  <si>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</si>
  <si>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</si>
  <si>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</si>
  <si>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</si>
  <si>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</si>
  <si>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</si>
  <si>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</si>
  <si>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</si>
  <si>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</si>
  <si>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</si>
  <si>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</si>
  <si>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</si>
  <si>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</si>
  <si>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</si>
  <si>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</si>
  <si>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</si>
  <si>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</si>
  <si>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</si>
  <si>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</si>
  <si>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</si>
  <si>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</si>
  <si>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</si>
  <si>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</si>
  <si>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</si>
  <si>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</si>
  <si>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</si>
  <si>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</si>
  <si>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</si>
  <si>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</si>
  <si>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</si>
  <si>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</si>
  <si>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</si>
  <si>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</si>
  <si>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</si>
  <si>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</si>
  <si>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</si>
  <si>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</si>
  <si>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</si>
  <si>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</si>
  <si>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</si>
  <si>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</si>
  <si>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</si>
  <si>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</si>
  <si>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</si>
  <si>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</si>
  <si>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</si>
  <si>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</si>
  <si>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</si>
  <si>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</si>
  <si>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</si>
  <si>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</si>
  <si>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</si>
  <si>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</si>
  <si>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</si>
  <si>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</si>
  <si>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</si>
  <si>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</si>
  <si>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</si>
  <si>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</si>
  <si>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</si>
  <si>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</si>
  <si>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</si>
  <si>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</si>
  <si>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</si>
  <si>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 xml:space="preserve">
Hours / miles at last cleaning / install</t>
  </si>
  <si>
    <t>Current Mileage / Hours</t>
  </si>
  <si>
    <t>Gallons per (Hours / Miles)</t>
  </si>
  <si>
    <t>Main Office</t>
  </si>
  <si>
    <t>1 main street</t>
  </si>
  <si>
    <t>Allantown</t>
  </si>
  <si>
    <t>12345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</si>
  <si>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</si>
  <si>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</si>
  <si>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</si>
  <si>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</si>
  <si>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</si>
  <si>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</si>
  <si>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</si>
  <si>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</si>
  <si>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</si>
  <si>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</si>
  <si>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</si>
  <si>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</si>
  <si>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Vanderleleys Truck Sales and Service</t>
  </si>
  <si>
    <t>Van</t>
  </si>
  <si>
    <t>34 Durham Road</t>
  </si>
  <si>
    <t>Ottsville</t>
  </si>
  <si>
    <t>18942</t>
  </si>
  <si>
    <t>18777</t>
  </si>
  <si>
    <t>On Road</t>
  </si>
  <si>
    <t>Legacy #1</t>
  </si>
  <si>
    <t>12345678901234567</t>
  </si>
  <si>
    <t>Model #2</t>
  </si>
  <si>
    <t>eng model 1</t>
  </si>
  <si>
    <t>seriakl #</t>
  </si>
  <si>
    <t xml:space="preserve">seriakl # / </t>
  </si>
  <si>
    <t>Van-66</t>
  </si>
  <si>
    <t>test # 1</t>
  </si>
  <si>
    <t>Bob #1</t>
  </si>
  <si>
    <t>track # 1</t>
  </si>
  <si>
    <t>Re-Sale</t>
  </si>
  <si>
    <t>Non-Road / Off-Road</t>
  </si>
  <si>
    <t>Caterpillar</t>
  </si>
  <si>
    <t>Silicon carbide</t>
  </si>
  <si>
    <t>DPF</t>
  </si>
  <si>
    <t>Light</t>
  </si>
  <si>
    <t>Reddish Orange</t>
  </si>
  <si>
    <t>None</t>
  </si>
  <si>
    <t>NA</t>
  </si>
  <si>
    <t>Like New</t>
  </si>
  <si>
    <t>Surface Crack(s)</t>
  </si>
  <si>
    <t>other</t>
  </si>
  <si>
    <t>test</t>
  </si>
  <si>
    <t>FJD</t>
  </si>
  <si>
    <t>75 Creamery RD</t>
  </si>
  <si>
    <t>Pottstown</t>
  </si>
  <si>
    <t>19355</t>
  </si>
  <si>
    <t xml:space="preserve">Passed  pin drop test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</si>
</sst>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64.emf"/><Relationship Id="rId18" Type="http://schemas.openxmlformats.org/officeDocument/2006/relationships/image" Target="../media/image69.emf"/><Relationship Id="rId3" Type="http://schemas.openxmlformats.org/officeDocument/2006/relationships/image" Target="../media/image54.emf"/><Relationship Id="rId21" Type="http://schemas.openxmlformats.org/officeDocument/2006/relationships/image" Target="../media/image72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17" Type="http://schemas.openxmlformats.org/officeDocument/2006/relationships/image" Target="../media/image68.emf"/><Relationship Id="rId2" Type="http://schemas.openxmlformats.org/officeDocument/2006/relationships/image" Target="../media/image53.emf"/><Relationship Id="rId16" Type="http://schemas.openxmlformats.org/officeDocument/2006/relationships/image" Target="../media/image67.emf"/><Relationship Id="rId20" Type="http://schemas.openxmlformats.org/officeDocument/2006/relationships/image" Target="../media/image71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5" Type="http://schemas.openxmlformats.org/officeDocument/2006/relationships/image" Target="../media/image66.emf"/><Relationship Id="rId23" Type="http://schemas.openxmlformats.org/officeDocument/2006/relationships/image" Target="../media/image51.emf"/><Relationship Id="rId10" Type="http://schemas.openxmlformats.org/officeDocument/2006/relationships/image" Target="../media/image61.emf"/><Relationship Id="rId19" Type="http://schemas.openxmlformats.org/officeDocument/2006/relationships/image" Target="../media/image70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Relationship Id="rId14" Type="http://schemas.openxmlformats.org/officeDocument/2006/relationships/image" Target="../media/image65.emf"/><Relationship Id="rId22" Type="http://schemas.openxmlformats.org/officeDocument/2006/relationships/image" Target="../media/image7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5" Type="http://schemas.openxmlformats.org/officeDocument/2006/relationships/image" Target="../media/image77.emf"/><Relationship Id="rId4" Type="http://schemas.openxmlformats.org/officeDocument/2006/relationships/image" Target="../media/image81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4.emf"/><Relationship Id="rId7" Type="http://schemas.openxmlformats.org/officeDocument/2006/relationships/image" Target="../media/image88.emf"/><Relationship Id="rId12" Type="http://schemas.openxmlformats.org/officeDocument/2006/relationships/image" Target="../media/image93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6" Type="http://schemas.openxmlformats.org/officeDocument/2006/relationships/image" Target="../media/image87.emf"/><Relationship Id="rId11" Type="http://schemas.openxmlformats.org/officeDocument/2006/relationships/image" Target="../media/image92.emf"/><Relationship Id="rId5" Type="http://schemas.openxmlformats.org/officeDocument/2006/relationships/image" Target="../media/image86.emf"/><Relationship Id="rId10" Type="http://schemas.openxmlformats.org/officeDocument/2006/relationships/image" Target="../media/image91.emf"/><Relationship Id="rId4" Type="http://schemas.openxmlformats.org/officeDocument/2006/relationships/image" Target="../media/image85.emf"/><Relationship Id="rId9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xmlns="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2</xdr:col>
          <xdr:colOff>19050</xdr:colOff>
          <xdr:row>5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xmlns="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xmlns="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xmlns="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xmlns="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xmlns="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200025</xdr:colOff>
          <xdr:row>18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xmlns="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28575</xdr:rowOff>
        </xdr:from>
        <xdr:to>
          <xdr:col>2</xdr:col>
          <xdr:colOff>200025</xdr:colOff>
          <xdr:row>19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xmlns="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28575</xdr:rowOff>
        </xdr:from>
        <xdr:to>
          <xdr:col>2</xdr:col>
          <xdr:colOff>200025</xdr:colOff>
          <xdr:row>20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xmlns="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9525</xdr:rowOff>
        </xdr:from>
        <xdr:to>
          <xdr:col>2</xdr:col>
          <xdr:colOff>200025</xdr:colOff>
          <xdr:row>23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xmlns="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9525</xdr:rowOff>
        </xdr:from>
        <xdr:to>
          <xdr:col>2</xdr:col>
          <xdr:colOff>200025</xdr:colOff>
          <xdr:row>24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xmlns="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19050</xdr:rowOff>
        </xdr:from>
        <xdr:to>
          <xdr:col>2</xdr:col>
          <xdr:colOff>200025</xdr:colOff>
          <xdr:row>25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xmlns="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xmlns="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0</xdr:rowOff>
        </xdr:from>
        <xdr:to>
          <xdr:col>3</xdr:col>
          <xdr:colOff>38100</xdr:colOff>
          <xdr:row>12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xmlns="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xmlns="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xmlns="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xmlns="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3</xdr:col>
          <xdr:colOff>38100</xdr:colOff>
          <xdr:row>14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xmlns="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3</xdr:col>
          <xdr:colOff>38100</xdr:colOff>
          <xdr:row>15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xmlns="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21</xdr:row>
          <xdr:rowOff>9525</xdr:rowOff>
        </xdr:from>
        <xdr:to>
          <xdr:col>3</xdr:col>
          <xdr:colOff>38100</xdr:colOff>
          <xdr:row>22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xmlns="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38100</xdr:colOff>
          <xdr:row>27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xmlns="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xmlns="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xmlns="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xmlns="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xmlns="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xmlns="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xmlns="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xmlns="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xmlns="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xmlns="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xmlns="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xmlns="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3</xdr:col>
          <xdr:colOff>38100</xdr:colOff>
          <xdr:row>9</xdr:row>
          <xdr:rowOff>9525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xmlns="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xmlns="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xmlns="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xmlns="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xmlns="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xmlns="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xmlns="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xmlns="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xmlns="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xmlns="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xmlns="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xmlns="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1162050</xdr:colOff>
          <xdr:row>37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xmlns="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1162050</xdr:colOff>
          <xdr:row>38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xmlns="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xmlns="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xmlns="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xmlns="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xmlns="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xmlns="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xmlns="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323850</xdr:colOff>
          <xdr:row>33</xdr:row>
          <xdr:rowOff>190500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xmlns="" id="{84E8EBA8-F67C-4167-A947-8BF2365AC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xmlns="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7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2.xml"/><Relationship Id="rId47" Type="http://schemas.openxmlformats.org/officeDocument/2006/relationships/image" Target="../media/image70.emf"/><Relationship Id="rId50" Type="http://schemas.openxmlformats.org/officeDocument/2006/relationships/control" Target="../activeX/activeX76.xml"/><Relationship Id="rId7" Type="http://schemas.openxmlformats.org/officeDocument/2006/relationships/image" Target="../media/image52.emf"/><Relationship Id="rId12" Type="http://schemas.openxmlformats.org/officeDocument/2006/relationships/control" Target="../activeX/activeX56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70.xml"/><Relationship Id="rId46" Type="http://schemas.openxmlformats.org/officeDocument/2006/relationships/control" Target="../activeX/activeX74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image" Target="../media/image65.emf"/><Relationship Id="rId40" Type="http://schemas.openxmlformats.org/officeDocument/2006/relationships/control" Target="../activeX/activeX71.xml"/><Relationship Id="rId45" Type="http://schemas.openxmlformats.org/officeDocument/2006/relationships/image" Target="../media/image69.emf"/><Relationship Id="rId53" Type="http://schemas.openxmlformats.org/officeDocument/2006/relationships/image" Target="../media/image73.emf"/><Relationship Id="rId5" Type="http://schemas.openxmlformats.org/officeDocument/2006/relationships/image" Target="../media/image51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49" Type="http://schemas.openxmlformats.org/officeDocument/2006/relationships/image" Target="../media/image71.emf"/><Relationship Id="rId10" Type="http://schemas.openxmlformats.org/officeDocument/2006/relationships/control" Target="../activeX/activeX54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3.xml"/><Relationship Id="rId52" Type="http://schemas.openxmlformats.org/officeDocument/2006/relationships/control" Target="../activeX/activeX77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0.emf"/><Relationship Id="rId30" Type="http://schemas.openxmlformats.org/officeDocument/2006/relationships/control" Target="../activeX/activeX66.xml"/><Relationship Id="rId35" Type="http://schemas.openxmlformats.org/officeDocument/2006/relationships/image" Target="../media/image64.emf"/><Relationship Id="rId43" Type="http://schemas.openxmlformats.org/officeDocument/2006/relationships/image" Target="../media/image68.emf"/><Relationship Id="rId48" Type="http://schemas.openxmlformats.org/officeDocument/2006/relationships/control" Target="../activeX/activeX75.xml"/><Relationship Id="rId8" Type="http://schemas.openxmlformats.org/officeDocument/2006/relationships/control" Target="../activeX/activeX53.xml"/><Relationship Id="rId51" Type="http://schemas.openxmlformats.org/officeDocument/2006/relationships/image" Target="../media/image7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9.xml"/><Relationship Id="rId5" Type="http://schemas.openxmlformats.org/officeDocument/2006/relationships/image" Target="../media/image74.emf"/><Relationship Id="rId4" Type="http://schemas.openxmlformats.org/officeDocument/2006/relationships/control" Target="../activeX/activeX78.xml"/><Relationship Id="rId9" Type="http://schemas.openxmlformats.org/officeDocument/2006/relationships/image" Target="../media/image7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image" Target="../media/image8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8.emf"/><Relationship Id="rId12" Type="http://schemas.openxmlformats.org/officeDocument/2006/relationships/control" Target="../activeX/activeX8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2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8.xml"/><Relationship Id="rId13" Type="http://schemas.openxmlformats.org/officeDocument/2006/relationships/control" Target="../activeX/activeX91.xml"/><Relationship Id="rId18" Type="http://schemas.openxmlformats.org/officeDocument/2006/relationships/image" Target="../media/image88.emf"/><Relationship Id="rId26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5.xml"/><Relationship Id="rId7" Type="http://schemas.openxmlformats.org/officeDocument/2006/relationships/image" Target="../media/image83.emf"/><Relationship Id="rId12" Type="http://schemas.openxmlformats.org/officeDocument/2006/relationships/image" Target="../media/image85.emf"/><Relationship Id="rId17" Type="http://schemas.openxmlformats.org/officeDocument/2006/relationships/control" Target="../activeX/activeX93.xml"/><Relationship Id="rId25" Type="http://schemas.openxmlformats.org/officeDocument/2006/relationships/control" Target="../activeX/activeX98.xml"/><Relationship Id="rId2" Type="http://schemas.openxmlformats.org/officeDocument/2006/relationships/drawing" Target="../drawings/drawing12.xml"/><Relationship Id="rId16" Type="http://schemas.openxmlformats.org/officeDocument/2006/relationships/image" Target="../media/image87.emf"/><Relationship Id="rId20" Type="http://schemas.openxmlformats.org/officeDocument/2006/relationships/image" Target="../media/image89.emf"/><Relationship Id="rId29" Type="http://schemas.openxmlformats.org/officeDocument/2006/relationships/image" Target="../media/image92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7.xml"/><Relationship Id="rId11" Type="http://schemas.openxmlformats.org/officeDocument/2006/relationships/control" Target="../activeX/activeX90.xml"/><Relationship Id="rId24" Type="http://schemas.openxmlformats.org/officeDocument/2006/relationships/control" Target="../activeX/activeX97.xml"/><Relationship Id="rId32" Type="http://schemas.openxmlformats.org/officeDocument/2006/relationships/control" Target="../activeX/activeX102.xml"/><Relationship Id="rId5" Type="http://schemas.openxmlformats.org/officeDocument/2006/relationships/image" Target="../media/image82.emf"/><Relationship Id="rId15" Type="http://schemas.openxmlformats.org/officeDocument/2006/relationships/control" Target="../activeX/activeX92.xml"/><Relationship Id="rId23" Type="http://schemas.openxmlformats.org/officeDocument/2006/relationships/control" Target="../activeX/activeX96.xml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89.xml"/><Relationship Id="rId19" Type="http://schemas.openxmlformats.org/officeDocument/2006/relationships/control" Target="../activeX/activeX94.xml"/><Relationship Id="rId31" Type="http://schemas.openxmlformats.org/officeDocument/2006/relationships/image" Target="../media/image93.emf"/><Relationship Id="rId4" Type="http://schemas.openxmlformats.org/officeDocument/2006/relationships/control" Target="../activeX/activeX86.xml"/><Relationship Id="rId9" Type="http://schemas.openxmlformats.org/officeDocument/2006/relationships/image" Target="../media/image84.emf"/><Relationship Id="rId14" Type="http://schemas.openxmlformats.org/officeDocument/2006/relationships/image" Target="../media/image86.emf"/><Relationship Id="rId22" Type="http://schemas.openxmlformats.org/officeDocument/2006/relationships/image" Target="../media/image90.emf"/><Relationship Id="rId27" Type="http://schemas.openxmlformats.org/officeDocument/2006/relationships/image" Target="../media/image91.emf"/><Relationship Id="rId30" Type="http://schemas.openxmlformats.org/officeDocument/2006/relationships/control" Target="../activeX/activeX10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4.xml"/><Relationship Id="rId5" Type="http://schemas.openxmlformats.org/officeDocument/2006/relationships/image" Target="../media/image94.emf"/><Relationship Id="rId4" Type="http://schemas.openxmlformats.org/officeDocument/2006/relationships/control" Target="../activeX/activeX103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activeCell="N8" sqref="N8"/>
    </sheetView>
  </sheetViews>
  <sheetFormatPr defaultRowHeight="15" customHeight="1" x14ac:dyDescent="0.45"/>
  <cols>
    <col min="2" max="2" width="4.1328125" customWidth="1"/>
    <col min="11" max="11" width="7.59765625" customWidth="1"/>
  </cols>
  <sheetData>
    <row r="3" spans="2:11" ht="15" customHeight="1" x14ac:dyDescent="0.4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4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4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4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4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4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4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4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4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4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4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45">
      <c r="B14" s="55" t="s">
        <v>197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390525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390525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85725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5" sqref="C5"/>
    </sheetView>
  </sheetViews>
  <sheetFormatPr defaultRowHeight="30" customHeight="1" x14ac:dyDescent="0.45"/>
  <cols>
    <col min="2" max="2" width="30.86328125" style="10" bestFit="1" customWidth="1"/>
    <col min="3" max="3" width="41.86328125" style="9" customWidth="1"/>
    <col min="5" max="5" width="32.59765625" customWidth="1"/>
  </cols>
  <sheetData>
    <row r="1" spans="2:5" ht="30" customHeight="1" x14ac:dyDescent="0.45">
      <c r="C1" s="8"/>
    </row>
    <row r="2" spans="2:5" ht="30" customHeight="1" x14ac:dyDescent="0.45">
      <c r="B2" s="11" t="s">
        <v>42</v>
      </c>
      <c r="C2" s="15">
        <v>29</v>
      </c>
    </row>
    <row r="3" spans="2:5" ht="30" customHeight="1" x14ac:dyDescent="0.45">
      <c r="B3" s="11" t="s">
        <v>42</v>
      </c>
      <c r="C3" s="14" t="s">
        <v>307</v>
      </c>
      <c r="E3" s="37"/>
    </row>
    <row r="4" spans="2:5" ht="30" customHeight="1" x14ac:dyDescent="0.45">
      <c r="B4" s="11" t="s">
        <v>159</v>
      </c>
      <c r="C4" s="14" t="s">
        <v>308</v>
      </c>
      <c r="E4" s="34"/>
    </row>
    <row r="5" spans="2:5" ht="30" customHeight="1" x14ac:dyDescent="0.45">
      <c r="B5" s="11" t="s">
        <v>43</v>
      </c>
      <c r="C5" s="14" t="s">
        <v>309</v>
      </c>
      <c r="E5" s="37"/>
    </row>
    <row r="6" spans="2:5" ht="30" customHeight="1" x14ac:dyDescent="0.45">
      <c r="B6" s="11" t="s">
        <v>44</v>
      </c>
      <c r="C6" s="14" t="s">
        <v>160</v>
      </c>
    </row>
    <row r="7" spans="2:5" ht="30" customHeight="1" x14ac:dyDescent="0.45">
      <c r="B7" s="11" t="s">
        <v>45</v>
      </c>
      <c r="C7" s="14" t="s">
        <v>310</v>
      </c>
    </row>
    <row r="8" spans="2:5" ht="30" customHeight="1" x14ac:dyDescent="0.45">
      <c r="B8" s="11" t="s">
        <v>46</v>
      </c>
      <c r="C8" s="14"/>
    </row>
    <row r="9" spans="2:5" ht="30" customHeight="1" x14ac:dyDescent="0.45">
      <c r="B9" s="11" t="s">
        <v>47</v>
      </c>
      <c r="C9" s="14" t="s">
        <v>311</v>
      </c>
    </row>
    <row r="10" spans="2:5" ht="30" customHeight="1" x14ac:dyDescent="0.45">
      <c r="B10" s="11" t="s">
        <v>48</v>
      </c>
      <c r="C10" s="14"/>
    </row>
    <row r="11" spans="2:5" ht="30" customHeight="1" x14ac:dyDescent="0.45">
      <c r="B11" s="11" t="s">
        <v>144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B4" sqref="B4"/>
    </sheetView>
  </sheetViews>
  <sheetFormatPr defaultRowHeight="30" customHeight="1" x14ac:dyDescent="0.45"/>
  <cols>
    <col min="1" max="1" width="30.86328125" bestFit="1" customWidth="1"/>
    <col min="2" max="2" width="45.59765625" style="9" customWidth="1"/>
    <col min="4" max="4" width="26.59765625" customWidth="1"/>
  </cols>
  <sheetData>
    <row r="2" spans="1:4" ht="30" customHeight="1" x14ac:dyDescent="0.45">
      <c r="A2" s="5" t="s">
        <v>33</v>
      </c>
      <c r="B2" s="12"/>
    </row>
    <row r="3" spans="1:4" ht="30" customHeight="1" x14ac:dyDescent="0.45">
      <c r="A3" s="5" t="s">
        <v>29</v>
      </c>
      <c r="B3" s="15">
        <v>28</v>
      </c>
    </row>
    <row r="4" spans="1:4" ht="30" customHeight="1" x14ac:dyDescent="0.45">
      <c r="A4" s="5" t="s">
        <v>30</v>
      </c>
      <c r="B4" s="14"/>
      <c r="D4" s="37"/>
    </row>
    <row r="5" spans="1:4" ht="30" customHeight="1" x14ac:dyDescent="0.45">
      <c r="A5" s="5" t="s">
        <v>1</v>
      </c>
      <c r="B5" s="14"/>
    </row>
    <row r="6" spans="1:4" ht="30" customHeight="1" x14ac:dyDescent="0.45">
      <c r="A6" s="5" t="s">
        <v>28</v>
      </c>
      <c r="B6" s="14"/>
    </row>
    <row r="7" spans="1:4" ht="30" customHeight="1" x14ac:dyDescent="0.45">
      <c r="A7" s="5" t="s">
        <v>2</v>
      </c>
      <c r="B7" s="14"/>
    </row>
    <row r="8" spans="1:4" ht="30" customHeight="1" x14ac:dyDescent="0.45">
      <c r="A8" s="5" t="s">
        <v>3</v>
      </c>
      <c r="B8" s="14"/>
    </row>
    <row r="9" spans="1:4" ht="30" customHeight="1" x14ac:dyDescent="0.45">
      <c r="A9" s="5" t="s">
        <v>4</v>
      </c>
      <c r="B9" s="14"/>
    </row>
    <row r="10" spans="1:4" ht="30" customHeight="1" x14ac:dyDescent="0.45">
      <c r="A10" s="5" t="s">
        <v>140</v>
      </c>
      <c r="B10" s="14" t="s">
        <v>188</v>
      </c>
    </row>
    <row r="11" spans="1:4" ht="30" customHeight="1" x14ac:dyDescent="0.4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1</xdr:col>
                <xdr:colOff>3086100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1</xdr:col>
                <xdr:colOff>3086100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45"/>
  <cols>
    <col min="1" max="1" width="30.86328125" style="5" bestFit="1" customWidth="1"/>
    <col min="2" max="2" width="46" style="9" customWidth="1"/>
    <col min="4" max="4" width="35.59765625" customWidth="1"/>
  </cols>
  <sheetData>
    <row r="1" spans="1:7" ht="30" customHeight="1" x14ac:dyDescent="0.45">
      <c r="B1" s="8"/>
    </row>
    <row r="2" spans="1:7" ht="30" customHeight="1" x14ac:dyDescent="0.45">
      <c r="A2" s="5" t="s">
        <v>33</v>
      </c>
      <c r="B2" s="12"/>
    </row>
    <row r="3" spans="1:7" ht="30" customHeight="1" x14ac:dyDescent="0.4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45">
      <c r="A4" s="5" t="s">
        <v>41</v>
      </c>
      <c r="B4" s="13"/>
    </row>
    <row r="5" spans="1:7" ht="30" customHeight="1" x14ac:dyDescent="0.45">
      <c r="A5" s="5" t="s">
        <v>5</v>
      </c>
      <c r="B5" s="14"/>
    </row>
    <row r="6" spans="1:7" ht="30" customHeight="1" x14ac:dyDescent="0.45">
      <c r="A6" s="5" t="s">
        <v>6</v>
      </c>
      <c r="B6" s="14"/>
    </row>
    <row r="7" spans="1:7" ht="30" customHeight="1" x14ac:dyDescent="0.45">
      <c r="A7" s="5" t="s">
        <v>1</v>
      </c>
      <c r="B7" s="14"/>
    </row>
    <row r="8" spans="1:7" ht="30" customHeight="1" x14ac:dyDescent="0.45">
      <c r="A8" s="5" t="s">
        <v>28</v>
      </c>
      <c r="B8" s="14"/>
    </row>
    <row r="9" spans="1:7" ht="30" customHeight="1" x14ac:dyDescent="0.45">
      <c r="A9" s="5" t="s">
        <v>2</v>
      </c>
      <c r="B9" s="14"/>
    </row>
    <row r="10" spans="1:7" ht="30" customHeight="1" x14ac:dyDescent="0.45">
      <c r="A10" s="5" t="s">
        <v>3</v>
      </c>
      <c r="B10" s="14"/>
    </row>
    <row r="11" spans="1:7" ht="30" customHeight="1" x14ac:dyDescent="0.45">
      <c r="A11" s="5" t="s">
        <v>4</v>
      </c>
      <c r="B11" s="14"/>
    </row>
    <row r="12" spans="1:7" ht="30" customHeight="1" x14ac:dyDescent="0.45">
      <c r="A12" s="5" t="s">
        <v>38</v>
      </c>
      <c r="B12" s="16"/>
    </row>
    <row r="13" spans="1:7" ht="30" customHeight="1" x14ac:dyDescent="0.45">
      <c r="A13" s="5" t="s">
        <v>39</v>
      </c>
      <c r="B13" s="14"/>
    </row>
    <row r="14" spans="1:7" ht="30" customHeight="1" x14ac:dyDescent="0.4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1</xdr:col>
                <xdr:colOff>3086100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45"/>
  <cols>
    <col min="1" max="1" width="37.59765625" customWidth="1"/>
    <col min="2" max="2" width="46" style="9" customWidth="1"/>
    <col min="4" max="4" width="23.3984375" customWidth="1"/>
  </cols>
  <sheetData>
    <row r="1" spans="1:4" ht="30" customHeight="1" x14ac:dyDescent="0.45">
      <c r="B1" s="8"/>
    </row>
    <row r="2" spans="1:4" ht="30" customHeight="1" x14ac:dyDescent="0.45">
      <c r="A2" s="5" t="s">
        <v>33</v>
      </c>
      <c r="B2" s="12"/>
    </row>
    <row r="3" spans="1:4" ht="30" customHeight="1" x14ac:dyDescent="0.45">
      <c r="A3" s="5" t="s">
        <v>258</v>
      </c>
      <c r="B3" s="12"/>
      <c r="D3" s="37"/>
    </row>
    <row r="4" spans="1:4" ht="30" customHeight="1" x14ac:dyDescent="0.45">
      <c r="A4" s="5" t="s">
        <v>165</v>
      </c>
      <c r="B4" s="138" t="s">
        <v>286</v>
      </c>
    </row>
    <row r="5" spans="1:4" ht="30" customHeight="1" x14ac:dyDescent="0.45">
      <c r="A5" s="5" t="s">
        <v>189</v>
      </c>
      <c r="B5" s="57"/>
    </row>
    <row r="6" spans="1:4" ht="30" customHeight="1" x14ac:dyDescent="0.45">
      <c r="A6" s="5" t="s">
        <v>9</v>
      </c>
      <c r="B6" s="14"/>
    </row>
    <row r="7" spans="1:4" ht="30" customHeight="1" x14ac:dyDescent="0.45">
      <c r="A7" s="5" t="s">
        <v>10</v>
      </c>
      <c r="B7" s="14" t="s">
        <v>287</v>
      </c>
    </row>
    <row r="8" spans="1:4" ht="30" customHeight="1" x14ac:dyDescent="0.45">
      <c r="A8" s="5" t="s">
        <v>11</v>
      </c>
      <c r="B8" s="14">
        <v>2019</v>
      </c>
    </row>
    <row r="9" spans="1:4" ht="30" customHeight="1" x14ac:dyDescent="0.45">
      <c r="A9" s="107" t="s">
        <v>259</v>
      </c>
      <c r="B9" s="14">
        <v>500</v>
      </c>
    </row>
  </sheetData>
  <sheetProtection selectLockedCells="1"/>
  <protectedRanges>
    <protectedRange sqref="D3" name="VehicleNote"/>
    <protectedRange sqref="B2:B8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1</xdr:col>
                <xdr:colOff>3086100</xdr:colOff>
                <xdr:row>5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  <mc:AlternateContent xmlns:mc="http://schemas.openxmlformats.org/markup-compatibility/2006">
      <mc:Choice Requires="x14">
        <control shapeId="11272" r:id="rId16" name="cbVehicleType">
          <controlPr autoLine="0" r:id="rId17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1</xdr:col>
                <xdr:colOff>3076575</xdr:colOff>
                <xdr:row>3</xdr:row>
                <xdr:rowOff>0</xdr:rowOff>
              </to>
            </anchor>
          </controlPr>
        </control>
      </mc:Choice>
      <mc:Fallback>
        <control shapeId="11272" r:id="rId16" name="cbVehicleTyp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45"/>
  <cols>
    <col min="1" max="1" width="13.265625" customWidth="1"/>
    <col min="2" max="2" width="23.1328125" style="9" customWidth="1"/>
    <col min="3" max="3" width="6.59765625" customWidth="1"/>
    <col min="4" max="4" width="20.59765625" customWidth="1"/>
  </cols>
  <sheetData>
    <row r="1" spans="1:4" ht="30" customHeight="1" x14ac:dyDescent="0.45">
      <c r="B1" s="8"/>
    </row>
    <row r="2" spans="1:4" ht="30" customHeight="1" x14ac:dyDescent="0.45">
      <c r="A2" s="5" t="s">
        <v>33</v>
      </c>
      <c r="B2" s="12"/>
    </row>
    <row r="3" spans="1:4" ht="30" customHeight="1" x14ac:dyDescent="0.45">
      <c r="A3" s="5" t="s">
        <v>31</v>
      </c>
      <c r="B3" s="58"/>
      <c r="D3" s="56"/>
    </row>
    <row r="4" spans="1:4" ht="30" customHeight="1" x14ac:dyDescent="0.45">
      <c r="A4" s="5" t="s">
        <v>9</v>
      </c>
      <c r="B4" s="14"/>
    </row>
    <row r="5" spans="1:4" ht="30" customHeight="1" x14ac:dyDescent="0.45">
      <c r="A5" s="5" t="s">
        <v>10</v>
      </c>
      <c r="B5" s="14" t="s">
        <v>288</v>
      </c>
    </row>
    <row r="6" spans="1:4" ht="30" customHeight="1" x14ac:dyDescent="0.45">
      <c r="A6" s="5" t="s">
        <v>11</v>
      </c>
      <c r="B6" s="35">
        <v>2019</v>
      </c>
    </row>
    <row r="7" spans="1:4" ht="30" customHeight="1" x14ac:dyDescent="0.45">
      <c r="A7" s="5"/>
      <c r="B7" s="8"/>
    </row>
    <row r="8" spans="1:4" ht="30" customHeight="1" x14ac:dyDescent="0.45">
      <c r="A8" s="5"/>
      <c r="B8" s="8"/>
    </row>
    <row r="9" spans="1:4" ht="30" customHeight="1" x14ac:dyDescent="0.4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633413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1543050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1</xdr:col>
                <xdr:colOff>1543050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642938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642938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642938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45"/>
  <cols>
    <col min="1" max="1" width="30.86328125" bestFit="1" customWidth="1"/>
    <col min="2" max="2" width="47" style="9" customWidth="1"/>
    <col min="5" max="5" width="20.265625" customWidth="1"/>
  </cols>
  <sheetData>
    <row r="1" spans="1:5" ht="30" customHeight="1" x14ac:dyDescent="0.45">
      <c r="B1" s="8"/>
    </row>
    <row r="2" spans="1:5" ht="30" customHeight="1" x14ac:dyDescent="0.45">
      <c r="A2" s="5" t="s">
        <v>32</v>
      </c>
      <c r="B2" s="12"/>
    </row>
    <row r="3" spans="1:5" ht="30" customHeight="1" x14ac:dyDescent="0.45">
      <c r="A3" s="5" t="s">
        <v>163</v>
      </c>
      <c r="B3" s="14" t="s">
        <v>164</v>
      </c>
      <c r="E3" t="s">
        <v>161</v>
      </c>
    </row>
    <row r="4" spans="1:5" ht="30" customHeight="1" x14ac:dyDescent="0.45">
      <c r="A4" s="5"/>
      <c r="B4" s="8"/>
    </row>
    <row r="5" spans="1:5" ht="30" customHeight="1" x14ac:dyDescent="0.45">
      <c r="A5" s="5"/>
      <c r="B5" s="8"/>
    </row>
    <row r="6" spans="1:5" ht="30" customHeight="1" x14ac:dyDescent="0.45">
      <c r="A6" s="5"/>
      <c r="B6" s="8"/>
    </row>
    <row r="7" spans="1:5" ht="30" customHeight="1" x14ac:dyDescent="0.45">
      <c r="A7" s="5"/>
      <c r="B7" s="8"/>
    </row>
    <row r="8" spans="1:5" ht="30" customHeight="1" x14ac:dyDescent="0.45">
      <c r="A8" s="5"/>
      <c r="B8" s="8"/>
    </row>
    <row r="9" spans="1:5" ht="30" customHeight="1" x14ac:dyDescent="0.4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4</xdr:col>
                <xdr:colOff>1333500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3219450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1323975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45"/>
  <cols>
    <col min="1" max="1" width="30.86328125" bestFit="1" customWidth="1"/>
    <col min="2" max="2" width="46.59765625" style="9" customWidth="1"/>
    <col min="5" max="5" width="22" customWidth="1"/>
  </cols>
  <sheetData>
    <row r="1" spans="1:5" ht="30" customHeight="1" x14ac:dyDescent="0.45">
      <c r="B1" s="8"/>
    </row>
    <row r="2" spans="1:5" ht="30" customHeight="1" x14ac:dyDescent="0.45">
      <c r="A2" s="3" t="s">
        <v>33</v>
      </c>
      <c r="B2" s="12"/>
    </row>
    <row r="3" spans="1:5" ht="30" customHeight="1" x14ac:dyDescent="0.45">
      <c r="A3" s="5" t="s">
        <v>35</v>
      </c>
      <c r="B3" s="58" t="s">
        <v>289</v>
      </c>
      <c r="E3" s="37"/>
    </row>
    <row r="4" spans="1:5" ht="30" customHeight="1" x14ac:dyDescent="0.45">
      <c r="A4" s="5" t="s">
        <v>36</v>
      </c>
      <c r="B4" s="58"/>
    </row>
    <row r="5" spans="1:5" ht="30" customHeight="1" x14ac:dyDescent="0.45">
      <c r="A5" s="5" t="s">
        <v>13</v>
      </c>
      <c r="B5" s="14"/>
    </row>
    <row r="6" spans="1:5" ht="30" customHeight="1" x14ac:dyDescent="0.45">
      <c r="A6" s="5" t="s">
        <v>34</v>
      </c>
      <c r="B6" s="14"/>
    </row>
    <row r="7" spans="1:5" ht="30" customHeight="1" x14ac:dyDescent="0.45">
      <c r="A7" s="5" t="s">
        <v>14</v>
      </c>
      <c r="B7" s="14"/>
    </row>
    <row r="8" spans="1:5" ht="30" customHeight="1" x14ac:dyDescent="0.45">
      <c r="A8" s="5" t="s">
        <v>37</v>
      </c>
      <c r="B8" s="103"/>
    </row>
    <row r="9" spans="1:5" ht="30" customHeight="1" x14ac:dyDescent="0.45">
      <c r="A9" s="5" t="s">
        <v>15</v>
      </c>
      <c r="B9" s="14">
        <v>14</v>
      </c>
    </row>
    <row r="10" spans="1:5" ht="30" customHeight="1" x14ac:dyDescent="0.45">
      <c r="A10" s="5" t="s">
        <v>16</v>
      </c>
      <c r="B10" s="14">
        <v>12</v>
      </c>
    </row>
    <row r="11" spans="1:5" ht="30" customHeight="1" x14ac:dyDescent="0.45">
      <c r="A11" s="5" t="s">
        <v>17</v>
      </c>
      <c r="B11" s="14">
        <v>14</v>
      </c>
    </row>
    <row r="12" spans="1:5" ht="30" customHeight="1" x14ac:dyDescent="0.4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1009650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4763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1</xdr:col>
                <xdr:colOff>3105150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1000125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990600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29"/>
  <sheetViews>
    <sheetView showGridLines="0" tabSelected="1" workbookViewId="0">
      <selection activeCell="A9" sqref="A9:XFD9"/>
    </sheetView>
  </sheetViews>
  <sheetFormatPr defaultRowHeight="18" customHeight="1" x14ac:dyDescent="0.45"/>
  <cols>
    <col min="1" max="1" width="12.59765625" customWidth="1"/>
    <col min="2" max="2" width="38.3984375" style="5" bestFit="1" customWidth="1"/>
    <col min="3" max="3" width="45.59765625" customWidth="1"/>
    <col min="5" max="5" width="22.59765625" customWidth="1"/>
  </cols>
  <sheetData>
    <row r="1" spans="2:10" ht="21" customHeight="1" x14ac:dyDescent="0.45"/>
    <row r="3" spans="2:10" ht="18" customHeight="1" x14ac:dyDescent="0.45">
      <c r="B3" s="5" t="s">
        <v>0</v>
      </c>
    </row>
    <row r="4" spans="2:10" ht="18" customHeight="1" x14ac:dyDescent="0.55000000000000004">
      <c r="B4" s="5" t="s">
        <v>147</v>
      </c>
      <c r="E4" s="45"/>
    </row>
    <row r="5" spans="2:10" ht="18" customHeight="1" x14ac:dyDescent="0.45">
      <c r="B5" s="134" t="s">
        <v>247</v>
      </c>
      <c r="C5" s="1"/>
      <c r="J5" s="5"/>
    </row>
    <row r="6" spans="2:10" ht="18" customHeight="1" x14ac:dyDescent="0.45">
      <c r="B6" s="5" t="s">
        <v>177</v>
      </c>
      <c r="C6" s="53"/>
      <c r="J6" s="5"/>
    </row>
    <row r="7" spans="2:10" ht="18" customHeight="1" x14ac:dyDescent="0.45">
      <c r="B7" s="5" t="s">
        <v>174</v>
      </c>
      <c r="C7" s="2"/>
    </row>
    <row r="8" spans="2:10" ht="18" customHeight="1" x14ac:dyDescent="0.45">
      <c r="B8" s="5" t="s">
        <v>175</v>
      </c>
      <c r="C8" s="53"/>
    </row>
    <row r="9" spans="2:10" ht="18" customHeight="1" x14ac:dyDescent="0.45">
      <c r="B9" s="5" t="s">
        <v>221</v>
      </c>
      <c r="C9" s="53"/>
    </row>
    <row r="10" spans="2:10" ht="18" customHeight="1" x14ac:dyDescent="0.45">
      <c r="B10" s="5" t="s">
        <v>266</v>
      </c>
      <c r="C10" s="137"/>
    </row>
    <row r="11" spans="2:10" ht="18" customHeight="1" x14ac:dyDescent="0.45">
      <c r="C11" s="2"/>
    </row>
    <row r="12" spans="2:10" ht="18" customHeight="1" x14ac:dyDescent="0.45">
      <c r="B12" s="5" t="s">
        <v>148</v>
      </c>
      <c r="C12" s="4"/>
    </row>
    <row r="13" spans="2:10" ht="18" customHeight="1" x14ac:dyDescent="0.45">
      <c r="B13" s="5" t="s">
        <v>8</v>
      </c>
      <c r="C13" s="1"/>
    </row>
    <row r="14" spans="2:10" ht="18" customHeight="1" x14ac:dyDescent="0.45">
      <c r="B14" s="5" t="s">
        <v>12</v>
      </c>
      <c r="C14" s="1"/>
    </row>
    <row r="15" spans="2:10" ht="18" customHeight="1" x14ac:dyDescent="0.45">
      <c r="B15" s="5" t="s">
        <v>176</v>
      </c>
      <c r="C15" s="1"/>
    </row>
    <row r="16" spans="2:10" ht="18" customHeight="1" x14ac:dyDescent="0.45">
      <c r="B16" s="134" t="s">
        <v>260</v>
      </c>
      <c r="C16" s="54"/>
    </row>
    <row r="17" spans="2:5" ht="18" customHeight="1" x14ac:dyDescent="0.45">
      <c r="B17" s="134" t="s">
        <v>261</v>
      </c>
      <c r="C17" s="53"/>
    </row>
    <row r="18" spans="2:5" ht="18" customHeight="1" x14ac:dyDescent="0.45">
      <c r="C18" s="1"/>
    </row>
    <row r="19" spans="2:5" ht="18" customHeight="1" x14ac:dyDescent="0.45">
      <c r="B19" s="5" t="s">
        <v>19</v>
      </c>
      <c r="C19" s="52"/>
    </row>
    <row r="20" spans="2:5" ht="18" customHeight="1" x14ac:dyDescent="0.45">
      <c r="B20" s="5" t="s">
        <v>20</v>
      </c>
      <c r="C20" s="53"/>
    </row>
    <row r="21" spans="2:5" ht="18" customHeight="1" x14ac:dyDescent="0.45">
      <c r="B21" s="5" t="s">
        <v>21</v>
      </c>
      <c r="C21" s="53"/>
    </row>
    <row r="22" spans="2:5" ht="18" customHeight="1" x14ac:dyDescent="0.45">
      <c r="B22" s="5" t="s">
        <v>22</v>
      </c>
      <c r="C22" s="1"/>
    </row>
    <row r="23" spans="2:5" ht="18" customHeight="1" x14ac:dyDescent="0.45">
      <c r="C23" s="1"/>
    </row>
    <row r="24" spans="2:5" ht="18" customHeight="1" x14ac:dyDescent="0.45">
      <c r="B24" s="5" t="s">
        <v>23</v>
      </c>
      <c r="C24" s="52"/>
    </row>
    <row r="25" spans="2:5" ht="18" customHeight="1" x14ac:dyDescent="0.45">
      <c r="B25" s="5" t="s">
        <v>24</v>
      </c>
      <c r="C25" s="53"/>
    </row>
    <row r="26" spans="2:5" ht="18" customHeight="1" x14ac:dyDescent="0.45">
      <c r="B26" s="5" t="s">
        <v>25</v>
      </c>
      <c r="C26" s="53"/>
    </row>
    <row r="27" spans="2:5" ht="18" customHeight="1" x14ac:dyDescent="0.45">
      <c r="B27" s="5" t="s">
        <v>26</v>
      </c>
      <c r="C27" s="1"/>
      <c r="D27" s="116"/>
      <c r="E27" s="116"/>
    </row>
    <row r="28" spans="2:5" ht="18" customHeight="1" x14ac:dyDescent="0.45">
      <c r="B28" s="5" t="s">
        <v>7</v>
      </c>
      <c r="C28" s="1"/>
      <c r="D28" s="116"/>
      <c r="E28" s="116"/>
    </row>
    <row r="29" spans="2:5" ht="18" customHeight="1" x14ac:dyDescent="0.45">
      <c r="D29" s="116"/>
      <c r="E29" s="116"/>
    </row>
  </sheetData>
  <protectedRanges>
    <protectedRange sqref="C3:C28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9" r:id="rId4" name="cbCleaningLocation">
          <controlPr defaultSize="0" autoFill="0" autoLine="0" r:id="rId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3076575</xdr:colOff>
                <xdr:row>9</xdr:row>
                <xdr:rowOff>9525</xdr:rowOff>
              </to>
            </anchor>
          </controlPr>
        </control>
      </mc:Choice>
      <mc:Fallback>
        <control shapeId="33819" r:id="rId4" name="cbCleaningLocation"/>
      </mc:Fallback>
    </mc:AlternateContent>
    <mc:AlternateContent xmlns:mc="http://schemas.openxmlformats.org/markup-compatibility/2006">
      <mc:Choice Requires="x14">
        <control shapeId="33793" r:id="rId6" name="chkOvrRdHw">
          <controlPr autoLine="0" r:id="rId7">
            <anchor moveWithCells="1">
              <from>
                <xdr:col>2</xdr:col>
                <xdr:colOff>76200</xdr:colOff>
                <xdr:row>18</xdr:row>
                <xdr:rowOff>38100</xdr:rowOff>
              </from>
              <to>
                <xdr:col>2</xdr:col>
                <xdr:colOff>200025</xdr:colOff>
                <xdr:row>18</xdr:row>
                <xdr:rowOff>171450</xdr:rowOff>
              </to>
            </anchor>
          </controlPr>
        </control>
      </mc:Choice>
      <mc:Fallback>
        <control shapeId="33793" r:id="rId6" name="chkOvrRdHw"/>
      </mc:Fallback>
    </mc:AlternateContent>
    <mc:AlternateContent xmlns:mc="http://schemas.openxmlformats.org/markup-compatibility/2006">
      <mc:Choice Requires="x14">
        <control shapeId="33794" r:id="rId8" name="chkStartStop">
          <controlPr autoLine="0" r:id="rId9">
            <anchor moveWithCells="1">
              <from>
                <xdr:col>2</xdr:col>
                <xdr:colOff>76200</xdr:colOff>
                <xdr:row>19</xdr:row>
                <xdr:rowOff>28575</xdr:rowOff>
              </from>
              <to>
                <xdr:col>2</xdr:col>
                <xdr:colOff>200025</xdr:colOff>
                <xdr:row>19</xdr:row>
                <xdr:rowOff>190500</xdr:rowOff>
              </to>
            </anchor>
          </controlPr>
        </control>
      </mc:Choice>
      <mc:Fallback>
        <control shapeId="33794" r:id="rId8" name="chkStartStop"/>
      </mc:Fallback>
    </mc:AlternateContent>
    <mc:AlternateContent xmlns:mc="http://schemas.openxmlformats.org/markup-compatibility/2006">
      <mc:Choice Requires="x14">
        <control shapeId="33795" r:id="rId10" name="chkHighIdle">
          <controlPr autoLine="0" r:id="rId9">
            <anchor moveWithCells="1">
              <from>
                <xdr:col>2</xdr:col>
                <xdr:colOff>76200</xdr:colOff>
                <xdr:row>20</xdr:row>
                <xdr:rowOff>28575</xdr:rowOff>
              </from>
              <to>
                <xdr:col>2</xdr:col>
                <xdr:colOff>200025</xdr:colOff>
                <xdr:row>20</xdr:row>
                <xdr:rowOff>190500</xdr:rowOff>
              </to>
            </anchor>
          </controlPr>
        </control>
      </mc:Choice>
      <mc:Fallback>
        <control shapeId="33795" r:id="rId10" name="chkHighIdle"/>
      </mc:Fallback>
    </mc:AlternateContent>
    <mc:AlternateContent xmlns:mc="http://schemas.openxmlformats.org/markup-compatibility/2006">
      <mc:Choice Requires="x14">
        <control shapeId="33796" r:id="rId11" name="chkPreventMaint">
          <controlPr autoLine="0" r:id="rId9">
            <anchor moveWithCells="1">
              <from>
                <xdr:col>2</xdr:col>
                <xdr:colOff>76200</xdr:colOff>
                <xdr:row>23</xdr:row>
                <xdr:rowOff>9525</xdr:rowOff>
              </from>
              <to>
                <xdr:col>2</xdr:col>
                <xdr:colOff>200025</xdr:colOff>
                <xdr:row>23</xdr:row>
                <xdr:rowOff>171450</xdr:rowOff>
              </to>
            </anchor>
          </controlPr>
        </control>
      </mc:Choice>
      <mc:Fallback>
        <control shapeId="33796" r:id="rId11" name="chkPreventMaint"/>
      </mc:Fallback>
    </mc:AlternateContent>
    <mc:AlternateContent xmlns:mc="http://schemas.openxmlformats.org/markup-compatibility/2006">
      <mc:Choice Requires="x14">
        <control shapeId="33797" r:id="rId12" name="chkHighSootLoad">
          <controlPr autoLine="0" r:id="rId9">
            <anchor moveWithCells="1">
              <from>
                <xdr:col>2</xdr:col>
                <xdr:colOff>76200</xdr:colOff>
                <xdr:row>24</xdr:row>
                <xdr:rowOff>9525</xdr:rowOff>
              </from>
              <to>
                <xdr:col>2</xdr:col>
                <xdr:colOff>200025</xdr:colOff>
                <xdr:row>24</xdr:row>
                <xdr:rowOff>171450</xdr:rowOff>
              </to>
            </anchor>
          </controlPr>
        </control>
      </mc:Choice>
      <mc:Fallback>
        <control shapeId="33797" r:id="rId12" name="chkHighSootLoad"/>
      </mc:Fallback>
    </mc:AlternateContent>
    <mc:AlternateContent xmlns:mc="http://schemas.openxmlformats.org/markup-compatibility/2006">
      <mc:Choice Requires="x14">
        <control shapeId="33798" r:id="rId13" name="chkEngineFail">
          <controlPr autoLine="0" r:id="rId9">
            <anchor moveWithCells="1">
              <from>
                <xdr:col>2</xdr:col>
                <xdr:colOff>76200</xdr:colOff>
                <xdr:row>25</xdr:row>
                <xdr:rowOff>19050</xdr:rowOff>
              </from>
              <to>
                <xdr:col>2</xdr:col>
                <xdr:colOff>200025</xdr:colOff>
                <xdr:row>25</xdr:row>
                <xdr:rowOff>180975</xdr:rowOff>
              </to>
            </anchor>
          </controlPr>
        </control>
      </mc:Choice>
      <mc:Fallback>
        <control shapeId="33798" r:id="rId13" name="chkEngineFail"/>
      </mc:Fallback>
    </mc:AlternateContent>
    <mc:AlternateContent xmlns:mc="http://schemas.openxmlformats.org/markup-compatibility/2006">
      <mc:Choice Requires="x14">
        <control shapeId="33799" r:id="rId14" name="cmdSave">
          <controlPr defaultSize="0" autoFill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14" name="cmdSave"/>
      </mc:Fallback>
    </mc:AlternateContent>
    <mc:AlternateContent xmlns:mc="http://schemas.openxmlformats.org/markup-compatibility/2006">
      <mc:Choice Requires="x14">
        <control shapeId="33800" r:id="rId16" name="cbDPF">
          <controlPr defaultSize="0" autoFill="0" autoLine="0" r:id="rId17">
            <anchor moveWithCells="1">
              <from>
                <xdr:col>2</xdr:col>
                <xdr:colOff>19050</xdr:colOff>
                <xdr:row>11</xdr:row>
                <xdr:rowOff>0</xdr:rowOff>
              </from>
              <to>
                <xdr:col>2</xdr:col>
                <xdr:colOff>3076575</xdr:colOff>
                <xdr:row>12</xdr:row>
                <xdr:rowOff>9525</xdr:rowOff>
              </to>
            </anchor>
          </controlPr>
        </control>
      </mc:Choice>
      <mc:Fallback>
        <control shapeId="33800" r:id="rId16" name="cbDPF"/>
      </mc:Fallback>
    </mc:AlternateContent>
    <mc:AlternateContent xmlns:mc="http://schemas.openxmlformats.org/markup-compatibility/2006">
      <mc:Choice Requires="x14">
        <control shapeId="33801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3076575</xdr:colOff>
                <xdr:row>5</xdr:row>
                <xdr:rowOff>19050</xdr:rowOff>
              </to>
            </anchor>
          </controlPr>
        </control>
      </mc:Choice>
      <mc:Fallback>
        <control shapeId="33801" r:id="rId18" name="cbCompany"/>
      </mc:Fallback>
    </mc:AlternateContent>
    <mc:AlternateContent xmlns:mc="http://schemas.openxmlformats.org/markup-compatibility/2006">
      <mc:Choice Requires="x14">
        <control shapeId="33802" r:id="rId20" name="cbCompLocation">
          <controlPr defaultSize="0" autoFill="0" autoLine="0" r:id="rId21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3076575</xdr:colOff>
                <xdr:row>7</xdr:row>
                <xdr:rowOff>38100</xdr:rowOff>
              </to>
            </anchor>
          </controlPr>
        </control>
      </mc:Choice>
      <mc:Fallback>
        <control shapeId="33802" r:id="rId20" name="cbCompLocation"/>
      </mc:Fallback>
    </mc:AlternateContent>
    <mc:AlternateContent xmlns:mc="http://schemas.openxmlformats.org/markup-compatibility/2006">
      <mc:Choice Requires="x14">
        <control shapeId="33803" r:id="rId22" name="cbVehicle">
          <controlPr defaultSize="0" autoFill="0" autoLine="0" r:id="rId23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2</xdr:col>
                <xdr:colOff>3076575</xdr:colOff>
                <xdr:row>13</xdr:row>
                <xdr:rowOff>19050</xdr:rowOff>
              </to>
            </anchor>
          </controlPr>
        </control>
      </mc:Choice>
      <mc:Fallback>
        <control shapeId="33803" r:id="rId22" name="cbVehicle"/>
      </mc:Fallback>
    </mc:AlternateContent>
    <mc:AlternateContent xmlns:mc="http://schemas.openxmlformats.org/markup-compatibility/2006">
      <mc:Choice Requires="x14">
        <control shapeId="33804" r:id="rId24" name="cbEngine">
          <controlPr defaultSize="0" autoFill="0" autoLine="0" r:id="rId25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3076575</xdr:colOff>
                <xdr:row>14</xdr:row>
                <xdr:rowOff>19050</xdr:rowOff>
              </to>
            </anchor>
          </controlPr>
        </control>
      </mc:Choice>
      <mc:Fallback>
        <control shapeId="33804" r:id="rId24" name="cbEngine"/>
      </mc:Fallback>
    </mc:AlternateContent>
    <mc:AlternateContent xmlns:mc="http://schemas.openxmlformats.org/markup-compatibility/2006">
      <mc:Choice Requires="x14">
        <control shapeId="33805" r:id="rId26" name="cbECD">
          <controlPr defaultSize="0" autoFill="0" autoLine="0" r:id="rId27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3076575</xdr:colOff>
                <xdr:row>15</xdr:row>
                <xdr:rowOff>19050</xdr:rowOff>
              </to>
            </anchor>
          </controlPr>
        </control>
      </mc:Choice>
      <mc:Fallback>
        <control shapeId="33805" r:id="rId26" name="cbECD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r:id="rId29">
            <anchor moveWithCells="1">
              <from>
                <xdr:col>2</xdr:col>
                <xdr:colOff>19050</xdr:colOff>
                <xdr:row>21</xdr:row>
                <xdr:rowOff>9525</xdr:rowOff>
              </from>
              <to>
                <xdr:col>2</xdr:col>
                <xdr:colOff>3076575</xdr:colOff>
                <xdr:row>22</xdr:row>
                <xdr:rowOff>19050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7" r:id="rId30" name="cbCleaningReason">
          <controlPr defaultSize="0" autoFill="0" autoLine="0" r:id="rId31">
            <anchor moveWithCells="1">
              <from>
                <xdr:col>2</xdr:col>
                <xdr:colOff>19050</xdr:colOff>
                <xdr:row>26</xdr:row>
                <xdr:rowOff>19050</xdr:rowOff>
              </from>
              <to>
                <xdr:col>2</xdr:col>
                <xdr:colOff>3076575</xdr:colOff>
                <xdr:row>27</xdr:row>
                <xdr:rowOff>9525</xdr:rowOff>
              </to>
            </anchor>
          </controlPr>
        </control>
      </mc:Choice>
      <mc:Fallback>
        <control shapeId="33807" r:id="rId30" name="cbCleaningReason"/>
      </mc:Fallback>
    </mc:AlternateContent>
    <mc:AlternateContent xmlns:mc="http://schemas.openxmlformats.org/markup-compatibility/2006">
      <mc:Choice Requires="x14">
        <control shapeId="33808" r:id="rId32" name="cmdMenu">
          <controlPr autoLine="0" r:id="rId33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32" name="cmdMenu"/>
      </mc:Fallback>
    </mc:AlternateContent>
    <mc:AlternateContent xmlns:mc="http://schemas.openxmlformats.org/markup-compatibility/2006">
      <mc:Choice Requires="x14">
        <control shapeId="33809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3076575</xdr:colOff>
                <xdr:row>4</xdr:row>
                <xdr:rowOff>28575</xdr:rowOff>
              </to>
            </anchor>
          </controlPr>
        </control>
      </mc:Choice>
      <mc:Fallback>
        <control shapeId="33809" r:id="rId34" name="cbBillingCompany"/>
      </mc:Fallback>
    </mc:AlternateContent>
    <mc:AlternateContent xmlns:mc="http://schemas.openxmlformats.org/markup-compatibility/2006">
      <mc:Choice Requires="x14">
        <control shapeId="33810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3076575</xdr:colOff>
                <xdr:row>3</xdr:row>
                <xdr:rowOff>9525</xdr:rowOff>
              </to>
            </anchor>
          </controlPr>
        </control>
      </mc:Choice>
      <mc:Fallback>
        <control shapeId="33810" r:id="rId36" name="cbSalesID"/>
      </mc:Fallback>
    </mc:AlternateContent>
    <mc:AlternateContent xmlns:mc="http://schemas.openxmlformats.org/markup-compatibility/2006">
      <mc:Choice Requires="x14">
        <control shapeId="33811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38" name="cmdVehicle"/>
      </mc:Fallback>
    </mc:AlternateContent>
    <mc:AlternateContent xmlns:mc="http://schemas.openxmlformats.org/markup-compatibility/2006">
      <mc:Choice Requires="x14">
        <control shapeId="33812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40" name="cmdEngine"/>
      </mc:Fallback>
    </mc:AlternateContent>
    <mc:AlternateContent xmlns:mc="http://schemas.openxmlformats.org/markup-compatibility/2006">
      <mc:Choice Requires="x14">
        <control shapeId="33813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42" name="cmdECD"/>
      </mc:Fallback>
    </mc:AlternateContent>
    <mc:AlternateContent xmlns:mc="http://schemas.openxmlformats.org/markup-compatibility/2006">
      <mc:Choice Requires="x14">
        <control shapeId="33814" r:id="rId44" name="cmdQuality">
          <controlPr defaultSize="0" autoLine="0" altText="" r:id="rId45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7</xdr:col>
                <xdr:colOff>600075</xdr:colOff>
                <xdr:row>6</xdr:row>
                <xdr:rowOff>104775</xdr:rowOff>
              </to>
            </anchor>
          </controlPr>
        </control>
      </mc:Choice>
      <mc:Fallback>
        <control shapeId="33814" r:id="rId44" name="cmdQuality"/>
      </mc:Fallback>
    </mc:AlternateContent>
    <mc:AlternateContent xmlns:mc="http://schemas.openxmlformats.org/markup-compatibility/2006">
      <mc:Choice Requires="x14">
        <control shapeId="33815" r:id="rId46" name="cmdQAProcess">
          <controlPr defaultSize="0" autoLine="0" r:id="rId47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7</xdr:col>
                <xdr:colOff>600075</xdr:colOff>
                <xdr:row>8</xdr:row>
                <xdr:rowOff>28575</xdr:rowOff>
              </to>
            </anchor>
          </controlPr>
        </control>
      </mc:Choice>
      <mc:Fallback>
        <control shapeId="33815" r:id="rId46" name="cmdQAProcess"/>
      </mc:Fallback>
    </mc:AlternateContent>
    <mc:AlternateContent xmlns:mc="http://schemas.openxmlformats.org/markup-compatibility/2006">
      <mc:Choice Requires="x14">
        <control shapeId="33816" r:id="rId48" name="cmdReport">
          <controlPr defaultSize="0" autoLine="0" altText="" r:id="rId49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7</xdr:col>
                <xdr:colOff>628650</xdr:colOff>
                <xdr:row>3</xdr:row>
                <xdr:rowOff>0</xdr:rowOff>
              </to>
            </anchor>
          </controlPr>
        </control>
      </mc:Choice>
      <mc:Fallback>
        <control shapeId="33816" r:id="rId48" name="cmdReport"/>
      </mc:Fallback>
    </mc:AlternateContent>
    <mc:AlternateContent xmlns:mc="http://schemas.openxmlformats.org/markup-compatibility/2006">
      <mc:Choice Requires="x14">
        <control shapeId="33817" r:id="rId50" name="txtTrackingNo">
          <controlPr defaultSize="0" autoLine="0" r:id="rId51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3086100</xdr:colOff>
                <xdr:row>6</xdr:row>
                <xdr:rowOff>19050</xdr:rowOff>
              </to>
            </anchor>
          </controlPr>
        </control>
      </mc:Choice>
      <mc:Fallback>
        <control shapeId="33817" r:id="rId50" name="txtTrackingNo"/>
      </mc:Fallback>
    </mc:AlternateContent>
    <mc:AlternateContent xmlns:mc="http://schemas.openxmlformats.org/markup-compatibility/2006">
      <mc:Choice Requires="x14">
        <control shapeId="33818" r:id="rId52" name="txtContact">
          <controlPr defaultSize="0" autoLine="0" r:id="rId53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2</xdr:col>
                <xdr:colOff>3067050</xdr:colOff>
                <xdr:row>8</xdr:row>
                <xdr:rowOff>9525</xdr:rowOff>
              </to>
            </anchor>
          </controlPr>
        </control>
      </mc:Choice>
      <mc:Fallback>
        <control shapeId="33818" r:id="rId52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D4"/>
  <sheetViews>
    <sheetView workbookViewId="0">
      <selection activeCell="G13" sqref="G13"/>
    </sheetView>
  </sheetViews>
  <sheetFormatPr defaultRowHeight="14.25" x14ac:dyDescent="0.45"/>
  <cols>
    <col min="1" max="1" width="12.1328125" bestFit="1" customWidth="1"/>
    <col min="2" max="2" width="8.86328125" bestFit="1" customWidth="1"/>
    <col min="3" max="3" width="7.86328125" bestFit="1" customWidth="1"/>
    <col min="4" max="4" width="17.3984375" bestFit="1" customWidth="1"/>
    <col min="5" max="5" width="11.86328125" bestFit="1" customWidth="1"/>
    <col min="6" max="6" width="8.59765625" bestFit="1" customWidth="1"/>
    <col min="7" max="10" width="9.59765625" bestFit="1" customWidth="1"/>
    <col min="11" max="11" width="13.1328125" bestFit="1" customWidth="1"/>
    <col min="12" max="12" width="11.73046875" bestFit="1" customWidth="1"/>
    <col min="13" max="13" width="11.86328125" bestFit="1" customWidth="1"/>
    <col min="14" max="14" width="11.59765625" bestFit="1" customWidth="1"/>
    <col min="15" max="23" width="4.265625" bestFit="1" customWidth="1"/>
    <col min="24" max="25" width="5.265625" bestFit="1" customWidth="1"/>
    <col min="26" max="34" width="3.86328125" bestFit="1" customWidth="1"/>
    <col min="35" max="36" width="4.86328125" bestFit="1" customWidth="1"/>
    <col min="37" max="37" width="12.1328125" bestFit="1" customWidth="1"/>
    <col min="38" max="38" width="9.86328125" bestFit="1" customWidth="1"/>
    <col min="39" max="39" width="17.3984375" bestFit="1" customWidth="1"/>
    <col min="40" max="40" width="24.1328125" bestFit="1" customWidth="1"/>
    <col min="41" max="41" width="11.1328125" bestFit="1" customWidth="1"/>
    <col min="42" max="42" width="25.3984375" bestFit="1" customWidth="1"/>
    <col min="43" max="43" width="15.86328125" bestFit="1" customWidth="1"/>
    <col min="44" max="44" width="12.1328125" bestFit="1" customWidth="1"/>
    <col min="45" max="45" width="8.3984375" bestFit="1" customWidth="1"/>
    <col min="46" max="46" width="7.59765625" bestFit="1" customWidth="1"/>
    <col min="47" max="47" width="12.3984375" bestFit="1" customWidth="1"/>
    <col min="48" max="48" width="11.3984375" bestFit="1" customWidth="1"/>
    <col min="49" max="49" width="17.59765625" bestFit="1" customWidth="1"/>
    <col min="50" max="50" width="16" bestFit="1" customWidth="1"/>
    <col min="51" max="51" width="10.3984375" bestFit="1" customWidth="1"/>
    <col min="52" max="52" width="10.59765625" bestFit="1" customWidth="1"/>
    <col min="53" max="53" width="13.73046875" bestFit="1" customWidth="1"/>
    <col min="54" max="54" width="17.59765625" bestFit="1" customWidth="1"/>
    <col min="55" max="55" width="13.59765625" bestFit="1" customWidth="1"/>
    <col min="56" max="56" width="12.1328125" bestFit="1" customWidth="1"/>
    <col min="57" max="57" width="8.1328125" bestFit="1" customWidth="1"/>
    <col min="58" max="58" width="6.86328125" bestFit="1" customWidth="1"/>
    <col min="59" max="59" width="5" bestFit="1" customWidth="1"/>
    <col min="60" max="60" width="9.86328125" bestFit="1" customWidth="1"/>
    <col min="61" max="61" width="5.86328125" bestFit="1" customWidth="1"/>
    <col min="62" max="62" width="18.59765625" bestFit="1" customWidth="1"/>
    <col min="63" max="64" width="17.59765625" bestFit="1" customWidth="1"/>
    <col min="65" max="65" width="8.59765625" bestFit="1" customWidth="1"/>
    <col min="66" max="66" width="12.1328125" bestFit="1" customWidth="1"/>
    <col min="67" max="67" width="5.86328125" bestFit="1" customWidth="1"/>
    <col min="68" max="68" width="6.86328125" bestFit="1" customWidth="1"/>
    <col min="69" max="69" width="5" bestFit="1" customWidth="1"/>
    <col min="70" max="70" width="8.59765625" bestFit="1" customWidth="1"/>
    <col min="71" max="71" width="10.59765625" bestFit="1" customWidth="1"/>
    <col min="72" max="73" width="12.1328125" bestFit="1" customWidth="1"/>
    <col min="74" max="74" width="14.265625" bestFit="1" customWidth="1"/>
    <col min="75" max="75" width="12.3984375" bestFit="1" customWidth="1"/>
    <col min="76" max="76" width="6.1328125" bestFit="1" customWidth="1"/>
    <col min="77" max="77" width="4.86328125" bestFit="1" customWidth="1"/>
    <col min="78" max="78" width="8.1328125" bestFit="1" customWidth="1"/>
    <col min="79" max="79" width="10.59765625" bestFit="1" customWidth="1"/>
    <col min="80" max="80" width="14.265625" bestFit="1" customWidth="1"/>
    <col min="81" max="81" width="12.3984375" bestFit="1" customWidth="1"/>
    <col min="82" max="82" width="12.1328125" bestFit="1" customWidth="1"/>
    <col min="83" max="83" width="6.1328125" bestFit="1" customWidth="1"/>
    <col min="84" max="84" width="4.59765625" bestFit="1" customWidth="1"/>
    <col min="85" max="85" width="6" bestFit="1" customWidth="1"/>
    <col min="86" max="86" width="10.59765625" bestFit="1" customWidth="1"/>
    <col min="87" max="87" width="14.59765625" bestFit="1" customWidth="1"/>
    <col min="88" max="88" width="17.3984375" bestFit="1" customWidth="1"/>
    <col min="89" max="89" width="13.1328125" bestFit="1" customWidth="1"/>
    <col min="90" max="90" width="12.3984375" bestFit="1" customWidth="1"/>
    <col min="91" max="91" width="12.1328125" bestFit="1" customWidth="1"/>
    <col min="92" max="92" width="10.265625" bestFit="1" customWidth="1"/>
    <col min="93" max="93" width="12.3984375" bestFit="1" customWidth="1"/>
    <col min="94" max="94" width="11" bestFit="1" customWidth="1"/>
    <col min="95" max="95" width="12.1328125" bestFit="1" customWidth="1"/>
    <col min="96" max="96" width="12.3984375" bestFit="1" customWidth="1"/>
    <col min="97" max="97" width="13.3984375" bestFit="1" customWidth="1"/>
    <col min="98" max="98" width="16.59765625" bestFit="1" customWidth="1"/>
    <col min="99" max="99" width="11.1328125" bestFit="1" customWidth="1"/>
    <col min="100" max="100" width="14.3984375" bestFit="1" customWidth="1"/>
    <col min="101" max="101" width="15.1328125" bestFit="1" customWidth="1"/>
    <col min="102" max="102" width="14.59765625" bestFit="1" customWidth="1"/>
    <col min="103" max="103" width="12.73046875" bestFit="1" customWidth="1"/>
    <col min="104" max="104" width="13.1328125" bestFit="1" customWidth="1"/>
    <col min="105" max="105" width="7.265625" bestFit="1" customWidth="1"/>
    <col min="106" max="106" width="7.1328125" bestFit="1" customWidth="1"/>
    <col min="107" max="107" width="14.3984375" bestFit="1" customWidth="1"/>
    <col min="108" max="108" width="16.1328125" bestFit="1" customWidth="1"/>
    <col min="109" max="109" width="13.1328125" bestFit="1" customWidth="1"/>
    <col min="110" max="110" width="21.265625" bestFit="1" customWidth="1"/>
    <col min="111" max="111" width="8.86328125" bestFit="1" customWidth="1"/>
  </cols>
  <sheetData>
    <row r="1" spans="1:108" x14ac:dyDescent="0.45">
      <c r="A1" t="s">
        <v>84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84</v>
      </c>
      <c r="AA1" t="s">
        <v>166</v>
      </c>
      <c r="AB1" t="s">
        <v>140</v>
      </c>
      <c r="AC1" t="s">
        <v>181</v>
      </c>
      <c r="AD1" t="s">
        <v>141</v>
      </c>
      <c r="AE1" t="s">
        <v>85</v>
      </c>
      <c r="AF1" t="s">
        <v>86</v>
      </c>
      <c r="AG1" t="s">
        <v>87</v>
      </c>
      <c r="AH1" t="s">
        <v>142</v>
      </c>
      <c r="AI1" t="s">
        <v>88</v>
      </c>
      <c r="AJ1" t="s">
        <v>89</v>
      </c>
      <c r="AK1" t="s">
        <v>90</v>
      </c>
      <c r="AL1" t="s">
        <v>143</v>
      </c>
      <c r="AM1" t="s">
        <v>267</v>
      </c>
      <c r="AN1" t="s">
        <v>268</v>
      </c>
      <c r="AO1" t="s">
        <v>149</v>
      </c>
      <c r="AP1" t="s">
        <v>249</v>
      </c>
      <c r="AQ1" t="s">
        <v>167</v>
      </c>
      <c r="AR1" t="s">
        <v>92</v>
      </c>
      <c r="AS1" t="s">
        <v>93</v>
      </c>
      <c r="AT1" t="s">
        <v>94</v>
      </c>
      <c r="AU1" t="s">
        <v>95</v>
      </c>
      <c r="AV1" t="s">
        <v>3</v>
      </c>
      <c r="AW1" t="s">
        <v>91</v>
      </c>
      <c r="AX1" t="s">
        <v>167</v>
      </c>
      <c r="AY1" t="s">
        <v>96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96</v>
      </c>
      <c r="BF1" t="s">
        <v>28</v>
      </c>
      <c r="BG1" t="s">
        <v>2</v>
      </c>
      <c r="BH1" t="s">
        <v>4</v>
      </c>
      <c r="BI1" t="s">
        <v>3</v>
      </c>
      <c r="BJ1" t="s">
        <v>250</v>
      </c>
      <c r="BK1" t="s">
        <v>98</v>
      </c>
      <c r="BL1" t="s">
        <v>14</v>
      </c>
      <c r="BM1" t="s">
        <v>10</v>
      </c>
      <c r="BN1" t="s">
        <v>11</v>
      </c>
      <c r="BO1" t="s">
        <v>269</v>
      </c>
      <c r="BP1" t="s">
        <v>270</v>
      </c>
      <c r="BQ1" t="s">
        <v>251</v>
      </c>
      <c r="BR1" t="s">
        <v>97</v>
      </c>
      <c r="BS1" t="s">
        <v>10</v>
      </c>
      <c r="BT1" t="s">
        <v>11</v>
      </c>
      <c r="BU1" t="s">
        <v>99</v>
      </c>
      <c r="BV1" t="s">
        <v>252</v>
      </c>
      <c r="BW1" t="s">
        <v>100</v>
      </c>
      <c r="BX1" t="s">
        <v>101</v>
      </c>
      <c r="BY1" t="s">
        <v>102</v>
      </c>
      <c r="BZ1" t="s">
        <v>97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253</v>
      </c>
      <c r="CG1" t="s">
        <v>184</v>
      </c>
      <c r="CH1" t="s">
        <v>254</v>
      </c>
      <c r="CI1" t="s">
        <v>255</v>
      </c>
      <c r="CJ1" t="s">
        <v>182</v>
      </c>
      <c r="CK1" t="s">
        <v>183</v>
      </c>
      <c r="CL1" t="s">
        <v>185</v>
      </c>
      <c r="CM1" t="s">
        <v>108</v>
      </c>
      <c r="CN1" t="s">
        <v>109</v>
      </c>
      <c r="CO1" t="s">
        <v>110</v>
      </c>
      <c r="CP1" t="s">
        <v>155</v>
      </c>
      <c r="CQ1" t="s">
        <v>156</v>
      </c>
      <c r="CR1" t="s">
        <v>157</v>
      </c>
      <c r="CS1" t="s">
        <v>158</v>
      </c>
      <c r="CT1" t="s">
        <v>111</v>
      </c>
      <c r="CU1" t="s">
        <v>112</v>
      </c>
      <c r="CV1" t="s">
        <v>113</v>
      </c>
      <c r="CW1" t="s">
        <v>256</v>
      </c>
      <c r="CX1" t="s">
        <v>271</v>
      </c>
      <c r="CY1" t="s">
        <v>272</v>
      </c>
      <c r="CZ1" t="s">
        <v>273</v>
      </c>
      <c r="DA1" t="s">
        <v>274</v>
      </c>
      <c r="DB1" t="s">
        <v>275</v>
      </c>
      <c r="DC1" t="s">
        <v>276</v>
      </c>
      <c r="DD1" t="s">
        <v>277</v>
      </c>
    </row>
    <row r="2" spans="1:108" x14ac:dyDescent="0.45">
      <c r="A2">
        <v>86</v>
      </c>
      <c r="B2">
        <v>0</v>
      </c>
      <c r="C2">
        <v>70</v>
      </c>
      <c r="D2">
        <v>1</v>
      </c>
      <c r="F2">
        <v>45</v>
      </c>
      <c r="G2">
        <v>10.5</v>
      </c>
      <c r="H2">
        <v>10.5</v>
      </c>
      <c r="I2">
        <v>10.5</v>
      </c>
      <c r="J2">
        <v>10.5</v>
      </c>
      <c r="K2">
        <v>10.5</v>
      </c>
      <c r="L2">
        <v>9.9999999999999995E-8</v>
      </c>
      <c r="M2">
        <v>9.9999999999999995E-8</v>
      </c>
      <c r="N2">
        <v>9.9999999999999995E-8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86</v>
      </c>
      <c r="AA2" t="s">
        <v>291</v>
      </c>
      <c r="AB2" t="s">
        <v>293</v>
      </c>
      <c r="AC2" t="s">
        <v>294</v>
      </c>
      <c r="AD2">
        <v>0</v>
      </c>
      <c r="AE2" t="b">
        <v>1</v>
      </c>
      <c r="AF2" t="b">
        <v>1</v>
      </c>
      <c r="AG2" t="b">
        <v>1</v>
      </c>
      <c r="AH2" t="s">
        <v>295</v>
      </c>
      <c r="AI2" t="b">
        <v>1</v>
      </c>
      <c r="AJ2" t="b">
        <v>1</v>
      </c>
      <c r="AK2" t="b">
        <v>1</v>
      </c>
      <c r="AL2" t="s">
        <v>296</v>
      </c>
      <c r="AM2">
        <v>5000</v>
      </c>
      <c r="AN2">
        <v>5</v>
      </c>
      <c r="AO2" s="36">
        <v>43716.717454861115</v>
      </c>
      <c r="AP2" t="s">
        <v>278</v>
      </c>
      <c r="AQ2" t="s">
        <v>279</v>
      </c>
      <c r="AR2" t="s">
        <v>280</v>
      </c>
      <c r="AT2" t="s">
        <v>281</v>
      </c>
      <c r="AU2" t="s">
        <v>282</v>
      </c>
      <c r="AV2" t="s">
        <v>257</v>
      </c>
      <c r="AW2" t="s">
        <v>278</v>
      </c>
      <c r="AX2" t="s">
        <v>279</v>
      </c>
      <c r="AY2" s="36" t="s">
        <v>280</v>
      </c>
      <c r="AZ2" s="36"/>
      <c r="BA2" t="s">
        <v>281</v>
      </c>
      <c r="BB2" t="s">
        <v>282</v>
      </c>
      <c r="BC2" t="s">
        <v>257</v>
      </c>
      <c r="BD2" t="s">
        <v>281</v>
      </c>
      <c r="BE2" t="s">
        <v>280</v>
      </c>
      <c r="BG2" t="s">
        <v>281</v>
      </c>
      <c r="BH2" t="s">
        <v>283</v>
      </c>
      <c r="BI2" t="s">
        <v>257</v>
      </c>
      <c r="BJ2" t="s">
        <v>286</v>
      </c>
      <c r="BL2" t="s">
        <v>297</v>
      </c>
      <c r="BM2" t="s">
        <v>287</v>
      </c>
      <c r="BN2">
        <v>2019</v>
      </c>
      <c r="BO2" t="s">
        <v>284</v>
      </c>
      <c r="BP2">
        <v>500</v>
      </c>
      <c r="BQ2" t="s">
        <v>297</v>
      </c>
      <c r="BS2" t="s">
        <v>288</v>
      </c>
      <c r="BT2">
        <v>2019</v>
      </c>
      <c r="BU2" t="s">
        <v>298</v>
      </c>
      <c r="BV2" t="s">
        <v>297</v>
      </c>
      <c r="BW2" t="s">
        <v>299</v>
      </c>
      <c r="BX2">
        <v>0</v>
      </c>
      <c r="BZ2" t="s">
        <v>289</v>
      </c>
      <c r="CB2">
        <v>14</v>
      </c>
      <c r="CC2">
        <v>12</v>
      </c>
      <c r="CD2">
        <v>14</v>
      </c>
      <c r="CE2">
        <v>11</v>
      </c>
      <c r="CF2" s="106" t="s">
        <v>300</v>
      </c>
      <c r="CG2" t="s">
        <v>301</v>
      </c>
      <c r="CH2" s="106" t="s">
        <v>302</v>
      </c>
      <c r="CI2" t="s">
        <v>303</v>
      </c>
      <c r="CJ2" s="106" t="s">
        <v>304</v>
      </c>
      <c r="CK2" t="s">
        <v>305</v>
      </c>
      <c r="CL2" t="s">
        <v>302</v>
      </c>
      <c r="CM2" s="106" t="b">
        <v>0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  <c r="CS2" t="s">
        <v>306</v>
      </c>
      <c r="CT2">
        <v>11</v>
      </c>
      <c r="CU2">
        <v>110000</v>
      </c>
      <c r="CV2">
        <v>60</v>
      </c>
      <c r="CW2" t="s">
        <v>292</v>
      </c>
      <c r="CX2" t="s">
        <v>285</v>
      </c>
      <c r="CY2" t="s">
        <v>262</v>
      </c>
      <c r="CZ2" t="s">
        <v>263</v>
      </c>
      <c r="DB2" t="s">
        <v>264</v>
      </c>
      <c r="DC2" t="s">
        <v>257</v>
      </c>
      <c r="DD2" t="s">
        <v>265</v>
      </c>
    </row>
    <row r="3" spans="1:108" x14ac:dyDescent="0.45">
      <c r="A3">
        <v>86</v>
      </c>
      <c r="B3">
        <v>1</v>
      </c>
      <c r="C3">
        <v>70</v>
      </c>
      <c r="D3">
        <v>1</v>
      </c>
      <c r="F3">
        <v>44</v>
      </c>
      <c r="G3">
        <v>11</v>
      </c>
      <c r="H3">
        <v>11</v>
      </c>
      <c r="I3">
        <v>11</v>
      </c>
      <c r="J3">
        <v>11</v>
      </c>
      <c r="K3">
        <v>11</v>
      </c>
      <c r="L3">
        <v>9.9999999999999995E-8</v>
      </c>
      <c r="M3">
        <v>9.9999999999999995E-8</v>
      </c>
      <c r="N3">
        <v>9.9999999999999995E-8</v>
      </c>
      <c r="O3">
        <v>2.9999999329447746E-2</v>
      </c>
      <c r="P3">
        <v>3.0999999493360519E-2</v>
      </c>
      <c r="Q3">
        <v>3.2000001519918442E-2</v>
      </c>
      <c r="R3">
        <v>3.2999999821186066E-2</v>
      </c>
      <c r="S3">
        <v>3.4000001847743988E-2</v>
      </c>
      <c r="T3">
        <v>3.5000000149011612E-2</v>
      </c>
      <c r="U3">
        <v>3.5999998450279236E-2</v>
      </c>
      <c r="V3">
        <v>3.7000000476837158E-2</v>
      </c>
      <c r="W3">
        <v>3.7999998778104782E-2</v>
      </c>
      <c r="X3">
        <v>3.9000000804662704E-2</v>
      </c>
      <c r="Y3">
        <v>3.9999999105930328E-2</v>
      </c>
      <c r="Z3">
        <v>86</v>
      </c>
      <c r="AA3" t="s">
        <v>291</v>
      </c>
      <c r="AB3" t="s">
        <v>293</v>
      </c>
      <c r="AC3" t="s">
        <v>294</v>
      </c>
      <c r="AD3">
        <v>0</v>
      </c>
      <c r="AE3" t="b">
        <v>1</v>
      </c>
      <c r="AF3" t="b">
        <v>1</v>
      </c>
      <c r="AG3" t="b">
        <v>1</v>
      </c>
      <c r="AH3" t="s">
        <v>295</v>
      </c>
      <c r="AI3" t="b">
        <v>1</v>
      </c>
      <c r="AJ3" t="b">
        <v>1</v>
      </c>
      <c r="AK3" t="b">
        <v>1</v>
      </c>
      <c r="AL3" t="s">
        <v>296</v>
      </c>
      <c r="AM3">
        <v>5000</v>
      </c>
      <c r="AN3">
        <v>5</v>
      </c>
      <c r="AO3" s="36">
        <v>43716.717454861115</v>
      </c>
      <c r="AP3" t="s">
        <v>278</v>
      </c>
      <c r="AQ3" t="s">
        <v>279</v>
      </c>
      <c r="AR3" t="s">
        <v>280</v>
      </c>
      <c r="AT3" t="s">
        <v>281</v>
      </c>
      <c r="AU3" t="s">
        <v>282</v>
      </c>
      <c r="AV3" t="s">
        <v>257</v>
      </c>
      <c r="AW3" t="s">
        <v>278</v>
      </c>
      <c r="AX3" t="s">
        <v>279</v>
      </c>
      <c r="AY3" s="36" t="s">
        <v>280</v>
      </c>
      <c r="AZ3" s="36"/>
      <c r="BA3" t="s">
        <v>281</v>
      </c>
      <c r="BB3" t="s">
        <v>282</v>
      </c>
      <c r="BC3" t="s">
        <v>257</v>
      </c>
      <c r="BD3" t="s">
        <v>281</v>
      </c>
      <c r="BE3" t="s">
        <v>280</v>
      </c>
      <c r="BG3" t="s">
        <v>281</v>
      </c>
      <c r="BH3" t="s">
        <v>283</v>
      </c>
      <c r="BI3" t="s">
        <v>257</v>
      </c>
      <c r="BJ3" t="s">
        <v>286</v>
      </c>
      <c r="BL3" t="s">
        <v>297</v>
      </c>
      <c r="BM3" t="s">
        <v>287</v>
      </c>
      <c r="BN3">
        <v>2019</v>
      </c>
      <c r="BO3" t="s">
        <v>284</v>
      </c>
      <c r="BP3">
        <v>500</v>
      </c>
      <c r="BQ3" t="s">
        <v>297</v>
      </c>
      <c r="BS3" t="s">
        <v>288</v>
      </c>
      <c r="BT3">
        <v>2019</v>
      </c>
      <c r="BU3" t="s">
        <v>298</v>
      </c>
      <c r="BV3" t="s">
        <v>297</v>
      </c>
      <c r="BW3" t="s">
        <v>299</v>
      </c>
      <c r="BX3">
        <v>0</v>
      </c>
      <c r="BZ3" t="s">
        <v>289</v>
      </c>
      <c r="CB3">
        <v>14</v>
      </c>
      <c r="CC3">
        <v>12</v>
      </c>
      <c r="CD3">
        <v>14</v>
      </c>
      <c r="CE3">
        <v>11</v>
      </c>
      <c r="CF3" s="106" t="s">
        <v>300</v>
      </c>
      <c r="CG3" t="s">
        <v>301</v>
      </c>
      <c r="CH3" s="106" t="s">
        <v>302</v>
      </c>
      <c r="CI3" t="s">
        <v>303</v>
      </c>
      <c r="CJ3" s="106" t="s">
        <v>304</v>
      </c>
      <c r="CK3" t="s">
        <v>305</v>
      </c>
      <c r="CL3" t="s">
        <v>302</v>
      </c>
      <c r="CM3" s="106" t="b">
        <v>0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  <c r="CS3" t="s">
        <v>306</v>
      </c>
      <c r="CT3">
        <v>11</v>
      </c>
      <c r="CU3">
        <v>110000</v>
      </c>
      <c r="CV3">
        <v>60</v>
      </c>
      <c r="CW3" t="s">
        <v>292</v>
      </c>
      <c r="CX3" t="s">
        <v>285</v>
      </c>
      <c r="CY3" t="s">
        <v>262</v>
      </c>
      <c r="CZ3" t="s">
        <v>263</v>
      </c>
      <c r="DB3" t="s">
        <v>264</v>
      </c>
      <c r="DC3" t="s">
        <v>257</v>
      </c>
      <c r="DD3" t="s">
        <v>265</v>
      </c>
    </row>
    <row r="4" spans="1:108" x14ac:dyDescent="0.45">
      <c r="A4">
        <v>86</v>
      </c>
      <c r="B4">
        <v>2</v>
      </c>
      <c r="F4">
        <v>43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86</v>
      </c>
      <c r="AA4" t="s">
        <v>291</v>
      </c>
      <c r="AB4" t="s">
        <v>293</v>
      </c>
      <c r="AC4" t="s">
        <v>294</v>
      </c>
      <c r="AD4">
        <v>0</v>
      </c>
      <c r="AE4" t="b">
        <v>1</v>
      </c>
      <c r="AF4" t="b">
        <v>1</v>
      </c>
      <c r="AG4" t="b">
        <v>1</v>
      </c>
      <c r="AH4" t="s">
        <v>295</v>
      </c>
      <c r="AI4" t="b">
        <v>1</v>
      </c>
      <c r="AJ4" t="b">
        <v>1</v>
      </c>
      <c r="AK4" t="b">
        <v>1</v>
      </c>
      <c r="AL4" t="s">
        <v>296</v>
      </c>
      <c r="AM4">
        <v>5000</v>
      </c>
      <c r="AN4">
        <v>5</v>
      </c>
      <c r="AO4" s="36">
        <v>43716.717454861115</v>
      </c>
      <c r="AP4" t="s">
        <v>278</v>
      </c>
      <c r="AQ4" t="s">
        <v>279</v>
      </c>
      <c r="AR4" t="s">
        <v>280</v>
      </c>
      <c r="AT4" t="s">
        <v>281</v>
      </c>
      <c r="AU4" t="s">
        <v>282</v>
      </c>
      <c r="AV4" t="s">
        <v>257</v>
      </c>
      <c r="AW4" t="s">
        <v>278</v>
      </c>
      <c r="AX4" t="s">
        <v>279</v>
      </c>
      <c r="AY4" s="36" t="s">
        <v>280</v>
      </c>
      <c r="AZ4" s="36"/>
      <c r="BA4" t="s">
        <v>281</v>
      </c>
      <c r="BB4" t="s">
        <v>282</v>
      </c>
      <c r="BC4" t="s">
        <v>257</v>
      </c>
      <c r="BD4" t="s">
        <v>281</v>
      </c>
      <c r="BE4" t="s">
        <v>280</v>
      </c>
      <c r="BG4" t="s">
        <v>281</v>
      </c>
      <c r="BH4" t="s">
        <v>283</v>
      </c>
      <c r="BI4" t="s">
        <v>257</v>
      </c>
      <c r="BJ4" t="s">
        <v>286</v>
      </c>
      <c r="BL4" t="s">
        <v>297</v>
      </c>
      <c r="BM4" t="s">
        <v>287</v>
      </c>
      <c r="BN4">
        <v>2019</v>
      </c>
      <c r="BO4" t="s">
        <v>284</v>
      </c>
      <c r="BP4">
        <v>500</v>
      </c>
      <c r="BQ4" t="s">
        <v>297</v>
      </c>
      <c r="BS4" t="s">
        <v>288</v>
      </c>
      <c r="BT4">
        <v>2019</v>
      </c>
      <c r="BU4" t="s">
        <v>298</v>
      </c>
      <c r="BV4" t="s">
        <v>297</v>
      </c>
      <c r="BW4" t="s">
        <v>299</v>
      </c>
      <c r="BX4">
        <v>0</v>
      </c>
      <c r="BZ4" t="s">
        <v>289</v>
      </c>
      <c r="CB4">
        <v>14</v>
      </c>
      <c r="CC4">
        <v>12</v>
      </c>
      <c r="CD4">
        <v>14</v>
      </c>
      <c r="CE4">
        <v>11</v>
      </c>
      <c r="CF4" s="106" t="s">
        <v>300</v>
      </c>
      <c r="CG4" t="s">
        <v>301</v>
      </c>
      <c r="CH4" s="106" t="s">
        <v>302</v>
      </c>
      <c r="CI4" t="s">
        <v>303</v>
      </c>
      <c r="CJ4" s="106" t="s">
        <v>304</v>
      </c>
      <c r="CK4" t="s">
        <v>305</v>
      </c>
      <c r="CL4" t="s">
        <v>302</v>
      </c>
      <c r="CM4" s="106" t="b">
        <v>0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  <c r="CS4" t="s">
        <v>306</v>
      </c>
      <c r="CT4">
        <v>11</v>
      </c>
      <c r="CU4">
        <v>110000</v>
      </c>
      <c r="CV4">
        <v>60</v>
      </c>
      <c r="CW4" t="s">
        <v>292</v>
      </c>
      <c r="CX4" t="s">
        <v>285</v>
      </c>
      <c r="CY4" t="s">
        <v>262</v>
      </c>
      <c r="CZ4" t="s">
        <v>263</v>
      </c>
      <c r="DB4" t="s">
        <v>264</v>
      </c>
      <c r="DC4" t="s">
        <v>257</v>
      </c>
      <c r="DD4" t="s">
        <v>265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H41"/>
  <sheetViews>
    <sheetView showGridLines="0" topLeftCell="A2" workbookViewId="0">
      <selection activeCell="C18" sqref="C18"/>
    </sheetView>
  </sheetViews>
  <sheetFormatPr defaultRowHeight="14.25" x14ac:dyDescent="0.45"/>
  <cols>
    <col min="2" max="2" width="14.1328125" style="19" hidden="1" customWidth="1"/>
    <col min="3" max="3" width="16" style="108" customWidth="1"/>
    <col min="4" max="4" width="13.59765625" style="19" customWidth="1"/>
    <col min="5" max="5" width="20.3984375" style="2" customWidth="1"/>
    <col min="6" max="6" width="16.59765625" style="1" customWidth="1"/>
    <col min="7" max="7" width="47.59765625" customWidth="1"/>
  </cols>
  <sheetData>
    <row r="5" spans="2:8" ht="18" x14ac:dyDescent="0.55000000000000004">
      <c r="C5" s="19"/>
      <c r="E5" s="19"/>
      <c r="F5" s="111"/>
    </row>
    <row r="6" spans="2:8" x14ac:dyDescent="0.45">
      <c r="C6" s="19"/>
      <c r="E6" s="19"/>
    </row>
    <row r="7" spans="2:8" x14ac:dyDescent="0.45">
      <c r="C7" s="19"/>
      <c r="E7" s="19"/>
    </row>
    <row r="8" spans="2:8" x14ac:dyDescent="0.45">
      <c r="C8" s="19"/>
      <c r="E8" s="19"/>
    </row>
    <row r="12" spans="2:8" s="25" customFormat="1" x14ac:dyDescent="0.45">
      <c r="B12" s="109" t="s">
        <v>196</v>
      </c>
      <c r="C12" s="25" t="s">
        <v>191</v>
      </c>
      <c r="D12" s="109" t="s">
        <v>190</v>
      </c>
      <c r="E12" s="110" t="s">
        <v>192</v>
      </c>
      <c r="F12" s="112" t="s">
        <v>193</v>
      </c>
      <c r="G12" s="25" t="s">
        <v>194</v>
      </c>
      <c r="H12" s="25" t="s">
        <v>195</v>
      </c>
    </row>
    <row r="13" spans="2:8" x14ac:dyDescent="0.45">
      <c r="B13" s="19">
        <v>9</v>
      </c>
      <c r="C13" s="108" t="s">
        <v>198</v>
      </c>
      <c r="D13" s="19">
        <v>22</v>
      </c>
      <c r="F13" s="2">
        <v>43554.784374768518</v>
      </c>
      <c r="G13" t="s">
        <v>162</v>
      </c>
      <c r="H13" t="s">
        <v>162</v>
      </c>
    </row>
    <row r="14" spans="2:8" x14ac:dyDescent="0.45">
      <c r="B14" s="19">
        <v>8</v>
      </c>
      <c r="C14" s="108" t="s">
        <v>199</v>
      </c>
      <c r="D14" s="19">
        <v>21</v>
      </c>
      <c r="F14" s="2">
        <v>43554.782228321761</v>
      </c>
      <c r="G14" t="s">
        <v>162</v>
      </c>
      <c r="H14" t="s">
        <v>162</v>
      </c>
    </row>
    <row r="15" spans="2:8" x14ac:dyDescent="0.45">
      <c r="B15" s="19">
        <v>7</v>
      </c>
      <c r="C15" s="108" t="s">
        <v>200</v>
      </c>
      <c r="D15" s="19">
        <v>20</v>
      </c>
      <c r="F15" s="2">
        <v>43554.782133298613</v>
      </c>
      <c r="G15" t="s">
        <v>162</v>
      </c>
      <c r="H15" t="s">
        <v>162</v>
      </c>
    </row>
    <row r="16" spans="2:8" x14ac:dyDescent="0.45">
      <c r="B16" s="19">
        <v>6</v>
      </c>
      <c r="C16" s="108" t="s">
        <v>201</v>
      </c>
      <c r="D16" s="19">
        <v>19</v>
      </c>
      <c r="F16" s="2">
        <v>43554.781524189813</v>
      </c>
      <c r="G16" t="s">
        <v>162</v>
      </c>
      <c r="H16" t="s">
        <v>162</v>
      </c>
    </row>
    <row r="17" spans="2:8" x14ac:dyDescent="0.45">
      <c r="B17" s="19">
        <v>35</v>
      </c>
      <c r="C17" s="108" t="s">
        <v>202</v>
      </c>
      <c r="D17" s="19">
        <v>41</v>
      </c>
      <c r="F17" s="2">
        <v>43607.795680439813</v>
      </c>
      <c r="G17" t="s">
        <v>203</v>
      </c>
      <c r="H17" t="s">
        <v>204</v>
      </c>
    </row>
    <row r="18" spans="2:8" ht="15.95" customHeight="1" x14ac:dyDescent="0.45">
      <c r="B18" s="19">
        <v>35</v>
      </c>
      <c r="C18" s="108" t="s">
        <v>202</v>
      </c>
      <c r="D18" s="19">
        <v>42</v>
      </c>
      <c r="F18" s="2">
        <v>43607.808764930553</v>
      </c>
      <c r="G18" t="s">
        <v>203</v>
      </c>
      <c r="H18" t="s">
        <v>204</v>
      </c>
    </row>
    <row r="19" spans="2:8" x14ac:dyDescent="0.45">
      <c r="B19" s="19">
        <v>13</v>
      </c>
      <c r="C19" s="108" t="s">
        <v>205</v>
      </c>
      <c r="D19" s="19">
        <v>26</v>
      </c>
      <c r="F19" s="2">
        <v>43555.732841979167</v>
      </c>
      <c r="G19" t="s">
        <v>162</v>
      </c>
      <c r="H19" t="s">
        <v>162</v>
      </c>
    </row>
    <row r="20" spans="2:8" x14ac:dyDescent="0.45">
      <c r="B20" s="19">
        <v>12</v>
      </c>
      <c r="C20" s="108" t="s">
        <v>206</v>
      </c>
      <c r="D20" s="19">
        <v>25</v>
      </c>
      <c r="F20" s="2">
        <v>43555.731991932873</v>
      </c>
      <c r="G20" t="s">
        <v>162</v>
      </c>
      <c r="H20" t="s">
        <v>162</v>
      </c>
    </row>
    <row r="21" spans="2:8" x14ac:dyDescent="0.45">
      <c r="B21" s="19">
        <v>11</v>
      </c>
      <c r="C21" s="108" t="s">
        <v>207</v>
      </c>
      <c r="D21" s="19">
        <v>24</v>
      </c>
      <c r="F21" s="2">
        <v>43555.721536655095</v>
      </c>
      <c r="G21" t="s">
        <v>162</v>
      </c>
      <c r="H21" t="s">
        <v>162</v>
      </c>
    </row>
    <row r="22" spans="2:8" x14ac:dyDescent="0.45">
      <c r="B22" s="19">
        <v>10</v>
      </c>
      <c r="C22" s="108" t="s">
        <v>208</v>
      </c>
      <c r="D22" s="19">
        <v>23</v>
      </c>
      <c r="F22" s="2">
        <v>43554.786333530094</v>
      </c>
      <c r="G22" t="s">
        <v>162</v>
      </c>
      <c r="H22" t="s">
        <v>162</v>
      </c>
    </row>
    <row r="23" spans="2:8" x14ac:dyDescent="0.45">
      <c r="B23" s="19">
        <v>39</v>
      </c>
      <c r="C23" s="108" t="s">
        <v>186</v>
      </c>
      <c r="D23" s="19">
        <v>47</v>
      </c>
      <c r="E23" s="2" t="s">
        <v>187</v>
      </c>
      <c r="F23" s="2">
        <v>43608.71115127315</v>
      </c>
      <c r="G23" t="s">
        <v>162</v>
      </c>
      <c r="H23" t="s">
        <v>162</v>
      </c>
    </row>
    <row r="24" spans="2:8" x14ac:dyDescent="0.45">
      <c r="B24" s="19">
        <v>39</v>
      </c>
      <c r="C24" s="108" t="s">
        <v>186</v>
      </c>
      <c r="D24" s="19">
        <v>52</v>
      </c>
      <c r="E24" s="2" t="s">
        <v>187</v>
      </c>
      <c r="F24" s="2">
        <v>43641.855874421293</v>
      </c>
      <c r="G24" t="s">
        <v>162</v>
      </c>
      <c r="H24" t="s">
        <v>162</v>
      </c>
    </row>
    <row r="25" spans="2:8" x14ac:dyDescent="0.45">
      <c r="B25" s="19">
        <v>37</v>
      </c>
      <c r="C25" s="108" t="s">
        <v>209</v>
      </c>
      <c r="D25" s="19">
        <v>53</v>
      </c>
      <c r="F25" s="2">
        <v>43641.856067395835</v>
      </c>
      <c r="G25" t="s">
        <v>162</v>
      </c>
      <c r="H25" t="s">
        <v>162</v>
      </c>
    </row>
    <row r="26" spans="2:8" x14ac:dyDescent="0.45">
      <c r="B26" s="19">
        <v>37</v>
      </c>
      <c r="C26" s="108" t="s">
        <v>209</v>
      </c>
      <c r="D26" s="19">
        <v>44</v>
      </c>
      <c r="F26" s="2">
        <v>43608.687795104168</v>
      </c>
      <c r="G26" t="s">
        <v>162</v>
      </c>
      <c r="H26" t="s">
        <v>162</v>
      </c>
    </row>
    <row r="27" spans="2:8" x14ac:dyDescent="0.45">
      <c r="B27" s="19">
        <v>36</v>
      </c>
      <c r="C27" s="108" t="s">
        <v>210</v>
      </c>
      <c r="D27" s="19">
        <v>43</v>
      </c>
      <c r="F27" s="2">
        <v>43608.681211226853</v>
      </c>
      <c r="G27" t="s">
        <v>162</v>
      </c>
      <c r="H27" t="s">
        <v>162</v>
      </c>
    </row>
    <row r="28" spans="2:8" x14ac:dyDescent="0.45">
      <c r="B28" s="19">
        <v>34</v>
      </c>
      <c r="C28" s="108" t="s">
        <v>211</v>
      </c>
      <c r="D28" s="19">
        <v>40</v>
      </c>
      <c r="F28" s="2">
        <v>43607.790823958334</v>
      </c>
      <c r="G28" t="s">
        <v>212</v>
      </c>
      <c r="H28" t="s">
        <v>162</v>
      </c>
    </row>
    <row r="29" spans="2:8" x14ac:dyDescent="0.45">
      <c r="B29" s="19">
        <v>33</v>
      </c>
      <c r="C29" s="108" t="s">
        <v>213</v>
      </c>
      <c r="D29" s="19">
        <v>39</v>
      </c>
      <c r="F29" s="2">
        <v>43607.79031369213</v>
      </c>
      <c r="G29" t="s">
        <v>214</v>
      </c>
      <c r="H29" t="s">
        <v>162</v>
      </c>
    </row>
    <row r="30" spans="2:8" x14ac:dyDescent="0.45">
      <c r="B30" s="19">
        <v>32</v>
      </c>
      <c r="C30" s="108" t="s">
        <v>215</v>
      </c>
      <c r="D30" s="19">
        <v>36</v>
      </c>
      <c r="F30" s="2">
        <v>43597.715333796295</v>
      </c>
      <c r="G30" t="s">
        <v>162</v>
      </c>
      <c r="H30" t="s">
        <v>162</v>
      </c>
    </row>
    <row r="31" spans="2:8" x14ac:dyDescent="0.45">
      <c r="B31" s="19">
        <v>32</v>
      </c>
      <c r="C31" s="108" t="s">
        <v>215</v>
      </c>
      <c r="D31" s="19">
        <v>37</v>
      </c>
      <c r="F31" s="2">
        <v>43597.720580127316</v>
      </c>
      <c r="G31" t="s">
        <v>162</v>
      </c>
      <c r="H31" t="s">
        <v>162</v>
      </c>
    </row>
    <row r="32" spans="2:8" x14ac:dyDescent="0.45">
      <c r="B32" s="19">
        <v>31</v>
      </c>
      <c r="C32" s="108" t="s">
        <v>216</v>
      </c>
      <c r="D32" s="19">
        <v>38</v>
      </c>
      <c r="F32" s="2">
        <v>43604.774235613426</v>
      </c>
      <c r="G32" t="s">
        <v>162</v>
      </c>
      <c r="H32" t="s">
        <v>162</v>
      </c>
    </row>
    <row r="33" spans="2:8" x14ac:dyDescent="0.45">
      <c r="B33" s="19">
        <v>31</v>
      </c>
      <c r="C33" s="108" t="s">
        <v>216</v>
      </c>
      <c r="D33" s="19">
        <v>34</v>
      </c>
      <c r="F33" s="2">
        <v>43590.760459606485</v>
      </c>
      <c r="G33" t="s">
        <v>162</v>
      </c>
      <c r="H33" t="s">
        <v>162</v>
      </c>
    </row>
    <row r="34" spans="2:8" x14ac:dyDescent="0.45">
      <c r="B34" s="19">
        <v>31</v>
      </c>
      <c r="C34" s="108" t="s">
        <v>216</v>
      </c>
      <c r="D34" s="19">
        <v>35</v>
      </c>
      <c r="F34" s="2">
        <v>43590.825798067126</v>
      </c>
      <c r="G34" t="s">
        <v>162</v>
      </c>
      <c r="H34" t="s">
        <v>162</v>
      </c>
    </row>
    <row r="35" spans="2:8" x14ac:dyDescent="0.45">
      <c r="B35" s="19">
        <v>30</v>
      </c>
      <c r="C35" s="108" t="s">
        <v>217</v>
      </c>
      <c r="D35" s="19">
        <v>33</v>
      </c>
      <c r="F35" s="2">
        <v>43590.760064780094</v>
      </c>
      <c r="G35" t="s">
        <v>162</v>
      </c>
      <c r="H35" t="s">
        <v>162</v>
      </c>
    </row>
    <row r="36" spans="2:8" x14ac:dyDescent="0.45">
      <c r="B36" s="19">
        <v>16</v>
      </c>
      <c r="C36" s="108" t="s">
        <v>218</v>
      </c>
      <c r="D36" s="19">
        <v>31</v>
      </c>
      <c r="F36" s="2">
        <v>43562.717906944446</v>
      </c>
      <c r="G36" t="s">
        <v>162</v>
      </c>
      <c r="H36" t="s">
        <v>162</v>
      </c>
    </row>
    <row r="37" spans="2:8" x14ac:dyDescent="0.45">
      <c r="B37" s="19">
        <v>16</v>
      </c>
      <c r="C37" s="108" t="s">
        <v>218</v>
      </c>
      <c r="D37" s="19">
        <v>32</v>
      </c>
      <c r="F37" s="2">
        <v>43569.762119016203</v>
      </c>
      <c r="G37" t="s">
        <v>162</v>
      </c>
      <c r="H37" t="s">
        <v>162</v>
      </c>
    </row>
    <row r="38" spans="2:8" x14ac:dyDescent="0.45">
      <c r="B38" s="19">
        <v>15</v>
      </c>
      <c r="C38" s="108" t="s">
        <v>219</v>
      </c>
      <c r="D38" s="19">
        <v>30</v>
      </c>
      <c r="F38" s="2">
        <v>43555.750073877316</v>
      </c>
      <c r="G38" t="s">
        <v>162</v>
      </c>
      <c r="H38" t="s">
        <v>162</v>
      </c>
    </row>
    <row r="39" spans="2:8" x14ac:dyDescent="0.45">
      <c r="B39" s="19">
        <v>14</v>
      </c>
      <c r="C39" s="108" t="s">
        <v>220</v>
      </c>
      <c r="D39" s="19">
        <v>27</v>
      </c>
      <c r="F39" s="2">
        <v>43555.736252858798</v>
      </c>
      <c r="G39" t="s">
        <v>162</v>
      </c>
      <c r="H39" t="s">
        <v>162</v>
      </c>
    </row>
    <row r="40" spans="2:8" x14ac:dyDescent="0.45">
      <c r="B40" s="19">
        <v>14</v>
      </c>
      <c r="C40" s="108" t="s">
        <v>220</v>
      </c>
      <c r="D40" s="19">
        <v>28</v>
      </c>
      <c r="F40" s="2">
        <v>43555.738319942131</v>
      </c>
      <c r="G40" t="s">
        <v>162</v>
      </c>
      <c r="H40" t="s">
        <v>162</v>
      </c>
    </row>
    <row r="41" spans="2:8" x14ac:dyDescent="0.45">
      <c r="B41" s="19">
        <v>14</v>
      </c>
      <c r="C41" s="108" t="s">
        <v>220</v>
      </c>
      <c r="D41" s="19">
        <v>29</v>
      </c>
      <c r="F41" s="2">
        <v>43555.73908240741</v>
      </c>
      <c r="G41" t="s">
        <v>162</v>
      </c>
      <c r="H41" t="s">
        <v>162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5</xdr:col>
                <xdr:colOff>1143000</xdr:colOff>
                <xdr:row>3</xdr:row>
                <xdr:rowOff>152400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5</xdr:col>
                <xdr:colOff>1162050</xdr:colOff>
                <xdr:row>7</xdr:row>
                <xdr:rowOff>123825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771525</xdr:colOff>
                <xdr:row>3</xdr:row>
                <xdr:rowOff>142875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activeCell="A24" sqref="A1:XFD1048576"/>
    </sheetView>
  </sheetViews>
  <sheetFormatPr defaultRowHeight="14.25" x14ac:dyDescent="0.45"/>
  <cols>
    <col min="2" max="2" width="46.86328125" bestFit="1" customWidth="1"/>
    <col min="3" max="3" width="24.59765625" bestFit="1" customWidth="1"/>
    <col min="4" max="4" width="10.59765625" bestFit="1" customWidth="1"/>
    <col min="5" max="5" width="11.1328125" bestFit="1" customWidth="1"/>
  </cols>
  <sheetData>
    <row r="3" spans="2:3" x14ac:dyDescent="0.45">
      <c r="B3" s="5" t="s">
        <v>0</v>
      </c>
    </row>
    <row r="5" spans="2:3" x14ac:dyDescent="0.45">
      <c r="B5" s="5" t="s">
        <v>148</v>
      </c>
      <c r="C5" s="1"/>
    </row>
    <row r="6" spans="2:3" x14ac:dyDescent="0.45">
      <c r="B6" s="1"/>
      <c r="C6" s="2"/>
    </row>
    <row r="7" spans="2:3" x14ac:dyDescent="0.45">
      <c r="B7" s="5" t="s">
        <v>154</v>
      </c>
    </row>
    <row r="8" spans="2:3" x14ac:dyDescent="0.45">
      <c r="B8" s="5"/>
      <c r="C8" s="1"/>
    </row>
    <row r="9" spans="2:3" x14ac:dyDescent="0.45">
      <c r="B9" s="3"/>
      <c r="C9" s="1"/>
    </row>
    <row r="10" spans="2:3" x14ac:dyDescent="0.45">
      <c r="B10" s="5"/>
      <c r="C10" s="6"/>
    </row>
    <row r="11" spans="2:3" x14ac:dyDescent="0.45">
      <c r="C11" s="1"/>
    </row>
    <row r="12" spans="2:3" x14ac:dyDescent="0.45">
      <c r="B12" s="5"/>
      <c r="C12" s="1"/>
    </row>
    <row r="13" spans="2:3" x14ac:dyDescent="0.45">
      <c r="B13" s="5"/>
      <c r="C13" s="1"/>
    </row>
    <row r="14" spans="2:3" x14ac:dyDescent="0.45">
      <c r="B14" s="5"/>
      <c r="C14" s="1"/>
    </row>
    <row r="15" spans="2:3" x14ac:dyDescent="0.45">
      <c r="B15" s="5"/>
      <c r="C15" s="1"/>
    </row>
    <row r="16" spans="2:3" x14ac:dyDescent="0.45">
      <c r="B16" s="5"/>
      <c r="C16" s="1"/>
    </row>
    <row r="17" spans="2:8" x14ac:dyDescent="0.45">
      <c r="B17" s="5"/>
      <c r="C17" s="1"/>
    </row>
    <row r="18" spans="2:8" ht="15.95" customHeight="1" x14ac:dyDescent="0.45">
      <c r="B18" s="5"/>
      <c r="C18" s="1"/>
    </row>
    <row r="20" spans="2:8" x14ac:dyDescent="0.45">
      <c r="D20" s="19"/>
      <c r="E20" s="19"/>
    </row>
    <row r="21" spans="2:8" x14ac:dyDescent="0.45">
      <c r="D21" s="19"/>
      <c r="E21" s="19"/>
    </row>
    <row r="22" spans="2:8" x14ac:dyDescent="0.45">
      <c r="B22" s="10"/>
      <c r="D22" s="19"/>
      <c r="E22" s="19"/>
    </row>
    <row r="23" spans="2:8" x14ac:dyDescent="0.45">
      <c r="D23" s="19"/>
      <c r="E23" s="19"/>
    </row>
    <row r="24" spans="2:8" x14ac:dyDescent="0.45">
      <c r="D24" s="19"/>
      <c r="E24" s="19"/>
    </row>
    <row r="25" spans="2:8" x14ac:dyDescent="0.45">
      <c r="C25" s="21"/>
      <c r="D25" s="19"/>
      <c r="E25" s="19"/>
    </row>
    <row r="26" spans="2:8" x14ac:dyDescent="0.45">
      <c r="D26" s="19"/>
      <c r="E26" s="19"/>
    </row>
    <row r="28" spans="2:8" x14ac:dyDescent="0.45">
      <c r="C28" s="22"/>
      <c r="G28" s="19"/>
    </row>
    <row r="29" spans="2:8" x14ac:dyDescent="0.45">
      <c r="C29" s="22"/>
      <c r="G29" s="19"/>
    </row>
    <row r="30" spans="2:8" x14ac:dyDescent="0.45">
      <c r="C30" s="22"/>
      <c r="D30" s="1"/>
      <c r="H30" s="19"/>
    </row>
    <row r="31" spans="2:8" x14ac:dyDescent="0.45">
      <c r="C31" s="22"/>
      <c r="D31" s="1"/>
      <c r="H31" s="19"/>
    </row>
    <row r="32" spans="2:8" x14ac:dyDescent="0.45">
      <c r="C32" s="22"/>
      <c r="G32" s="19"/>
    </row>
    <row r="33" spans="2:9" x14ac:dyDescent="0.45">
      <c r="C33" s="22"/>
      <c r="G33" s="19"/>
    </row>
    <row r="34" spans="2:9" x14ac:dyDescent="0.45">
      <c r="C34" s="22"/>
      <c r="G34" s="19"/>
    </row>
    <row r="35" spans="2:9" x14ac:dyDescent="0.4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433388</xdr:colOff>
                <xdr:row>3</xdr:row>
                <xdr:rowOff>76200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471488</xdr:colOff>
                <xdr:row>5</xdr:row>
                <xdr:rowOff>133350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H29" sqref="H29"/>
    </sheetView>
  </sheetViews>
  <sheetFormatPr defaultRowHeight="18" customHeight="1" x14ac:dyDescent="0.45"/>
  <cols>
    <col min="1" max="1" width="34.265625" style="123" customWidth="1"/>
    <col min="2" max="2" width="20" customWidth="1"/>
    <col min="3" max="4" width="15.3984375" bestFit="1" customWidth="1"/>
    <col min="5" max="5" width="6.73046875" customWidth="1"/>
    <col min="6" max="6" width="20.86328125" customWidth="1"/>
    <col min="7" max="7" width="8.59765625" customWidth="1"/>
    <col min="8" max="8" width="25" customWidth="1"/>
    <col min="9" max="9" width="16.86328125" customWidth="1"/>
  </cols>
  <sheetData>
    <row r="2" spans="1:10" ht="18" customHeight="1" x14ac:dyDescent="0.45">
      <c r="A2" s="123" t="s">
        <v>0</v>
      </c>
      <c r="B2" s="101" t="s">
        <v>291</v>
      </c>
    </row>
    <row r="3" spans="1:10" ht="18" customHeight="1" x14ac:dyDescent="0.45">
      <c r="A3" s="123" t="s">
        <v>180</v>
      </c>
      <c r="B3" s="117">
        <v>86</v>
      </c>
      <c r="J3" s="19"/>
    </row>
    <row r="4" spans="1:10" ht="18" customHeight="1" x14ac:dyDescent="0.45">
      <c r="A4" s="123" t="s">
        <v>242</v>
      </c>
      <c r="B4" s="102" t="s">
        <v>290</v>
      </c>
      <c r="E4" s="40"/>
      <c r="F4" s="40"/>
      <c r="H4" s="10"/>
      <c r="I4" s="19"/>
      <c r="J4" s="19"/>
    </row>
    <row r="5" spans="1:10" ht="18" customHeight="1" x14ac:dyDescent="0.45">
      <c r="A5" s="123" t="s">
        <v>16</v>
      </c>
      <c r="B5" s="101">
        <v>12</v>
      </c>
      <c r="F5" s="43"/>
      <c r="H5" s="10"/>
      <c r="I5" s="19"/>
      <c r="J5" s="19"/>
    </row>
    <row r="6" spans="1:10" ht="18" customHeight="1" x14ac:dyDescent="0.45">
      <c r="A6" s="123" t="s">
        <v>18</v>
      </c>
      <c r="B6" s="101">
        <v>11</v>
      </c>
      <c r="F6" s="41"/>
      <c r="H6" s="10"/>
    </row>
    <row r="7" spans="1:10" ht="18" customHeight="1" x14ac:dyDescent="0.45">
      <c r="A7" s="123" t="s">
        <v>178</v>
      </c>
      <c r="B7" s="104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45">
      <c r="A8" s="123" t="s">
        <v>179</v>
      </c>
      <c r="B8" s="105">
        <f>Volume*28.317</f>
        <v>20.376441249999999</v>
      </c>
      <c r="F8" s="41"/>
      <c r="H8" s="10"/>
      <c r="I8" s="19"/>
      <c r="J8" s="19"/>
    </row>
    <row r="9" spans="1:10" ht="18" customHeight="1" x14ac:dyDescent="0.45">
      <c r="E9" s="41"/>
      <c r="F9" s="41"/>
      <c r="H9" s="10"/>
      <c r="I9" s="19"/>
      <c r="J9" s="19"/>
    </row>
    <row r="10" spans="1:10" ht="18" customHeight="1" x14ac:dyDescent="0.45">
      <c r="A10" s="123" t="s">
        <v>234</v>
      </c>
      <c r="B10" s="1" t="s">
        <v>49</v>
      </c>
      <c r="C10" s="1" t="s">
        <v>50</v>
      </c>
      <c r="D10" s="1" t="s">
        <v>50</v>
      </c>
      <c r="G10" s="125" t="s">
        <v>238</v>
      </c>
      <c r="J10" s="19"/>
    </row>
    <row r="11" spans="1:10" ht="18" customHeight="1" x14ac:dyDescent="0.45">
      <c r="B11" s="123" t="s">
        <v>245</v>
      </c>
      <c r="C11" s="123" t="s">
        <v>244</v>
      </c>
      <c r="D11" s="123" t="s">
        <v>243</v>
      </c>
      <c r="E11" s="123" t="s">
        <v>168</v>
      </c>
      <c r="F11" s="41"/>
      <c r="G11" s="127" t="s">
        <v>222</v>
      </c>
      <c r="H11" s="126"/>
      <c r="J11" s="19"/>
    </row>
    <row r="12" spans="1:10" ht="18" customHeight="1" x14ac:dyDescent="0.45">
      <c r="A12" s="123" t="s">
        <v>51</v>
      </c>
      <c r="B12" s="44">
        <v>45</v>
      </c>
      <c r="C12" s="44">
        <v>44</v>
      </c>
      <c r="D12" s="44">
        <v>43</v>
      </c>
      <c r="E12" s="105">
        <f>B12-D12</f>
        <v>2</v>
      </c>
      <c r="F12" s="131" t="s">
        <v>223</v>
      </c>
      <c r="G12" s="41"/>
      <c r="H12" s="10" t="s">
        <v>60</v>
      </c>
      <c r="I12" s="44"/>
    </row>
    <row r="13" spans="1:10" ht="18" customHeight="1" x14ac:dyDescent="0.45">
      <c r="B13" s="41"/>
      <c r="C13" s="41"/>
      <c r="D13" s="119"/>
      <c r="E13" s="20"/>
      <c r="F13" s="118"/>
      <c r="G13" s="42"/>
      <c r="H13" s="10" t="s">
        <v>59</v>
      </c>
      <c r="I13" s="44"/>
    </row>
    <row r="14" spans="1:10" ht="18" customHeight="1" x14ac:dyDescent="0.45">
      <c r="A14" s="125" t="s">
        <v>235</v>
      </c>
      <c r="B14" s="41"/>
      <c r="C14" s="41"/>
      <c r="D14" s="119"/>
      <c r="E14" s="20"/>
      <c r="F14" s="120"/>
      <c r="G14" s="127" t="s">
        <v>224</v>
      </c>
    </row>
    <row r="15" spans="1:10" ht="18" customHeight="1" x14ac:dyDescent="0.45">
      <c r="A15" s="124" t="s">
        <v>225</v>
      </c>
      <c r="B15" s="41"/>
      <c r="C15" s="41"/>
      <c r="D15" s="119"/>
      <c r="E15" s="20"/>
      <c r="F15" s="120"/>
      <c r="G15" s="42"/>
      <c r="H15" s="10" t="s">
        <v>150</v>
      </c>
      <c r="I15" s="44"/>
    </row>
    <row r="16" spans="1:10" ht="18" customHeight="1" x14ac:dyDescent="0.45">
      <c r="A16" s="123" t="s">
        <v>226</v>
      </c>
      <c r="B16" s="121" t="s">
        <v>138</v>
      </c>
      <c r="C16" s="41"/>
      <c r="D16" s="119"/>
      <c r="E16" s="20"/>
      <c r="F16" s="120"/>
      <c r="G16" s="42"/>
      <c r="H16" s="10" t="s">
        <v>151</v>
      </c>
      <c r="I16" s="44"/>
    </row>
    <row r="17" spans="1:14" ht="18" customHeight="1" x14ac:dyDescent="0.45">
      <c r="B17" s="121" t="s">
        <v>58</v>
      </c>
      <c r="C17" s="41"/>
      <c r="D17" s="119"/>
      <c r="E17" s="20"/>
      <c r="F17" s="120"/>
      <c r="G17" s="42"/>
      <c r="H17" s="10" t="s">
        <v>152</v>
      </c>
      <c r="I17" s="44"/>
    </row>
    <row r="18" spans="1:14" ht="18" customHeight="1" x14ac:dyDescent="0.45">
      <c r="B18" s="121" t="s">
        <v>139</v>
      </c>
      <c r="C18" s="41"/>
      <c r="E18" s="122"/>
      <c r="F18" s="120"/>
      <c r="G18" s="42"/>
      <c r="H18" s="10" t="s">
        <v>22</v>
      </c>
      <c r="I18" s="44"/>
    </row>
    <row r="19" spans="1:14" ht="18" customHeight="1" x14ac:dyDescent="0.45">
      <c r="C19" s="41"/>
      <c r="D19" s="119"/>
      <c r="E19" s="20"/>
      <c r="F19" s="120"/>
      <c r="G19" s="42"/>
    </row>
    <row r="20" spans="1:14" ht="18" customHeight="1" x14ac:dyDescent="0.45">
      <c r="A20" s="123" t="s">
        <v>227</v>
      </c>
      <c r="B20" s="121" t="s">
        <v>61</v>
      </c>
      <c r="C20" s="41"/>
      <c r="D20" s="119"/>
      <c r="E20" s="122"/>
      <c r="F20" s="120"/>
      <c r="G20" s="125" t="s">
        <v>239</v>
      </c>
    </row>
    <row r="21" spans="1:14" ht="18" customHeight="1" x14ac:dyDescent="0.45">
      <c r="A21" s="123" t="s">
        <v>7</v>
      </c>
      <c r="B21" s="41"/>
      <c r="C21" s="41"/>
      <c r="D21" s="119"/>
      <c r="E21" s="20"/>
      <c r="F21" s="120"/>
      <c r="G21" s="128" t="s">
        <v>228</v>
      </c>
    </row>
    <row r="22" spans="1:14" ht="18" customHeight="1" x14ac:dyDescent="0.45">
      <c r="A22" s="124" t="s">
        <v>229</v>
      </c>
      <c r="B22" s="41"/>
      <c r="C22" s="41"/>
      <c r="D22" s="119"/>
      <c r="E22" s="20"/>
      <c r="F22" s="120"/>
      <c r="H22" s="40" t="s">
        <v>153</v>
      </c>
    </row>
    <row r="23" spans="1:14" ht="18" customHeight="1" x14ac:dyDescent="0.45">
      <c r="B23" s="39" t="s">
        <v>52</v>
      </c>
      <c r="C23" s="44"/>
      <c r="D23" s="118"/>
      <c r="E23" s="20"/>
      <c r="F23" s="120"/>
      <c r="G23" s="19"/>
    </row>
    <row r="24" spans="1:14" ht="18" customHeight="1" x14ac:dyDescent="0.45">
      <c r="B24" s="41"/>
      <c r="C24" s="41"/>
      <c r="D24" s="119"/>
      <c r="E24" s="20"/>
      <c r="F24" s="120"/>
      <c r="G24" s="128" t="s">
        <v>230</v>
      </c>
      <c r="I24" s="139" t="s">
        <v>292</v>
      </c>
      <c r="J24" s="140"/>
      <c r="K24" s="140"/>
      <c r="L24" s="140"/>
      <c r="M24" s="140"/>
      <c r="N24" s="141"/>
    </row>
    <row r="25" spans="1:14" ht="18" customHeight="1" x14ac:dyDescent="0.45">
      <c r="A25" s="124" t="s">
        <v>231</v>
      </c>
      <c r="B25" s="119"/>
      <c r="C25" s="119"/>
      <c r="D25" s="119"/>
      <c r="E25" s="20"/>
      <c r="F25" s="120"/>
      <c r="H25" s="10"/>
      <c r="I25" s="142"/>
      <c r="J25" s="143"/>
      <c r="K25" s="143"/>
      <c r="L25" s="143"/>
      <c r="M25" s="143"/>
      <c r="N25" s="144"/>
    </row>
    <row r="26" spans="1:14" ht="18" customHeight="1" x14ac:dyDescent="0.45">
      <c r="A26" s="124"/>
      <c r="B26" s="132" t="s">
        <v>246</v>
      </c>
      <c r="C26" s="44">
        <v>11</v>
      </c>
      <c r="D26" s="133" t="s">
        <v>232</v>
      </c>
      <c r="E26" s="20"/>
      <c r="F26" s="120"/>
      <c r="I26" s="142"/>
      <c r="J26" s="143"/>
      <c r="K26" s="143"/>
      <c r="L26" s="143"/>
      <c r="M26" s="143"/>
      <c r="N26" s="144"/>
    </row>
    <row r="27" spans="1:14" ht="18" customHeight="1" x14ac:dyDescent="0.45">
      <c r="C27" s="20" t="s">
        <v>53</v>
      </c>
      <c r="D27" s="20" t="s">
        <v>54</v>
      </c>
      <c r="E27" s="20"/>
      <c r="F27" s="120"/>
      <c r="I27" s="142"/>
      <c r="J27" s="143"/>
      <c r="K27" s="143"/>
      <c r="L27" s="143"/>
      <c r="M27" s="143"/>
      <c r="N27" s="144"/>
    </row>
    <row r="28" spans="1:14" ht="18" customHeight="1" x14ac:dyDescent="0.45">
      <c r="A28" s="123" t="s">
        <v>240</v>
      </c>
      <c r="B28" s="121" t="s">
        <v>241</v>
      </c>
      <c r="C28" s="44">
        <v>10.5</v>
      </c>
      <c r="D28" s="44">
        <v>11</v>
      </c>
      <c r="E28" s="129"/>
      <c r="F28" s="120"/>
      <c r="I28" s="142"/>
      <c r="J28" s="143"/>
      <c r="K28" s="143"/>
      <c r="L28" s="143"/>
      <c r="M28" s="143"/>
      <c r="N28" s="144"/>
    </row>
    <row r="29" spans="1:14" ht="18" customHeight="1" x14ac:dyDescent="0.45">
      <c r="B29" s="121" t="s">
        <v>55</v>
      </c>
      <c r="C29" s="44">
        <v>10.5</v>
      </c>
      <c r="D29" s="44">
        <v>11</v>
      </c>
      <c r="E29" s="130"/>
      <c r="F29" s="42"/>
      <c r="I29" s="145"/>
      <c r="J29" s="146"/>
      <c r="K29" s="146"/>
      <c r="L29" s="146"/>
      <c r="M29" s="146"/>
      <c r="N29" s="147"/>
    </row>
    <row r="30" spans="1:14" ht="18" customHeight="1" x14ac:dyDescent="0.45">
      <c r="B30" s="121" t="s">
        <v>56</v>
      </c>
      <c r="C30" s="44">
        <v>10.5</v>
      </c>
      <c r="D30" s="44">
        <v>11</v>
      </c>
      <c r="E30" s="130"/>
      <c r="F30" s="20"/>
    </row>
    <row r="31" spans="1:14" ht="18" customHeight="1" x14ac:dyDescent="0.45">
      <c r="B31" s="121" t="s">
        <v>57</v>
      </c>
      <c r="C31" s="44">
        <v>10.5</v>
      </c>
      <c r="D31" s="44">
        <v>11</v>
      </c>
      <c r="E31" s="130"/>
      <c r="F31" s="20"/>
    </row>
    <row r="32" spans="1:14" ht="18" customHeight="1" x14ac:dyDescent="0.45">
      <c r="B32" s="38" t="s">
        <v>248</v>
      </c>
      <c r="C32" s="44">
        <v>10.5</v>
      </c>
      <c r="D32" s="44">
        <v>11</v>
      </c>
      <c r="E32" s="130"/>
      <c r="F32" s="20"/>
    </row>
    <row r="33" spans="1:10" ht="18" customHeight="1" x14ac:dyDescent="0.45">
      <c r="B33" s="38"/>
      <c r="C33" s="38"/>
      <c r="D33" s="38"/>
      <c r="E33" s="38"/>
      <c r="F33" s="20"/>
    </row>
    <row r="34" spans="1:10" ht="18" customHeight="1" x14ac:dyDescent="0.45">
      <c r="B34" s="39" t="s">
        <v>312</v>
      </c>
      <c r="C34" s="44"/>
      <c r="D34" s="38"/>
      <c r="E34" s="38"/>
      <c r="F34" s="20"/>
    </row>
    <row r="35" spans="1:10" ht="18" customHeight="1" x14ac:dyDescent="0.45">
      <c r="B35" s="38"/>
      <c r="C35" s="38"/>
      <c r="D35" s="38"/>
      <c r="E35" s="38"/>
      <c r="F35" s="20"/>
      <c r="H35" s="19"/>
    </row>
    <row r="36" spans="1:10" ht="18" customHeight="1" x14ac:dyDescent="0.45">
      <c r="A36" s="124" t="s">
        <v>233</v>
      </c>
      <c r="H36" s="19"/>
    </row>
    <row r="37" spans="1:10" ht="18" customHeight="1" x14ac:dyDescent="0.45">
      <c r="A37" s="123" t="s">
        <v>236</v>
      </c>
      <c r="H37" s="19"/>
      <c r="I37" s="19"/>
    </row>
    <row r="38" spans="1:10" ht="18" customHeight="1" x14ac:dyDescent="0.45">
      <c r="A38" s="123" t="s">
        <v>237</v>
      </c>
      <c r="E38" s="19"/>
      <c r="H38" s="19"/>
      <c r="I38" s="19"/>
    </row>
    <row r="39" spans="1:10" ht="18" customHeight="1" x14ac:dyDescent="0.45">
      <c r="E39" s="19"/>
    </row>
    <row r="40" spans="1:10" ht="18" customHeight="1" x14ac:dyDescent="0.45">
      <c r="F40" s="19"/>
    </row>
    <row r="41" spans="1:10" ht="18" customHeight="1" x14ac:dyDescent="0.45">
      <c r="F41" s="19"/>
    </row>
    <row r="42" spans="1:10" ht="18" customHeight="1" x14ac:dyDescent="0.45">
      <c r="B42" s="21" t="s">
        <v>7</v>
      </c>
      <c r="C42" s="19"/>
      <c r="D42" s="19"/>
      <c r="I42" s="19"/>
    </row>
    <row r="43" spans="1:10" ht="18" customHeight="1" x14ac:dyDescent="0.45">
      <c r="B43" t="s">
        <v>7</v>
      </c>
      <c r="C43" s="19"/>
      <c r="D43" s="19"/>
    </row>
    <row r="44" spans="1:10" ht="18" customHeight="1" x14ac:dyDescent="0.45">
      <c r="J44" s="19"/>
    </row>
    <row r="45" spans="1:10" ht="18" customHeight="1" x14ac:dyDescent="0.45">
      <c r="B45" s="4"/>
    </row>
    <row r="47" spans="1:10" ht="18" customHeight="1" x14ac:dyDescent="0.45">
      <c r="B47" s="4"/>
      <c r="C47" s="1"/>
    </row>
    <row r="48" spans="1:10" ht="18" customHeight="1" x14ac:dyDescent="0.45">
      <c r="B48" s="4"/>
      <c r="C48" s="1"/>
    </row>
    <row r="50" spans="2:2" ht="18" customHeight="1" x14ac:dyDescent="0.4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7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8" name="cmdSave">
          <controlPr defaultSize="0" autoFill="0" autoLine="0" r:id="rId9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8" name="cmdSave"/>
      </mc:Fallback>
    </mc:AlternateContent>
    <mc:AlternateContent xmlns:mc="http://schemas.openxmlformats.org/markup-compatibility/2006">
      <mc:Choice Requires="x14">
        <control shapeId="34821" r:id="rId10" name="chkRedAsh">
          <controlPr autoLine="0" r:id="rId7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10" name="chkRedAsh"/>
      </mc:Fallback>
    </mc:AlternateContent>
    <mc:AlternateContent xmlns:mc="http://schemas.openxmlformats.org/markup-compatibility/2006">
      <mc:Choice Requires="x14">
        <control shapeId="34822" r:id="rId11" name="cbSoot">
          <controlPr defaultSize="0" autoFill="0" autoLine="0" r:id="rId12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52388</xdr:colOff>
                <xdr:row>16</xdr:row>
                <xdr:rowOff>0</xdr:rowOff>
              </to>
            </anchor>
          </controlPr>
        </control>
      </mc:Choice>
      <mc:Fallback>
        <control shapeId="34822" r:id="rId11" name="cbSoot"/>
      </mc:Fallback>
    </mc:AlternateContent>
    <mc:AlternateContent xmlns:mc="http://schemas.openxmlformats.org/markup-compatibility/2006">
      <mc:Choice Requires="x14">
        <control shapeId="34823" r:id="rId13" name="cbAsh">
          <controlPr defaultSize="0" autoFill="0" autoLine="0" r:id="rId14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52388</xdr:colOff>
                <xdr:row>17</xdr:row>
                <xdr:rowOff>0</xdr:rowOff>
              </to>
            </anchor>
          </controlPr>
        </control>
      </mc:Choice>
      <mc:Fallback>
        <control shapeId="34823" r:id="rId13" name="cbAsh"/>
      </mc:Fallback>
    </mc:AlternateContent>
    <mc:AlternateContent xmlns:mc="http://schemas.openxmlformats.org/markup-compatibility/2006">
      <mc:Choice Requires="x14">
        <control shapeId="34824" r:id="rId15" name="cbAshColor">
          <controlPr defaultSize="0" autoFill="0" autoLine="0" r:id="rId16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52388</xdr:colOff>
                <xdr:row>18</xdr:row>
                <xdr:rowOff>0</xdr:rowOff>
              </to>
            </anchor>
          </controlPr>
        </control>
      </mc:Choice>
      <mc:Fallback>
        <control shapeId="34824" r:id="rId15" name="cbAshColor"/>
      </mc:Fallback>
    </mc:AlternateContent>
    <mc:AlternateContent xmlns:mc="http://schemas.openxmlformats.org/markup-compatibility/2006">
      <mc:Choice Requires="x14">
        <control shapeId="34825" r:id="rId17" name="cbOutletColor">
          <controlPr defaultSize="0" autoFill="0" autoLine="0" r:id="rId18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52388</xdr:colOff>
                <xdr:row>20</xdr:row>
                <xdr:rowOff>0</xdr:rowOff>
              </to>
            </anchor>
          </controlPr>
        </control>
      </mc:Choice>
      <mc:Fallback>
        <control shapeId="34825" r:id="rId17" name="cbOutletColor"/>
      </mc:Fallback>
    </mc:AlternateContent>
    <mc:AlternateContent xmlns:mc="http://schemas.openxmlformats.org/markup-compatibility/2006">
      <mc:Choice Requires="x14">
        <control shapeId="34826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1162050</xdr:colOff>
                <xdr:row>37</xdr:row>
                <xdr:rowOff>19050</xdr:rowOff>
              </to>
            </anchor>
          </controlPr>
        </control>
      </mc:Choice>
      <mc:Fallback>
        <control shapeId="34826" r:id="rId19" name="cbBreachChannels"/>
      </mc:Fallback>
    </mc:AlternateContent>
    <mc:AlternateContent xmlns:mc="http://schemas.openxmlformats.org/markup-compatibility/2006">
      <mc:Choice Requires="x14">
        <control shapeId="34827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1162050</xdr:colOff>
                <xdr:row>38</xdr:row>
                <xdr:rowOff>38100</xdr:rowOff>
              </to>
            </anchor>
          </controlPr>
        </control>
      </mc:Choice>
      <mc:Fallback>
        <control shapeId="34827" r:id="rId21" name="cbCracking"/>
      </mc:Fallback>
    </mc:AlternateContent>
    <mc:AlternateContent xmlns:mc="http://schemas.openxmlformats.org/markup-compatibility/2006">
      <mc:Choice Requires="x14">
        <control shapeId="34828" r:id="rId23" name="chkFuelOil">
          <controlPr autoLine="0" r:id="rId7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23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r:id="rId7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r:id="rId7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290513</xdr:colOff>
                <xdr:row>17</xdr:row>
                <xdr:rowOff>219075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8</xdr:col>
                <xdr:colOff>1152525</xdr:colOff>
                <xdr:row>22</xdr:row>
                <xdr:rowOff>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r:id="rId31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30" name="cmdBack"/>
      </mc:Fallback>
    </mc:AlternateContent>
    <mc:AlternateContent xmlns:mc="http://schemas.openxmlformats.org/markup-compatibility/2006">
      <mc:Choice Requires="x14">
        <control shapeId="34834" r:id="rId32" name="chkPinTest">
          <controlPr autoLine="0" r:id="rId7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323850</xdr:colOff>
                <xdr:row>33</xdr:row>
                <xdr:rowOff>190500</xdr:rowOff>
              </to>
            </anchor>
          </controlPr>
        </control>
      </mc:Choice>
      <mc:Fallback>
        <control shapeId="34834" r:id="rId32" name="chkPinTes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D44" sqref="D44"/>
    </sheetView>
  </sheetViews>
  <sheetFormatPr defaultRowHeight="14.25" x14ac:dyDescent="0.45"/>
  <cols>
    <col min="2" max="2" width="30.265625" customWidth="1"/>
    <col min="3" max="3" width="17.265625" customWidth="1"/>
    <col min="4" max="4" width="10.59765625" bestFit="1" customWidth="1"/>
    <col min="5" max="5" width="23.86328125" customWidth="1"/>
    <col min="6" max="6" width="24.86328125" customWidth="1"/>
    <col min="7" max="7" width="15.1328125" customWidth="1"/>
    <col min="8" max="8" width="11.86328125" bestFit="1" customWidth="1"/>
    <col min="9" max="9" width="23" customWidth="1"/>
  </cols>
  <sheetData>
    <row r="3" spans="2:9" x14ac:dyDescent="0.45">
      <c r="B3" s="86" t="s">
        <v>169</v>
      </c>
      <c r="C3" s="73">
        <v>85</v>
      </c>
    </row>
    <row r="4" spans="2:9" ht="18" x14ac:dyDescent="0.55000000000000004">
      <c r="I4" s="45"/>
    </row>
    <row r="5" spans="2:9" x14ac:dyDescent="0.45">
      <c r="B5" s="99" t="s">
        <v>16</v>
      </c>
      <c r="C5" s="100"/>
      <c r="D5" s="59"/>
      <c r="E5" s="59" t="s">
        <v>171</v>
      </c>
      <c r="F5" s="87">
        <v>110000</v>
      </c>
      <c r="G5" s="136" t="s">
        <v>82</v>
      </c>
      <c r="H5" s="62"/>
    </row>
    <row r="6" spans="2:9" x14ac:dyDescent="0.45">
      <c r="B6" s="88" t="s">
        <v>18</v>
      </c>
      <c r="C6" s="89"/>
      <c r="D6" s="62"/>
      <c r="E6" s="62" t="s">
        <v>170</v>
      </c>
      <c r="F6" s="90">
        <v>60</v>
      </c>
      <c r="G6" s="65" t="s">
        <v>83</v>
      </c>
      <c r="H6" s="62"/>
    </row>
    <row r="7" spans="2:9" x14ac:dyDescent="0.45">
      <c r="B7" s="91" t="s">
        <v>145</v>
      </c>
      <c r="C7" s="89">
        <f>(3.14*(SubDiameter/2)^2)*(SubLength)*(1/12)^3</f>
        <v>0</v>
      </c>
      <c r="D7" s="92"/>
      <c r="E7" s="62" t="s">
        <v>172</v>
      </c>
      <c r="F7" s="90">
        <f>(Volume*MaxSpaceVelocity)*(1/60)*(61.7)/(2350*0.395)</f>
        <v>0</v>
      </c>
      <c r="G7" s="65" t="s">
        <v>83</v>
      </c>
      <c r="H7" s="62"/>
    </row>
    <row r="8" spans="2:9" x14ac:dyDescent="0.45">
      <c r="B8" s="93" t="s">
        <v>146</v>
      </c>
      <c r="C8" s="94">
        <f>Volume*28.317</f>
        <v>0</v>
      </c>
      <c r="D8" s="95"/>
      <c r="E8" s="96" t="s">
        <v>173</v>
      </c>
      <c r="F8" s="98">
        <f>IF(F7&gt;MaxHertz,"60",F7)</f>
        <v>0</v>
      </c>
      <c r="G8" s="97" t="s">
        <v>83</v>
      </c>
      <c r="H8" s="62"/>
    </row>
    <row r="9" spans="2:9" x14ac:dyDescent="0.45">
      <c r="H9" s="62"/>
    </row>
    <row r="11" spans="2:9" x14ac:dyDescent="0.45">
      <c r="B11" s="82" t="s">
        <v>62</v>
      </c>
      <c r="C11" s="59"/>
      <c r="D11" s="83"/>
      <c r="E11" s="59" t="s">
        <v>63</v>
      </c>
      <c r="F11" s="59"/>
      <c r="G11" s="60" t="s">
        <v>78</v>
      </c>
      <c r="H11" s="60" t="s">
        <v>79</v>
      </c>
      <c r="I11" s="84"/>
    </row>
    <row r="12" spans="2:9" x14ac:dyDescent="0.45">
      <c r="B12" s="61" t="s">
        <v>64</v>
      </c>
      <c r="C12" s="62"/>
      <c r="D12" s="63"/>
      <c r="E12" s="62" t="s">
        <v>65</v>
      </c>
      <c r="F12" s="62"/>
      <c r="G12" s="62"/>
      <c r="H12" s="64" t="s">
        <v>80</v>
      </c>
      <c r="I12" s="84"/>
    </row>
    <row r="13" spans="2:9" x14ac:dyDescent="0.45">
      <c r="B13" s="61" t="s">
        <v>66</v>
      </c>
      <c r="C13" s="62"/>
      <c r="D13" s="63"/>
      <c r="E13" s="62"/>
      <c r="F13" s="62"/>
      <c r="G13" s="62"/>
      <c r="H13" s="64" t="s">
        <v>81</v>
      </c>
      <c r="I13" s="84"/>
    </row>
    <row r="14" spans="2:9" x14ac:dyDescent="0.45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45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45">
      <c r="B16" s="72">
        <f>0.25*$F$8</f>
        <v>0</v>
      </c>
      <c r="C16" s="73">
        <f>(2350/61.7)*B16*0.395</f>
        <v>0</v>
      </c>
      <c r="D16" s="66"/>
      <c r="E16" s="73">
        <f t="shared" ref="E16:E26" si="0">C16-(34.4764881*D16-4.325744048*D16^2+0.369475446*D16^3-0.01733631*D16^4+0.000339472*D16^5)</f>
        <v>0</v>
      </c>
      <c r="F16" s="73" t="e">
        <f t="shared" ref="F16:F26" si="1">(E16*60)/Volume</f>
        <v>#DIV/0!</v>
      </c>
      <c r="G16" s="113">
        <v>20000</v>
      </c>
      <c r="H16" s="74">
        <f t="shared" ref="H16:H26" si="2">G16*Volume/60</f>
        <v>0</v>
      </c>
      <c r="I16" s="75">
        <f t="shared" ref="I16:I26" si="3">G16^2*P0a+G16*P0b+P0c</f>
        <v>0</v>
      </c>
    </row>
    <row r="17" spans="2:9" x14ac:dyDescent="0.45">
      <c r="B17" s="72">
        <f>0.4*$F$8</f>
        <v>0</v>
      </c>
      <c r="C17" s="73">
        <f t="shared" ref="C17:C26" si="4">(2350/61.7)*B17*0.395</f>
        <v>0</v>
      </c>
      <c r="D17" s="66"/>
      <c r="E17" s="73">
        <f t="shared" si="0"/>
        <v>0</v>
      </c>
      <c r="F17" s="73" t="e">
        <f t="shared" si="1"/>
        <v>#DIV/0!</v>
      </c>
      <c r="G17" s="113">
        <v>35000</v>
      </c>
      <c r="H17" s="74">
        <f t="shared" si="2"/>
        <v>0</v>
      </c>
      <c r="I17" s="75">
        <f t="shared" si="3"/>
        <v>0</v>
      </c>
    </row>
    <row r="18" spans="2:9" x14ac:dyDescent="0.45">
      <c r="B18" s="72">
        <f>0.5*$F$8</f>
        <v>0</v>
      </c>
      <c r="C18" s="73">
        <f t="shared" si="4"/>
        <v>0</v>
      </c>
      <c r="D18" s="66"/>
      <c r="E18" s="73">
        <f t="shared" si="0"/>
        <v>0</v>
      </c>
      <c r="F18" s="73" t="e">
        <f t="shared" si="1"/>
        <v>#DIV/0!</v>
      </c>
      <c r="G18" s="113">
        <v>50000</v>
      </c>
      <c r="H18" s="74">
        <f t="shared" si="2"/>
        <v>0</v>
      </c>
      <c r="I18" s="75">
        <f t="shared" si="3"/>
        <v>0</v>
      </c>
    </row>
    <row r="19" spans="2:9" x14ac:dyDescent="0.45">
      <c r="B19" s="72">
        <f>0.6*$F$8</f>
        <v>0</v>
      </c>
      <c r="C19" s="73">
        <f t="shared" si="4"/>
        <v>0</v>
      </c>
      <c r="D19" s="66"/>
      <c r="E19" s="73">
        <f t="shared" si="0"/>
        <v>0</v>
      </c>
      <c r="F19" s="73" t="e">
        <f t="shared" si="1"/>
        <v>#DIV/0!</v>
      </c>
      <c r="G19" s="113">
        <v>60000</v>
      </c>
      <c r="H19" s="74">
        <f t="shared" si="2"/>
        <v>0</v>
      </c>
      <c r="I19" s="75">
        <f t="shared" si="3"/>
        <v>0</v>
      </c>
    </row>
    <row r="20" spans="2:9" x14ac:dyDescent="0.45">
      <c r="B20" s="72">
        <f>0.7*$F$8</f>
        <v>0</v>
      </c>
      <c r="C20" s="73">
        <f t="shared" si="4"/>
        <v>0</v>
      </c>
      <c r="D20" s="66"/>
      <c r="E20" s="73">
        <f t="shared" si="0"/>
        <v>0</v>
      </c>
      <c r="F20" s="73" t="e">
        <f t="shared" si="1"/>
        <v>#DIV/0!</v>
      </c>
      <c r="G20" s="113">
        <v>70000</v>
      </c>
      <c r="H20" s="74">
        <f t="shared" si="2"/>
        <v>0</v>
      </c>
      <c r="I20" s="75">
        <f t="shared" si="3"/>
        <v>0</v>
      </c>
    </row>
    <row r="21" spans="2:9" x14ac:dyDescent="0.45">
      <c r="B21" s="72">
        <f>0.75*$F$8</f>
        <v>0</v>
      </c>
      <c r="C21" s="73">
        <f t="shared" si="4"/>
        <v>0</v>
      </c>
      <c r="D21" s="66"/>
      <c r="E21" s="73">
        <f t="shared" si="0"/>
        <v>0</v>
      </c>
      <c r="F21" s="73" t="e">
        <f t="shared" si="1"/>
        <v>#DIV/0!</v>
      </c>
      <c r="G21" s="113">
        <v>75000</v>
      </c>
      <c r="H21" s="74">
        <f t="shared" si="2"/>
        <v>0</v>
      </c>
      <c r="I21" s="75">
        <f t="shared" si="3"/>
        <v>0</v>
      </c>
    </row>
    <row r="22" spans="2:9" x14ac:dyDescent="0.45">
      <c r="B22" s="72">
        <f>0.8*$F$8</f>
        <v>0</v>
      </c>
      <c r="C22" s="73">
        <f t="shared" si="4"/>
        <v>0</v>
      </c>
      <c r="D22" s="66"/>
      <c r="E22" s="73">
        <f t="shared" si="0"/>
        <v>0</v>
      </c>
      <c r="F22" s="73" t="e">
        <f t="shared" si="1"/>
        <v>#DIV/0!</v>
      </c>
      <c r="G22" s="113">
        <v>80000</v>
      </c>
      <c r="H22" s="74">
        <f t="shared" si="2"/>
        <v>0</v>
      </c>
      <c r="I22" s="75">
        <f t="shared" si="3"/>
        <v>0</v>
      </c>
    </row>
    <row r="23" spans="2:9" x14ac:dyDescent="0.45">
      <c r="B23" s="72">
        <f>0.85*$F$8</f>
        <v>0</v>
      </c>
      <c r="C23" s="73">
        <f t="shared" si="4"/>
        <v>0</v>
      </c>
      <c r="D23" s="66"/>
      <c r="E23" s="73">
        <f t="shared" si="0"/>
        <v>0</v>
      </c>
      <c r="F23" s="73" t="e">
        <f t="shared" si="1"/>
        <v>#DIV/0!</v>
      </c>
      <c r="G23" s="113">
        <v>85000</v>
      </c>
      <c r="H23" s="74">
        <f t="shared" si="2"/>
        <v>0</v>
      </c>
      <c r="I23" s="75">
        <f t="shared" si="3"/>
        <v>0</v>
      </c>
    </row>
    <row r="24" spans="2:9" x14ac:dyDescent="0.45">
      <c r="B24" s="72">
        <f>0.9*$F$8</f>
        <v>0</v>
      </c>
      <c r="C24" s="73">
        <f t="shared" si="4"/>
        <v>0</v>
      </c>
      <c r="D24" s="66"/>
      <c r="E24" s="73">
        <f t="shared" si="0"/>
        <v>0</v>
      </c>
      <c r="F24" s="73" t="e">
        <f t="shared" si="1"/>
        <v>#DIV/0!</v>
      </c>
      <c r="G24" s="113">
        <v>90000</v>
      </c>
      <c r="H24" s="74">
        <f t="shared" si="2"/>
        <v>0</v>
      </c>
      <c r="I24" s="75">
        <f t="shared" si="3"/>
        <v>0</v>
      </c>
    </row>
    <row r="25" spans="2:9" x14ac:dyDescent="0.45">
      <c r="B25" s="72">
        <f>0.95*$F$8</f>
        <v>0</v>
      </c>
      <c r="C25" s="73">
        <f t="shared" si="4"/>
        <v>0</v>
      </c>
      <c r="D25" s="66"/>
      <c r="E25" s="73">
        <f t="shared" si="0"/>
        <v>0</v>
      </c>
      <c r="F25" s="73" t="e">
        <f t="shared" si="1"/>
        <v>#DIV/0!</v>
      </c>
      <c r="G25" s="113">
        <v>95000</v>
      </c>
      <c r="H25" s="74">
        <f t="shared" si="2"/>
        <v>0</v>
      </c>
      <c r="I25" s="75">
        <f t="shared" si="3"/>
        <v>0</v>
      </c>
    </row>
    <row r="26" spans="2:9" x14ac:dyDescent="0.45">
      <c r="B26" s="76">
        <f>1*$F$8</f>
        <v>0</v>
      </c>
      <c r="C26" s="77">
        <f t="shared" si="4"/>
        <v>0</v>
      </c>
      <c r="D26" s="66"/>
      <c r="E26" s="77">
        <f t="shared" si="0"/>
        <v>0</v>
      </c>
      <c r="F26" s="77" t="e">
        <f t="shared" si="1"/>
        <v>#DIV/0!</v>
      </c>
      <c r="G26" s="114">
        <v>100000</v>
      </c>
      <c r="H26" s="78">
        <f t="shared" si="2"/>
        <v>0</v>
      </c>
      <c r="I26" s="79">
        <f t="shared" si="3"/>
        <v>0</v>
      </c>
    </row>
    <row r="28" spans="2:9" x14ac:dyDescent="0.45">
      <c r="B28" s="82" t="s">
        <v>62</v>
      </c>
      <c r="C28" s="59"/>
      <c r="D28" s="83"/>
      <c r="E28" s="59" t="s">
        <v>63</v>
      </c>
      <c r="F28" s="59"/>
      <c r="G28" s="60" t="s">
        <v>78</v>
      </c>
      <c r="H28" s="60" t="s">
        <v>79</v>
      </c>
      <c r="I28" s="84"/>
    </row>
    <row r="29" spans="2:9" x14ac:dyDescent="0.45">
      <c r="B29" s="61" t="s">
        <v>64</v>
      </c>
      <c r="C29" s="62"/>
      <c r="D29" s="63"/>
      <c r="E29" s="62" t="s">
        <v>65</v>
      </c>
      <c r="F29" s="62"/>
      <c r="G29" s="62"/>
      <c r="H29" s="64" t="s">
        <v>80</v>
      </c>
      <c r="I29" s="84"/>
    </row>
    <row r="30" spans="2:9" x14ac:dyDescent="0.45">
      <c r="B30" s="61" t="s">
        <v>66</v>
      </c>
      <c r="C30" s="62"/>
      <c r="D30" s="63"/>
      <c r="E30" s="62"/>
      <c r="F30" s="62"/>
      <c r="G30" s="62"/>
      <c r="H30" s="64" t="s">
        <v>81</v>
      </c>
      <c r="I30" s="84"/>
    </row>
    <row r="31" spans="2:9" x14ac:dyDescent="0.45">
      <c r="B31" s="67" t="s">
        <v>67</v>
      </c>
      <c r="C31" s="68" t="s">
        <v>68</v>
      </c>
      <c r="D31" s="68" t="s">
        <v>69</v>
      </c>
      <c r="E31" s="68" t="s">
        <v>70</v>
      </c>
      <c r="F31" s="80"/>
      <c r="G31" s="68" t="s">
        <v>71</v>
      </c>
      <c r="H31" s="68"/>
      <c r="I31" s="69"/>
    </row>
    <row r="32" spans="2:9" x14ac:dyDescent="0.45">
      <c r="B32" s="81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45">
      <c r="B33" s="72">
        <f>0.25*$F$8</f>
        <v>0</v>
      </c>
      <c r="C33" s="73">
        <f>(2350/61.7)*B33*0.395</f>
        <v>0</v>
      </c>
      <c r="D33" s="66"/>
      <c r="E33" s="73">
        <f t="shared" ref="E33:E43" si="5">C33-(34.4764881*D33-4.325744048*D33^2+0.369475446*D33^3-0.01733631*D33^4+0.000339472*D33^5)</f>
        <v>0</v>
      </c>
      <c r="F33" s="73" t="e">
        <f t="shared" ref="F33:F43" si="6">(E33*60)/Volume</f>
        <v>#DIV/0!</v>
      </c>
      <c r="G33" s="113">
        <v>20000</v>
      </c>
      <c r="H33" s="74">
        <f t="shared" ref="H33:H43" si="7">G33*Volume/60</f>
        <v>0</v>
      </c>
      <c r="I33" s="75">
        <f t="shared" ref="I33:I43" si="8">G33^2*P1a+G33*P1b+P1c</f>
        <v>0</v>
      </c>
    </row>
    <row r="34" spans="2:9" x14ac:dyDescent="0.45">
      <c r="B34" s="72">
        <f>0.4*$F$8</f>
        <v>0</v>
      </c>
      <c r="C34" s="73">
        <f t="shared" ref="C34:C42" si="9">(2350/61.7)*B34*0.395</f>
        <v>0</v>
      </c>
      <c r="D34" s="66"/>
      <c r="E34" s="73">
        <f t="shared" si="5"/>
        <v>0</v>
      </c>
      <c r="F34" s="73" t="e">
        <f t="shared" si="6"/>
        <v>#DIV/0!</v>
      </c>
      <c r="G34" s="113">
        <v>35000</v>
      </c>
      <c r="H34" s="74">
        <f t="shared" si="7"/>
        <v>0</v>
      </c>
      <c r="I34" s="75">
        <f t="shared" si="8"/>
        <v>0</v>
      </c>
    </row>
    <row r="35" spans="2:9" x14ac:dyDescent="0.45">
      <c r="B35" s="72">
        <f>0.5*$F$8</f>
        <v>0</v>
      </c>
      <c r="C35" s="73">
        <f t="shared" si="9"/>
        <v>0</v>
      </c>
      <c r="D35" s="115"/>
      <c r="E35" s="73">
        <f t="shared" si="5"/>
        <v>0</v>
      </c>
      <c r="F35" s="73" t="e">
        <f t="shared" si="6"/>
        <v>#DIV/0!</v>
      </c>
      <c r="G35" s="113">
        <v>50000</v>
      </c>
      <c r="H35" s="74">
        <f t="shared" si="7"/>
        <v>0</v>
      </c>
      <c r="I35" s="75">
        <f t="shared" si="8"/>
        <v>0</v>
      </c>
    </row>
    <row r="36" spans="2:9" x14ac:dyDescent="0.45">
      <c r="B36" s="72">
        <f>0.6*$F$8</f>
        <v>0</v>
      </c>
      <c r="C36" s="73">
        <f t="shared" si="9"/>
        <v>0</v>
      </c>
      <c r="D36" s="115"/>
      <c r="E36" s="73">
        <f t="shared" si="5"/>
        <v>0</v>
      </c>
      <c r="F36" s="73" t="e">
        <f t="shared" si="6"/>
        <v>#DIV/0!</v>
      </c>
      <c r="G36" s="113">
        <v>60000</v>
      </c>
      <c r="H36" s="74">
        <f t="shared" si="7"/>
        <v>0</v>
      </c>
      <c r="I36" s="75">
        <f t="shared" si="8"/>
        <v>0</v>
      </c>
    </row>
    <row r="37" spans="2:9" x14ac:dyDescent="0.45">
      <c r="B37" s="72">
        <f>0.7*$F$8</f>
        <v>0</v>
      </c>
      <c r="C37" s="73">
        <f t="shared" si="9"/>
        <v>0</v>
      </c>
      <c r="D37" s="115"/>
      <c r="E37" s="73">
        <f t="shared" si="5"/>
        <v>0</v>
      </c>
      <c r="F37" s="73" t="e">
        <f t="shared" si="6"/>
        <v>#DIV/0!</v>
      </c>
      <c r="G37" s="113">
        <v>70000</v>
      </c>
      <c r="H37" s="74">
        <f t="shared" si="7"/>
        <v>0</v>
      </c>
      <c r="I37" s="75">
        <f t="shared" si="8"/>
        <v>0</v>
      </c>
    </row>
    <row r="38" spans="2:9" x14ac:dyDescent="0.45">
      <c r="B38" s="72">
        <f>0.75*$F$8</f>
        <v>0</v>
      </c>
      <c r="C38" s="73">
        <f t="shared" si="9"/>
        <v>0</v>
      </c>
      <c r="D38" s="115"/>
      <c r="E38" s="73">
        <f t="shared" si="5"/>
        <v>0</v>
      </c>
      <c r="F38" s="73" t="e">
        <f t="shared" si="6"/>
        <v>#DIV/0!</v>
      </c>
      <c r="G38" s="113">
        <v>75000</v>
      </c>
      <c r="H38" s="74">
        <f t="shared" si="7"/>
        <v>0</v>
      </c>
      <c r="I38" s="75">
        <f t="shared" si="8"/>
        <v>0</v>
      </c>
    </row>
    <row r="39" spans="2:9" x14ac:dyDescent="0.45">
      <c r="B39" s="72">
        <f>0.8*$F$8</f>
        <v>0</v>
      </c>
      <c r="C39" s="73">
        <f t="shared" si="9"/>
        <v>0</v>
      </c>
      <c r="D39" s="115"/>
      <c r="E39" s="73">
        <f t="shared" si="5"/>
        <v>0</v>
      </c>
      <c r="F39" s="73" t="e">
        <f t="shared" si="6"/>
        <v>#DIV/0!</v>
      </c>
      <c r="G39" s="113">
        <v>80000</v>
      </c>
      <c r="H39" s="74">
        <f t="shared" si="7"/>
        <v>0</v>
      </c>
      <c r="I39" s="75">
        <f t="shared" si="8"/>
        <v>0</v>
      </c>
    </row>
    <row r="40" spans="2:9" x14ac:dyDescent="0.45">
      <c r="B40" s="72">
        <f>0.85*$F$8</f>
        <v>0</v>
      </c>
      <c r="C40" s="73">
        <f t="shared" si="9"/>
        <v>0</v>
      </c>
      <c r="D40" s="115"/>
      <c r="E40" s="73">
        <f t="shared" si="5"/>
        <v>0</v>
      </c>
      <c r="F40" s="73" t="e">
        <f t="shared" si="6"/>
        <v>#DIV/0!</v>
      </c>
      <c r="G40" s="113">
        <v>85000</v>
      </c>
      <c r="H40" s="74">
        <f t="shared" si="7"/>
        <v>0</v>
      </c>
      <c r="I40" s="75">
        <f t="shared" si="8"/>
        <v>0</v>
      </c>
    </row>
    <row r="41" spans="2:9" x14ac:dyDescent="0.45">
      <c r="B41" s="72">
        <f>0.9*$F$8</f>
        <v>0</v>
      </c>
      <c r="C41" s="73">
        <f t="shared" si="9"/>
        <v>0</v>
      </c>
      <c r="D41" s="115"/>
      <c r="E41" s="73">
        <f t="shared" si="5"/>
        <v>0</v>
      </c>
      <c r="F41" s="73" t="e">
        <f t="shared" si="6"/>
        <v>#DIV/0!</v>
      </c>
      <c r="G41" s="113">
        <v>90000</v>
      </c>
      <c r="H41" s="74">
        <f t="shared" si="7"/>
        <v>0</v>
      </c>
      <c r="I41" s="75">
        <f t="shared" si="8"/>
        <v>0</v>
      </c>
    </row>
    <row r="42" spans="2:9" x14ac:dyDescent="0.45">
      <c r="B42" s="72">
        <f>0.95*$F$8</f>
        <v>0</v>
      </c>
      <c r="C42" s="73">
        <f t="shared" si="9"/>
        <v>0</v>
      </c>
      <c r="D42" s="115"/>
      <c r="E42" s="73">
        <f t="shared" si="5"/>
        <v>0</v>
      </c>
      <c r="F42" s="73" t="e">
        <f t="shared" si="6"/>
        <v>#DIV/0!</v>
      </c>
      <c r="G42" s="113">
        <v>95000</v>
      </c>
      <c r="H42" s="74">
        <f t="shared" si="7"/>
        <v>0</v>
      </c>
      <c r="I42" s="75">
        <f t="shared" si="8"/>
        <v>0</v>
      </c>
    </row>
    <row r="43" spans="2:9" x14ac:dyDescent="0.45">
      <c r="B43" s="76">
        <f>1*$F$8</f>
        <v>0</v>
      </c>
      <c r="C43" s="77">
        <f>(2350/61.7)*B43*0.395</f>
        <v>0</v>
      </c>
      <c r="D43" s="135"/>
      <c r="E43" s="77">
        <f t="shared" si="5"/>
        <v>0</v>
      </c>
      <c r="F43" s="77" t="e">
        <f t="shared" si="6"/>
        <v>#DIV/0!</v>
      </c>
      <c r="G43" s="114">
        <v>100000</v>
      </c>
      <c r="H43" s="78">
        <f t="shared" si="7"/>
        <v>0</v>
      </c>
      <c r="I43" s="79">
        <f t="shared" si="8"/>
        <v>0</v>
      </c>
    </row>
    <row r="45" spans="2:9" x14ac:dyDescent="0.45">
      <c r="B45" s="82" t="s">
        <v>62</v>
      </c>
      <c r="C45" s="59"/>
      <c r="D45" s="83"/>
      <c r="E45" s="59" t="s">
        <v>63</v>
      </c>
      <c r="F45" s="59"/>
      <c r="G45" s="60" t="s">
        <v>78</v>
      </c>
      <c r="H45" s="60" t="s">
        <v>79</v>
      </c>
      <c r="I45" s="84"/>
    </row>
    <row r="46" spans="2:9" x14ac:dyDescent="0.45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5"/>
    </row>
    <row r="47" spans="2:9" x14ac:dyDescent="0.45">
      <c r="B47" s="61" t="s">
        <v>66</v>
      </c>
      <c r="C47" s="62"/>
      <c r="D47" s="63"/>
      <c r="E47" s="62"/>
      <c r="F47" s="62"/>
      <c r="G47" s="62"/>
      <c r="H47" s="64" t="s">
        <v>81</v>
      </c>
      <c r="I47" s="85"/>
    </row>
    <row r="48" spans="2:9" x14ac:dyDescent="0.45">
      <c r="B48" s="67" t="s">
        <v>67</v>
      </c>
      <c r="C48" s="68" t="s">
        <v>68</v>
      </c>
      <c r="D48" s="68" t="s">
        <v>69</v>
      </c>
      <c r="E48" s="68" t="s">
        <v>70</v>
      </c>
      <c r="F48" s="80"/>
      <c r="G48" s="68" t="s">
        <v>71</v>
      </c>
      <c r="H48" s="68"/>
      <c r="I48" s="69"/>
    </row>
    <row r="49" spans="2:9" x14ac:dyDescent="0.45">
      <c r="B49" s="81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45">
      <c r="B50" s="72">
        <f>0.25*$F$8</f>
        <v>0</v>
      </c>
      <c r="C50" s="73">
        <f>(2350/61.7)*B50*0.395</f>
        <v>0</v>
      </c>
      <c r="D50" s="66"/>
      <c r="E50" s="73">
        <f t="shared" ref="E50:E60" si="10">C50-(34.4764881*D50-4.325744048*D50^2+0.369475446*D50^3-0.01733631*D50^4+0.000339472*D50^5)</f>
        <v>0</v>
      </c>
      <c r="F50" s="73" t="e">
        <f t="shared" ref="F50:F60" si="11">(E50*60)/Volume</f>
        <v>#DIV/0!</v>
      </c>
      <c r="G50" s="113">
        <v>20000</v>
      </c>
      <c r="H50" s="74">
        <f t="shared" ref="H50:H60" si="12">G50*Volume/60</f>
        <v>0</v>
      </c>
      <c r="I50" s="75">
        <f t="shared" ref="I50:I60" si="13">G50^2*P2a+G50*P2b+P2c</f>
        <v>0</v>
      </c>
    </row>
    <row r="51" spans="2:9" x14ac:dyDescent="0.45">
      <c r="B51" s="72">
        <f>0.4*$F$8</f>
        <v>0</v>
      </c>
      <c r="C51" s="73">
        <f t="shared" ref="C51:C60" si="14">(2350/61.7)*B51*0.395</f>
        <v>0</v>
      </c>
      <c r="D51" s="66"/>
      <c r="E51" s="73">
        <f t="shared" si="10"/>
        <v>0</v>
      </c>
      <c r="F51" s="73" t="e">
        <f t="shared" si="11"/>
        <v>#DIV/0!</v>
      </c>
      <c r="G51" s="113">
        <v>35000</v>
      </c>
      <c r="H51" s="74">
        <f t="shared" si="12"/>
        <v>0</v>
      </c>
      <c r="I51" s="75">
        <f t="shared" si="13"/>
        <v>0</v>
      </c>
    </row>
    <row r="52" spans="2:9" x14ac:dyDescent="0.45">
      <c r="B52" s="72">
        <f>0.5*$F$8</f>
        <v>0</v>
      </c>
      <c r="C52" s="73">
        <f t="shared" si="14"/>
        <v>0</v>
      </c>
      <c r="D52" s="115"/>
      <c r="E52" s="73">
        <f t="shared" si="10"/>
        <v>0</v>
      </c>
      <c r="F52" s="73" t="e">
        <f t="shared" si="11"/>
        <v>#DIV/0!</v>
      </c>
      <c r="G52" s="113">
        <v>50000</v>
      </c>
      <c r="H52" s="74">
        <f t="shared" si="12"/>
        <v>0</v>
      </c>
      <c r="I52" s="75">
        <f t="shared" si="13"/>
        <v>0</v>
      </c>
    </row>
    <row r="53" spans="2:9" x14ac:dyDescent="0.45">
      <c r="B53" s="72">
        <f>0.6*$F$8</f>
        <v>0</v>
      </c>
      <c r="C53" s="73">
        <f t="shared" si="14"/>
        <v>0</v>
      </c>
      <c r="D53" s="115"/>
      <c r="E53" s="73">
        <f t="shared" si="10"/>
        <v>0</v>
      </c>
      <c r="F53" s="73" t="e">
        <f t="shared" si="11"/>
        <v>#DIV/0!</v>
      </c>
      <c r="G53" s="113">
        <v>60000</v>
      </c>
      <c r="H53" s="74">
        <f t="shared" si="12"/>
        <v>0</v>
      </c>
      <c r="I53" s="75">
        <f t="shared" si="13"/>
        <v>0</v>
      </c>
    </row>
    <row r="54" spans="2:9" x14ac:dyDescent="0.45">
      <c r="B54" s="72">
        <f>0.7*$F$8</f>
        <v>0</v>
      </c>
      <c r="C54" s="73">
        <f t="shared" si="14"/>
        <v>0</v>
      </c>
      <c r="D54" s="115"/>
      <c r="E54" s="73">
        <f t="shared" si="10"/>
        <v>0</v>
      </c>
      <c r="F54" s="73" t="e">
        <f t="shared" si="11"/>
        <v>#DIV/0!</v>
      </c>
      <c r="G54" s="113">
        <v>70000</v>
      </c>
      <c r="H54" s="74">
        <f t="shared" si="12"/>
        <v>0</v>
      </c>
      <c r="I54" s="75">
        <f t="shared" si="13"/>
        <v>0</v>
      </c>
    </row>
    <row r="55" spans="2:9" x14ac:dyDescent="0.45">
      <c r="B55" s="72">
        <f>0.75*$F$8</f>
        <v>0</v>
      </c>
      <c r="C55" s="73">
        <f t="shared" si="14"/>
        <v>0</v>
      </c>
      <c r="D55" s="115"/>
      <c r="E55" s="73">
        <f t="shared" si="10"/>
        <v>0</v>
      </c>
      <c r="F55" s="73" t="e">
        <f t="shared" si="11"/>
        <v>#DIV/0!</v>
      </c>
      <c r="G55" s="113">
        <v>75000</v>
      </c>
      <c r="H55" s="74">
        <f t="shared" si="12"/>
        <v>0</v>
      </c>
      <c r="I55" s="75">
        <f t="shared" si="13"/>
        <v>0</v>
      </c>
    </row>
    <row r="56" spans="2:9" x14ac:dyDescent="0.45">
      <c r="B56" s="72">
        <f>0.8*$F$8</f>
        <v>0</v>
      </c>
      <c r="C56" s="73">
        <f t="shared" si="14"/>
        <v>0</v>
      </c>
      <c r="D56" s="115"/>
      <c r="E56" s="73">
        <f t="shared" si="10"/>
        <v>0</v>
      </c>
      <c r="F56" s="73" t="e">
        <f t="shared" si="11"/>
        <v>#DIV/0!</v>
      </c>
      <c r="G56" s="113">
        <v>80000</v>
      </c>
      <c r="H56" s="74">
        <f t="shared" si="12"/>
        <v>0</v>
      </c>
      <c r="I56" s="75">
        <f t="shared" si="13"/>
        <v>0</v>
      </c>
    </row>
    <row r="57" spans="2:9" x14ac:dyDescent="0.45">
      <c r="B57" s="72">
        <f>0.85*$F$8</f>
        <v>0</v>
      </c>
      <c r="C57" s="73">
        <f t="shared" si="14"/>
        <v>0</v>
      </c>
      <c r="D57" s="115"/>
      <c r="E57" s="73">
        <f t="shared" si="10"/>
        <v>0</v>
      </c>
      <c r="F57" s="73" t="e">
        <f t="shared" si="11"/>
        <v>#DIV/0!</v>
      </c>
      <c r="G57" s="113">
        <v>85000</v>
      </c>
      <c r="H57" s="74">
        <f t="shared" si="12"/>
        <v>0</v>
      </c>
      <c r="I57" s="75">
        <f t="shared" si="13"/>
        <v>0</v>
      </c>
    </row>
    <row r="58" spans="2:9" x14ac:dyDescent="0.45">
      <c r="B58" s="72">
        <f>0.9*$F$8</f>
        <v>0</v>
      </c>
      <c r="C58" s="73">
        <f t="shared" si="14"/>
        <v>0</v>
      </c>
      <c r="D58" s="115"/>
      <c r="E58" s="73">
        <f t="shared" si="10"/>
        <v>0</v>
      </c>
      <c r="F58" s="73" t="e">
        <f t="shared" si="11"/>
        <v>#DIV/0!</v>
      </c>
      <c r="G58" s="113">
        <v>90000</v>
      </c>
      <c r="H58" s="74">
        <f t="shared" si="12"/>
        <v>0</v>
      </c>
      <c r="I58" s="75">
        <f t="shared" si="13"/>
        <v>0</v>
      </c>
    </row>
    <row r="59" spans="2:9" x14ac:dyDescent="0.45">
      <c r="B59" s="72">
        <f>0.95*$F$8</f>
        <v>0</v>
      </c>
      <c r="C59" s="73">
        <f t="shared" si="14"/>
        <v>0</v>
      </c>
      <c r="D59" s="115"/>
      <c r="E59" s="73">
        <f t="shared" si="10"/>
        <v>0</v>
      </c>
      <c r="F59" s="73" t="e">
        <f t="shared" si="11"/>
        <v>#DIV/0!</v>
      </c>
      <c r="G59" s="113">
        <v>95000</v>
      </c>
      <c r="H59" s="74">
        <f t="shared" si="12"/>
        <v>0</v>
      </c>
      <c r="I59" s="75">
        <f t="shared" si="13"/>
        <v>0</v>
      </c>
    </row>
    <row r="60" spans="2:9" x14ac:dyDescent="0.45">
      <c r="B60" s="76">
        <f>1*$F$8</f>
        <v>0</v>
      </c>
      <c r="C60" s="77">
        <f t="shared" si="14"/>
        <v>0</v>
      </c>
      <c r="D60" s="135"/>
      <c r="E60" s="77">
        <f t="shared" si="10"/>
        <v>0</v>
      </c>
      <c r="F60" s="77" t="e">
        <f t="shared" si="11"/>
        <v>#DIV/0!</v>
      </c>
      <c r="G60" s="114">
        <v>100000</v>
      </c>
      <c r="H60" s="78">
        <f t="shared" si="12"/>
        <v>0</v>
      </c>
      <c r="I60" s="79">
        <f t="shared" si="13"/>
        <v>0</v>
      </c>
    </row>
    <row r="62" spans="2:9" x14ac:dyDescent="0.45">
      <c r="F62" s="27"/>
    </row>
    <row r="63" spans="2:9" x14ac:dyDescent="0.45">
      <c r="B63" s="26"/>
      <c r="C63" s="25"/>
      <c r="D63" s="25"/>
      <c r="F63" s="19"/>
    </row>
    <row r="64" spans="2:9" x14ac:dyDescent="0.45">
      <c r="B64" s="26"/>
      <c r="C64" s="25"/>
      <c r="D64" s="25"/>
      <c r="E64" s="23"/>
      <c r="F64" s="19"/>
    </row>
    <row r="65" spans="3:6" x14ac:dyDescent="0.4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171450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19050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3</xdr:row>
                <xdr:rowOff>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2019-09-08T19:19:36Z</dcterms:modified>
</cp:coreProperties>
</file>