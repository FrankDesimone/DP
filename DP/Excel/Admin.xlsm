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FBFFE131-3C35-4E06-8E74-F7176F83C9FE}" xr6:coauthVersionLast="43" xr6:coauthVersionMax="43" xr10:uidLastSave="{00000000-0000-0000-0000-000000000000}"/>
  <bookViews>
    <workbookView xWindow="-120" yWindow="-120" windowWidth="29040" windowHeight="15990" activeTab="1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E19" i="19"/>
  <c r="F19" i="19" s="1"/>
  <c r="C19" i="19"/>
  <c r="B19" i="19"/>
  <c r="I18" i="19"/>
  <c r="H18" i="19"/>
  <c r="E18" i="19"/>
  <c r="F18" i="19" s="1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<sst xmlns="http://schemas.openxmlformats.org/spreadsheetml/2006/main" count="424" uniqueCount="252">
  <si>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</si>
  <si>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</si>
  <si>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</si>
  <si>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</si>
  <si>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</si>
  <si>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</si>
  <si>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</si>
  <si>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</si>
  <si>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</si>
  <si>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</si>
  <si>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</si>
  <si>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</si>
  <si>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</si>
  <si>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</si>
  <si>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</si>
  <si>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</si>
  <si>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</si>
  <si>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</si>
  <si>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</si>
  <si>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</si>
  <si>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</si>
  <si>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</si>
  <si>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</si>
  <si>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</si>
  <si>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</si>
  <si>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</si>
  <si>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</si>
  <si>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</si>
  <si>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</si>
  <si>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</si>
  <si>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</si>
  <si>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</si>
  <si>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</si>
  <si>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</si>
  <si>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</si>
  <si>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</si>
  <si>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</si>
  <si>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</si>
  <si>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</si>
  <si>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</si>
  <si>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</si>
  <si>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</si>
  <si>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</si>
  <si>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</si>
  <si>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</si>
  <si>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</si>
  <si>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</si>
  <si>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</si>
  <si>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</si>
  <si>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</si>
  <si>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</si>
  <si>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</si>
  <si>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</si>
  <si>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</si>
  <si>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</si>
  <si>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</si>
  <si>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</si>
  <si>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</si>
  <si>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</si>
  <si>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</si>
  <si>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</si>
  <si>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</si>
  <si>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</si>
  <si>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</si>
  <si>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</si>
  <si>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</si>
  <si>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</si>
  <si>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</si>
  <si>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</si>
  <si>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</si>
  <si>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</si>
  <si>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</si>
  <si>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</si>
  <si>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</si>
  <si>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</si>
  <si>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</si>
  <si>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</si>
  <si>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</si>
  <si>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</si>
  <si>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</si>
  <si>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</si>
  <si>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</si>
  <si>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</si>
  <si>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</si>
  <si>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</si>
  <si>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</si>
  <si>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</si>
  <si>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</si>
  <si>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</si>
  <si>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</si>
  <si>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</si>
  <si>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</si>
  <si>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</si>
  <si>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</si>
  <si>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</si>
  <si>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</si>
  <si>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</si>
  <si>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</si>
  <si>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</si>
  <si>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</si>
  <si>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</si>
  <si>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</si>
  <si>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</si>
  <si>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</si>
  <si>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</si>
  <si>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</si>
  <si>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</si>
  <si>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</si>
  <si>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</si>
  <si>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</si>
  <si>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</si>
  <si>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</si>
  <si>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</si>
  <si>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</si>
  <si>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</si>
  <si>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</si>
  <si>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</si>
  <si>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</si>
  <si>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</si>
  <si>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</si>
  <si>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</si>
  <si>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</si>
  <si>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</si>
  <si>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</si>
  <si>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</si>
  <si>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</si>
  <si>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</si>
  <si>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</si>
  <si>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</si>
  <si>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</si>
  <si>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</si>
  <si>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</si>
  <si>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</si>
  <si>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</si>
  <si>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</si>
  <si>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</si>
  <si>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</si>
  <si>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</si>
  <si>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</si>
  <si>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</si>
  <si>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</si>
  <si>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</si>
  <si>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</si>
  <si>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</si>
  <si>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</si>
  <si>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</si>
  <si>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</si>
  <si>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</si>
  <si>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</si>
  <si>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</si>
  <si>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</si>
  <si>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</si>
  <si>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</si>
  <si>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</si>
  <si>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</si>
  <si>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</si>
  <si>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</si>
  <si>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</si>
  <si>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</si>
  <si>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</si>
  <si>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</si>
  <si>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</si>
  <si>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</si>
  <si>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</si>
  <si>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</si>
  <si>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</si>
  <si>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</si>
  <si>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</si>
  <si>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</si>
  <si>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</si>
  <si>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</si>
  <si>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</si>
  <si>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</si>
  <si>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</si>
  <si>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</si>
  <si>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</si>
  <si>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</si>
  <si>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</si>
  <si>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</si>
  <si>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</si>
  <si>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</si>
  <si>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</si>
  <si>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</si>
  <si>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</si>
  <si>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</si>
  <si>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</si>
  <si>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</si>
  <si>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</si>
  <si>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</si>
  <si>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</si>
  <si>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</si>
  <si>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</si>
  <si>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</si>
  <si>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</si>
  <si>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</si>
  <si>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</si>
  <si>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</si>
  <si>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</si>
  <si>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</si>
  <si>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</si>
  <si>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</si>
  <si>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</si>
  <si>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</si>
  <si>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</si>
  <si>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</si>
  <si>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</si>
  <si>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</si>
  <si>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</si>
  <si>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</si>
  <si>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</si>
  <si>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</si>
  <si>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</si>
  <si>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</si>
  <si>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</si>
  <si>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</si>
  <si>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</si>
  <si>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</si>
  <si>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</si>
  <si>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</si>
  <si>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</si>
  <si>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</si>
  <si>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</si>
  <si>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</si>
  <si>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</si>
  <si>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</si>
  <si>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</si>
  <si>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</si>
  <si>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</si>
  <si>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</si>
  <si>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</si>
  <si>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</si>
  <si>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</si>
  <si>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</si>
  <si>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</si>
  <si>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</si>
  <si>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</si>
  <si>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</si>
  <si>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</si>
  <si>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</si>
  <si>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</si>
  <si>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</si>
  <si>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</si>
  <si>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</si>
  <si>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32132132</t>
  </si>
  <si>
    <t>1321321321</t>
  </si>
  <si>
    <t>mod 7</t>
  </si>
  <si>
    <t>part #</t>
  </si>
  <si>
    <t>s14:28</t>
  </si>
  <si>
    <t>Serial123</t>
  </si>
  <si>
    <t>Modl123</t>
  </si>
  <si>
    <t>s14:28 / part #</t>
  </si>
  <si>
    <t>Contaminats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</si>
</sst>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8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3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49.emf"/><Relationship Id="rId18" Type="http://schemas.openxmlformats.org/officeDocument/2006/relationships/image" Target="../media/image66.emf"/><Relationship Id="rId3" Type="http://schemas.openxmlformats.org/officeDocument/2006/relationships/image" Target="../media/image50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5.emf"/><Relationship Id="rId2" Type="http://schemas.openxmlformats.org/officeDocument/2006/relationships/image" Target="../media/image51.emf"/><Relationship Id="rId16" Type="http://schemas.openxmlformats.org/officeDocument/2006/relationships/image" Target="../media/image64.emf"/><Relationship Id="rId20" Type="http://schemas.openxmlformats.org/officeDocument/2006/relationships/image" Target="../media/image68.emf"/><Relationship Id="rId1" Type="http://schemas.openxmlformats.org/officeDocument/2006/relationships/image" Target="../media/image52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3.emf"/><Relationship Id="rId10" Type="http://schemas.openxmlformats.org/officeDocument/2006/relationships/image" Target="../media/image59.emf"/><Relationship Id="rId19" Type="http://schemas.openxmlformats.org/officeDocument/2006/relationships/image" Target="../media/image67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2" Type="http://schemas.openxmlformats.org/officeDocument/2006/relationships/image" Target="../media/image83.emf"/><Relationship Id="rId1" Type="http://schemas.openxmlformats.org/officeDocument/2006/relationships/image" Target="../media/image76.emf"/><Relationship Id="rId6" Type="http://schemas.openxmlformats.org/officeDocument/2006/relationships/image" Target="../media/image79.emf"/><Relationship Id="rId11" Type="http://schemas.openxmlformats.org/officeDocument/2006/relationships/image" Target="../media/image73.emf"/><Relationship Id="rId5" Type="http://schemas.openxmlformats.org/officeDocument/2006/relationships/image" Target="../media/image80.emf"/><Relationship Id="rId10" Type="http://schemas.openxmlformats.org/officeDocument/2006/relationships/image" Target="../media/image74.emf"/><Relationship Id="rId4" Type="http://schemas.openxmlformats.org/officeDocument/2006/relationships/image" Target="../media/image81.emf"/><Relationship Id="rId9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2.emf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control" Target="../activeX/activeX82.xml"/><Relationship Id="rId18" Type="http://schemas.openxmlformats.org/officeDocument/2006/relationships/control" Target="../activeX/activeX85.xml"/><Relationship Id="rId26" Type="http://schemas.openxmlformats.org/officeDocument/2006/relationships/control" Target="../activeX/activeX89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0.emf"/><Relationship Id="rId7" Type="http://schemas.openxmlformats.org/officeDocument/2006/relationships/image" Target="../media/image74.emf"/><Relationship Id="rId12" Type="http://schemas.openxmlformats.org/officeDocument/2006/relationships/control" Target="../activeX/activeX81.xml"/><Relationship Id="rId17" Type="http://schemas.openxmlformats.org/officeDocument/2006/relationships/image" Target="../media/image78.emf"/><Relationship Id="rId25" Type="http://schemas.openxmlformats.org/officeDocument/2006/relationships/image" Target="../media/image82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29" Type="http://schemas.openxmlformats.org/officeDocument/2006/relationships/control" Target="../activeX/activeX9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image" Target="../media/image76.emf"/><Relationship Id="rId24" Type="http://schemas.openxmlformats.org/officeDocument/2006/relationships/control" Target="../activeX/activeX88.xml"/><Relationship Id="rId5" Type="http://schemas.openxmlformats.org/officeDocument/2006/relationships/image" Target="../media/image73.emf"/><Relationship Id="rId15" Type="http://schemas.openxmlformats.org/officeDocument/2006/relationships/image" Target="../media/image77.emf"/><Relationship Id="rId23" Type="http://schemas.openxmlformats.org/officeDocument/2006/relationships/image" Target="../media/image81.emf"/><Relationship Id="rId28" Type="http://schemas.openxmlformats.org/officeDocument/2006/relationships/image" Target="../media/image83.emf"/><Relationship Id="rId10" Type="http://schemas.openxmlformats.org/officeDocument/2006/relationships/control" Target="../activeX/activeX80.xml"/><Relationship Id="rId19" Type="http://schemas.openxmlformats.org/officeDocument/2006/relationships/image" Target="../media/image79.emf"/><Relationship Id="rId31" Type="http://schemas.openxmlformats.org/officeDocument/2006/relationships/control" Target="../activeX/activeX93.xml"/><Relationship Id="rId4" Type="http://schemas.openxmlformats.org/officeDocument/2006/relationships/control" Target="../activeX/activeX77.xml"/><Relationship Id="rId9" Type="http://schemas.openxmlformats.org/officeDocument/2006/relationships/image" Target="../media/image75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Relationship Id="rId27" Type="http://schemas.openxmlformats.org/officeDocument/2006/relationships/control" Target="../activeX/activeX90.xml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84.emf"/><Relationship Id="rId4" Type="http://schemas.openxmlformats.org/officeDocument/2006/relationships/control" Target="../activeX/activeX94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Q9" sqref="Q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231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45</v>
      </c>
      <c r="C2" s="17">
        <v>18</v>
      </c>
    </row>
    <row r="3" spans="2:5" ht="30" customHeight="1" x14ac:dyDescent="0.25">
      <c r="B3" s="13" t="s">
        <v>45</v>
      </c>
      <c r="C3" s="16" t="s">
        <v>235</v>
      </c>
      <c r="E3" s="54"/>
    </row>
    <row r="4" spans="2:5" ht="30" customHeight="1" x14ac:dyDescent="0.25">
      <c r="B4" s="13" t="s">
        <v>225</v>
      </c>
      <c r="C4" s="16" t="s">
        <v>239</v>
      </c>
      <c r="E4" s="51"/>
    </row>
    <row r="5" spans="2:5" ht="30" customHeight="1" x14ac:dyDescent="0.25">
      <c r="B5" s="13" t="s">
        <v>46</v>
      </c>
      <c r="C5" s="16" t="s">
        <v>236</v>
      </c>
      <c r="E5" s="54"/>
    </row>
    <row r="6" spans="2:5" ht="30" customHeight="1" x14ac:dyDescent="0.25">
      <c r="B6" s="13" t="s">
        <v>47</v>
      </c>
      <c r="C6" s="16" t="s">
        <v>232</v>
      </c>
    </row>
    <row r="7" spans="2:5" ht="30" customHeight="1" x14ac:dyDescent="0.25">
      <c r="B7" s="13" t="s">
        <v>48</v>
      </c>
      <c r="C7" s="16" t="s">
        <v>237</v>
      </c>
    </row>
    <row r="8" spans="2:5" ht="30" customHeight="1" x14ac:dyDescent="0.25">
      <c r="B8" s="13" t="s">
        <v>49</v>
      </c>
      <c r="C8" s="16"/>
    </row>
    <row r="9" spans="2:5" ht="30" customHeight="1" x14ac:dyDescent="0.25">
      <c r="B9" s="13" t="s">
        <v>50</v>
      </c>
      <c r="C9" s="16" t="s">
        <v>238</v>
      </c>
    </row>
    <row r="10" spans="2:5" ht="30" customHeight="1" x14ac:dyDescent="0.25">
      <c r="B10" s="13" t="s">
        <v>51</v>
      </c>
      <c r="C10" s="16"/>
    </row>
    <row r="11" spans="2:5" ht="30" customHeight="1" x14ac:dyDescent="0.25">
      <c r="B11" s="13" t="s">
        <v>192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187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35</v>
      </c>
      <c r="B2" s="14"/>
    </row>
    <row r="3" spans="1:7" ht="30" customHeight="1" x14ac:dyDescent="0.25">
      <c r="A3" s="6" t="s">
        <v>43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44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41</v>
      </c>
      <c r="B12" s="18"/>
    </row>
    <row r="13" spans="1:7" ht="30" customHeight="1" x14ac:dyDescent="0.25">
      <c r="A13" s="6" t="s">
        <v>42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242</v>
      </c>
      <c r="B3" s="78" t="s">
        <v>243</v>
      </c>
      <c r="D3" s="54"/>
    </row>
    <row r="4" spans="1:4" ht="30" customHeight="1" x14ac:dyDescent="0.25">
      <c r="A4" s="6" t="s">
        <v>33</v>
      </c>
      <c r="B4" s="78" t="s">
        <v>244</v>
      </c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 t="s">
        <v>245</v>
      </c>
    </row>
    <row r="7" spans="1:4" ht="30" customHeight="1" x14ac:dyDescent="0.25">
      <c r="A7" s="6" t="s">
        <v>12</v>
      </c>
      <c r="B7" s="16">
        <v>2016</v>
      </c>
    </row>
    <row r="8" spans="1:4" ht="30" customHeight="1" x14ac:dyDescent="0.25">
      <c r="A8" s="6" t="s">
        <v>229</v>
      </c>
      <c r="B8" s="16">
        <v>0</v>
      </c>
    </row>
    <row r="9" spans="1:4" ht="30" customHeight="1" x14ac:dyDescent="0.25">
      <c r="A9" s="6" t="s">
        <v>230</v>
      </c>
      <c r="B9" s="16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32</v>
      </c>
      <c r="B3" s="79" t="s">
        <v>248</v>
      </c>
      <c r="D3" s="77"/>
    </row>
    <row r="4" spans="1:4" ht="30" customHeight="1" x14ac:dyDescent="0.25">
      <c r="A4" s="6" t="s">
        <v>10</v>
      </c>
      <c r="B4" s="16"/>
    </row>
    <row r="5" spans="1:4" ht="30" customHeight="1" x14ac:dyDescent="0.25">
      <c r="A5" s="6" t="s">
        <v>11</v>
      </c>
      <c r="B5" s="16" t="s">
        <v>249</v>
      </c>
    </row>
    <row r="6" spans="1:4" ht="30" customHeight="1" x14ac:dyDescent="0.25">
      <c r="A6" s="6" t="s">
        <v>12</v>
      </c>
      <c r="B6" s="52">
        <v>2016</v>
      </c>
    </row>
    <row r="7" spans="1:4" ht="30" customHeight="1" x14ac:dyDescent="0.25">
      <c r="A7" s="6"/>
      <c r="B7" s="10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34</v>
      </c>
      <c r="B2" s="14"/>
    </row>
    <row r="3" spans="1:5" ht="30" customHeight="1" x14ac:dyDescent="0.25">
      <c r="A3" s="6" t="s">
        <v>240</v>
      </c>
      <c r="B3" s="16" t="s">
        <v>241</v>
      </c>
      <c r="E3" t="s">
        <v>233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35</v>
      </c>
      <c r="B2" s="14"/>
    </row>
    <row r="3" spans="1:5" ht="30" customHeight="1" x14ac:dyDescent="0.25">
      <c r="A3" s="6" t="s">
        <v>38</v>
      </c>
      <c r="B3" s="79" t="s">
        <v>247</v>
      </c>
      <c r="E3" s="54"/>
    </row>
    <row r="4" spans="1:5" ht="30" customHeight="1" x14ac:dyDescent="0.25">
      <c r="A4" s="6" t="s">
        <v>39</v>
      </c>
      <c r="B4" s="79" t="s">
        <v>246</v>
      </c>
    </row>
    <row r="5" spans="1:5" ht="30" customHeight="1" x14ac:dyDescent="0.25">
      <c r="A5" s="6" t="s">
        <v>14</v>
      </c>
      <c r="B5" s="16" t="s">
        <v>232</v>
      </c>
    </row>
    <row r="6" spans="1:5" ht="30" customHeight="1" x14ac:dyDescent="0.25">
      <c r="A6" s="6" t="s">
        <v>37</v>
      </c>
      <c r="B6" s="16" t="s">
        <v>137</v>
      </c>
    </row>
    <row r="7" spans="1:5" ht="30" customHeight="1" x14ac:dyDescent="0.25">
      <c r="A7" s="6" t="s">
        <v>15</v>
      </c>
      <c r="B7" s="16" t="s">
        <v>138</v>
      </c>
    </row>
    <row r="8" spans="1:5" ht="30" customHeight="1" x14ac:dyDescent="0.25">
      <c r="A8" s="6" t="s">
        <v>40</v>
      </c>
      <c r="B8" s="16" t="s">
        <v>136</v>
      </c>
    </row>
    <row r="9" spans="1:5" ht="30" customHeight="1" x14ac:dyDescent="0.25">
      <c r="A9" s="6" t="s">
        <v>16</v>
      </c>
      <c r="B9" s="16">
        <v>5</v>
      </c>
    </row>
    <row r="10" spans="1:5" ht="30" customHeight="1" x14ac:dyDescent="0.25">
      <c r="A10" s="6" t="s">
        <v>17</v>
      </c>
      <c r="B10" s="16">
        <v>6</v>
      </c>
    </row>
    <row r="11" spans="1:5" ht="30" customHeight="1" x14ac:dyDescent="0.25">
      <c r="A11" s="6" t="s">
        <v>18</v>
      </c>
      <c r="B11" s="16">
        <v>7</v>
      </c>
    </row>
    <row r="12" spans="1:5" ht="30" customHeight="1" x14ac:dyDescent="0.25">
      <c r="A12" s="6" t="s">
        <v>19</v>
      </c>
      <c r="B12" s="16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J2" sqref="J2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3">
      <c r="B4" s="6" t="s">
        <v>195</v>
      </c>
      <c r="H4" s="63"/>
    </row>
    <row r="5" spans="2:13" ht="18" customHeight="1" x14ac:dyDescent="0.25">
      <c r="B5" s="6" t="s">
        <v>199</v>
      </c>
      <c r="C5" s="2"/>
      <c r="M5" s="6"/>
    </row>
    <row r="6" spans="2:13" ht="18" customHeight="1" x14ac:dyDescent="0.25">
      <c r="B6" s="6" t="s">
        <v>7</v>
      </c>
      <c r="C6" s="3">
        <v>43590.760459606485</v>
      </c>
      <c r="M6" s="6"/>
    </row>
    <row r="7" spans="2:13" ht="18" customHeight="1" x14ac:dyDescent="0.25">
      <c r="B7" s="6" t="s">
        <v>226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200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234</v>
      </c>
      <c r="C12" s="2"/>
    </row>
    <row r="13" spans="2:13" ht="18" customHeight="1" x14ac:dyDescent="0.25">
      <c r="B13" s="6" t="s">
        <v>227</v>
      </c>
      <c r="C13" s="73">
        <v>500000</v>
      </c>
    </row>
    <row r="14" spans="2:13" ht="18" customHeight="1" x14ac:dyDescent="0.25">
      <c r="B14" s="6" t="s">
        <v>228</v>
      </c>
      <c r="C14" s="72">
        <v>5000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autoPict="0" r:id="rId47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101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  <c r="N1" t="s">
        <v>162</v>
      </c>
      <c r="O1" t="s">
        <v>163</v>
      </c>
      <c r="P1" t="s">
        <v>164</v>
      </c>
      <c r="Q1" t="s">
        <v>165</v>
      </c>
      <c r="R1" t="s">
        <v>166</v>
      </c>
      <c r="S1" t="s">
        <v>167</v>
      </c>
      <c r="T1" t="s">
        <v>168</v>
      </c>
      <c r="U1" t="s">
        <v>169</v>
      </c>
      <c r="V1" t="s">
        <v>170</v>
      </c>
      <c r="W1" t="s">
        <v>171</v>
      </c>
      <c r="X1" t="s">
        <v>172</v>
      </c>
      <c r="Y1" t="s">
        <v>173</v>
      </c>
      <c r="Z1" t="s">
        <v>174</v>
      </c>
      <c r="AA1" t="s">
        <v>175</v>
      </c>
      <c r="AB1" t="s">
        <v>176</v>
      </c>
      <c r="AC1" t="s">
        <v>177</v>
      </c>
      <c r="AD1" t="s">
        <v>178</v>
      </c>
      <c r="AE1" t="s">
        <v>179</v>
      </c>
      <c r="AF1" t="s">
        <v>180</v>
      </c>
      <c r="AG1" t="s">
        <v>181</v>
      </c>
      <c r="AH1" t="s">
        <v>182</v>
      </c>
      <c r="AI1" t="s">
        <v>183</v>
      </c>
      <c r="AJ1" t="s">
        <v>184</v>
      </c>
      <c r="AK1" t="s">
        <v>101</v>
      </c>
      <c r="AL1" t="s">
        <v>187</v>
      </c>
      <c r="AM1" t="s">
        <v>188</v>
      </c>
      <c r="AN1" t="s">
        <v>102</v>
      </c>
      <c r="AO1" t="s">
        <v>103</v>
      </c>
      <c r="AP1" t="s">
        <v>104</v>
      </c>
      <c r="AQ1" t="s">
        <v>189</v>
      </c>
      <c r="AR1" t="s">
        <v>105</v>
      </c>
      <c r="AS1" t="s">
        <v>106</v>
      </c>
      <c r="AT1" t="s">
        <v>107</v>
      </c>
      <c r="AU1" t="s">
        <v>190</v>
      </c>
      <c r="AV1" t="s">
        <v>108</v>
      </c>
      <c r="AW1" t="s">
        <v>109</v>
      </c>
      <c r="AX1" t="s">
        <v>110</v>
      </c>
      <c r="AY1" t="s">
        <v>204</v>
      </c>
      <c r="AZ1" t="s">
        <v>201</v>
      </c>
      <c r="BA1" t="s">
        <v>113</v>
      </c>
      <c r="BB1" t="s">
        <v>114</v>
      </c>
      <c r="BC1" t="s">
        <v>115</v>
      </c>
      <c r="BD1" t="s">
        <v>116</v>
      </c>
      <c r="BE1" t="s">
        <v>202</v>
      </c>
      <c r="BF1" t="s">
        <v>203</v>
      </c>
      <c r="BG1" t="s">
        <v>112</v>
      </c>
      <c r="BH1" t="s">
        <v>118</v>
      </c>
      <c r="BI1" t="s">
        <v>29</v>
      </c>
      <c r="BJ1" t="s">
        <v>2</v>
      </c>
      <c r="BK1" t="s">
        <v>4</v>
      </c>
      <c r="BL1" t="s">
        <v>117</v>
      </c>
      <c r="BM1" t="s">
        <v>3</v>
      </c>
      <c r="BN1" t="s">
        <v>30</v>
      </c>
      <c r="BO1" t="s">
        <v>118</v>
      </c>
      <c r="BP1" t="s">
        <v>29</v>
      </c>
      <c r="BQ1" t="s">
        <v>2</v>
      </c>
      <c r="BR1" t="s">
        <v>4</v>
      </c>
      <c r="BS1" t="s">
        <v>117</v>
      </c>
      <c r="BT1" t="s">
        <v>3</v>
      </c>
      <c r="BU1" t="s">
        <v>119</v>
      </c>
      <c r="BV1" t="s">
        <v>111</v>
      </c>
      <c r="BW1" t="s">
        <v>120</v>
      </c>
      <c r="BX1" t="s">
        <v>121</v>
      </c>
      <c r="BY1" t="s">
        <v>15</v>
      </c>
      <c r="BZ1" t="s">
        <v>11</v>
      </c>
      <c r="CA1" t="s">
        <v>12</v>
      </c>
      <c r="CB1" t="s">
        <v>111</v>
      </c>
      <c r="CC1" t="s">
        <v>15</v>
      </c>
      <c r="CD1" t="s">
        <v>120</v>
      </c>
      <c r="CE1" t="s">
        <v>11</v>
      </c>
      <c r="CF1" t="s">
        <v>12</v>
      </c>
      <c r="CG1" t="s">
        <v>122</v>
      </c>
      <c r="CH1" t="s">
        <v>123</v>
      </c>
      <c r="CI1" t="s">
        <v>124</v>
      </c>
      <c r="CJ1" t="s">
        <v>125</v>
      </c>
      <c r="CK1" t="s">
        <v>15</v>
      </c>
      <c r="CL1" t="s">
        <v>126</v>
      </c>
      <c r="CM1" t="s">
        <v>127</v>
      </c>
      <c r="CN1" t="s">
        <v>128</v>
      </c>
      <c r="CO1" t="s">
        <v>129</v>
      </c>
      <c r="CP1" t="s">
        <v>120</v>
      </c>
      <c r="CQ1" t="s">
        <v>130</v>
      </c>
      <c r="CR1" t="s">
        <v>131</v>
      </c>
      <c r="CS1" t="s">
        <v>132</v>
      </c>
      <c r="CT1" t="s">
        <v>133</v>
      </c>
      <c r="CU1" t="s">
        <v>134</v>
      </c>
      <c r="CV1" t="s">
        <v>139</v>
      </c>
      <c r="CW1" t="s">
        <v>140</v>
      </c>
      <c r="CX1" t="s">
        <v>141</v>
      </c>
      <c r="CY1" t="s">
        <v>142</v>
      </c>
      <c r="CZ1" t="s">
        <v>211</v>
      </c>
      <c r="DA1" t="s">
        <v>143</v>
      </c>
      <c r="DB1" t="s">
        <v>144</v>
      </c>
      <c r="DC1" t="s">
        <v>145</v>
      </c>
      <c r="DD1" t="s">
        <v>146</v>
      </c>
      <c r="DE1" t="s">
        <v>212</v>
      </c>
      <c r="DF1" t="s">
        <v>213</v>
      </c>
      <c r="DG1" t="s">
        <v>214</v>
      </c>
      <c r="DH1" t="s">
        <v>215</v>
      </c>
      <c r="DI1" t="s">
        <v>147</v>
      </c>
      <c r="DJ1" t="s">
        <v>148</v>
      </c>
      <c r="DK1" t="s">
        <v>149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216</v>
      </c>
      <c r="AM2" t="s">
        <v>191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217</v>
      </c>
      <c r="BA2" t="s">
        <v>218</v>
      </c>
      <c r="BC2" t="s">
        <v>219</v>
      </c>
      <c r="BD2" t="s">
        <v>220</v>
      </c>
      <c r="BE2">
        <v>2</v>
      </c>
      <c r="BF2" t="s">
        <v>135</v>
      </c>
      <c r="BG2" t="s">
        <v>217</v>
      </c>
      <c r="BH2" t="s">
        <v>218</v>
      </c>
      <c r="BJ2" t="s">
        <v>219</v>
      </c>
      <c r="BK2" t="s">
        <v>220</v>
      </c>
      <c r="BL2">
        <v>2</v>
      </c>
      <c r="BM2" t="s">
        <v>135</v>
      </c>
      <c r="BN2" t="s">
        <v>218</v>
      </c>
      <c r="BO2" t="s">
        <v>218</v>
      </c>
      <c r="BP2" t="s">
        <v>209</v>
      </c>
      <c r="BQ2" t="s">
        <v>219</v>
      </c>
      <c r="BR2" t="s">
        <v>220</v>
      </c>
      <c r="BS2">
        <v>2</v>
      </c>
      <c r="BT2" t="s">
        <v>135</v>
      </c>
      <c r="BU2">
        <v>1</v>
      </c>
      <c r="BV2">
        <v>20</v>
      </c>
      <c r="BW2" t="s">
        <v>196</v>
      </c>
      <c r="BX2" t="s">
        <v>197</v>
      </c>
      <c r="BY2" t="s">
        <v>137</v>
      </c>
      <c r="BZ2" t="s">
        <v>198</v>
      </c>
      <c r="CA2">
        <v>2014</v>
      </c>
      <c r="CB2">
        <v>9</v>
      </c>
      <c r="CC2" t="s">
        <v>221</v>
      </c>
      <c r="CD2" t="s">
        <v>222</v>
      </c>
      <c r="CE2" t="s">
        <v>222</v>
      </c>
      <c r="CF2">
        <v>1234</v>
      </c>
      <c r="CG2">
        <v>3</v>
      </c>
      <c r="CH2">
        <v>1</v>
      </c>
      <c r="CI2" t="s">
        <v>136</v>
      </c>
      <c r="CJ2">
        <v>1</v>
      </c>
      <c r="CK2" t="s">
        <v>137</v>
      </c>
      <c r="CL2">
        <v>1</v>
      </c>
      <c r="CM2" t="s">
        <v>138</v>
      </c>
      <c r="CN2">
        <v>0</v>
      </c>
      <c r="CO2" t="s">
        <v>223</v>
      </c>
      <c r="CP2" t="s">
        <v>224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216</v>
      </c>
      <c r="AM3" t="s">
        <v>191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217</v>
      </c>
      <c r="BA3" t="s">
        <v>218</v>
      </c>
      <c r="BC3" t="s">
        <v>219</v>
      </c>
      <c r="BD3" t="s">
        <v>220</v>
      </c>
      <c r="BE3">
        <v>2</v>
      </c>
      <c r="BF3" t="s">
        <v>135</v>
      </c>
      <c r="BG3" t="s">
        <v>217</v>
      </c>
      <c r="BH3" t="s">
        <v>218</v>
      </c>
      <c r="BJ3" t="s">
        <v>219</v>
      </c>
      <c r="BK3" t="s">
        <v>220</v>
      </c>
      <c r="BL3">
        <v>2</v>
      </c>
      <c r="BM3" t="s">
        <v>135</v>
      </c>
      <c r="BN3" t="s">
        <v>218</v>
      </c>
      <c r="BO3" t="s">
        <v>218</v>
      </c>
      <c r="BP3" t="s">
        <v>209</v>
      </c>
      <c r="BQ3" t="s">
        <v>219</v>
      </c>
      <c r="BR3" t="s">
        <v>220</v>
      </c>
      <c r="BS3">
        <v>2</v>
      </c>
      <c r="BT3" t="s">
        <v>135</v>
      </c>
      <c r="BU3">
        <v>1</v>
      </c>
      <c r="BV3">
        <v>20</v>
      </c>
      <c r="BW3" t="s">
        <v>196</v>
      </c>
      <c r="BX3" t="s">
        <v>197</v>
      </c>
      <c r="BY3" t="s">
        <v>137</v>
      </c>
      <c r="BZ3" t="s">
        <v>198</v>
      </c>
      <c r="CA3">
        <v>2014</v>
      </c>
      <c r="CB3">
        <v>9</v>
      </c>
      <c r="CC3" t="s">
        <v>221</v>
      </c>
      <c r="CD3" t="s">
        <v>222</v>
      </c>
      <c r="CE3" t="s">
        <v>222</v>
      </c>
      <c r="CF3">
        <v>1234</v>
      </c>
      <c r="CG3">
        <v>3</v>
      </c>
      <c r="CH3">
        <v>1</v>
      </c>
      <c r="CI3" t="s">
        <v>136</v>
      </c>
      <c r="CJ3">
        <v>1</v>
      </c>
      <c r="CK3" t="s">
        <v>137</v>
      </c>
      <c r="CL3">
        <v>1</v>
      </c>
      <c r="CM3" t="s">
        <v>138</v>
      </c>
      <c r="CN3">
        <v>0</v>
      </c>
      <c r="CO3" t="s">
        <v>223</v>
      </c>
      <c r="CP3" t="s">
        <v>224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216</v>
      </c>
      <c r="AM4" t="s">
        <v>191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217</v>
      </c>
      <c r="BA4" t="s">
        <v>218</v>
      </c>
      <c r="BC4" t="s">
        <v>219</v>
      </c>
      <c r="BD4" t="s">
        <v>220</v>
      </c>
      <c r="BE4">
        <v>2</v>
      </c>
      <c r="BF4" t="s">
        <v>135</v>
      </c>
      <c r="BG4" t="s">
        <v>217</v>
      </c>
      <c r="BH4" t="s">
        <v>218</v>
      </c>
      <c r="BJ4" t="s">
        <v>219</v>
      </c>
      <c r="BK4" t="s">
        <v>220</v>
      </c>
      <c r="BL4">
        <v>2</v>
      </c>
      <c r="BM4" t="s">
        <v>135</v>
      </c>
      <c r="BN4" t="s">
        <v>218</v>
      </c>
      <c r="BO4" t="s">
        <v>218</v>
      </c>
      <c r="BP4" t="s">
        <v>209</v>
      </c>
      <c r="BQ4" t="s">
        <v>219</v>
      </c>
      <c r="BR4" t="s">
        <v>220</v>
      </c>
      <c r="BS4">
        <v>2</v>
      </c>
      <c r="BT4" t="s">
        <v>135</v>
      </c>
      <c r="BU4">
        <v>1</v>
      </c>
      <c r="BV4">
        <v>20</v>
      </c>
      <c r="BW4" t="s">
        <v>196</v>
      </c>
      <c r="BX4" t="s">
        <v>197</v>
      </c>
      <c r="BY4" t="s">
        <v>137</v>
      </c>
      <c r="BZ4" t="s">
        <v>198</v>
      </c>
      <c r="CA4">
        <v>2014</v>
      </c>
      <c r="CB4">
        <v>9</v>
      </c>
      <c r="CC4" t="s">
        <v>221</v>
      </c>
      <c r="CD4" t="s">
        <v>222</v>
      </c>
      <c r="CE4" t="s">
        <v>222</v>
      </c>
      <c r="CF4">
        <v>1234</v>
      </c>
      <c r="CG4">
        <v>3</v>
      </c>
      <c r="CH4">
        <v>1</v>
      </c>
      <c r="CI4" t="s">
        <v>136</v>
      </c>
      <c r="CJ4">
        <v>1</v>
      </c>
      <c r="CK4" t="s">
        <v>137</v>
      </c>
      <c r="CL4">
        <v>1</v>
      </c>
      <c r="CM4" t="s">
        <v>138</v>
      </c>
      <c r="CN4">
        <v>0</v>
      </c>
      <c r="CO4" t="s">
        <v>223</v>
      </c>
      <c r="CP4" t="s">
        <v>224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tabSelected="1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52</v>
      </c>
    </row>
    <row r="5" spans="2:3" ht="18.75" x14ac:dyDescent="0.3">
      <c r="B5" s="1" t="s">
        <v>210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5" sqref="B5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52</v>
      </c>
      <c r="B2" s="2">
        <v>34</v>
      </c>
      <c r="J2" s="21"/>
    </row>
    <row r="3" spans="1:10" ht="18" customHeight="1" x14ac:dyDescent="0.25">
      <c r="A3" s="57" t="s">
        <v>36</v>
      </c>
      <c r="B3" s="60" t="s">
        <v>250</v>
      </c>
      <c r="E3" s="57"/>
      <c r="F3" s="57"/>
      <c r="H3" s="12" t="s">
        <v>185</v>
      </c>
      <c r="I3" s="21"/>
      <c r="J3" s="21"/>
    </row>
    <row r="4" spans="1:10" ht="18" customHeight="1" x14ac:dyDescent="0.25">
      <c r="A4" s="57" t="s">
        <v>17</v>
      </c>
      <c r="B4" s="2">
        <v>6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8</v>
      </c>
      <c r="F5" s="58"/>
      <c r="H5" s="12" t="s">
        <v>69</v>
      </c>
    </row>
    <row r="6" spans="1:10" ht="18" customHeight="1" x14ac:dyDescent="0.25">
      <c r="A6" s="57" t="s">
        <v>208</v>
      </c>
      <c r="E6" s="2"/>
      <c r="F6" s="58"/>
      <c r="H6" s="12" t="s">
        <v>186</v>
      </c>
      <c r="I6" s="21"/>
      <c r="J6" s="21"/>
    </row>
    <row r="7" spans="1:10" ht="18" customHeight="1" x14ac:dyDescent="0.25">
      <c r="B7" s="2" t="s">
        <v>53</v>
      </c>
      <c r="C7" s="2" t="s">
        <v>54</v>
      </c>
      <c r="D7" s="2" t="s">
        <v>54</v>
      </c>
      <c r="E7" s="58"/>
      <c r="F7" s="58"/>
      <c r="H7" s="12"/>
      <c r="I7" s="21"/>
      <c r="J7" s="21"/>
    </row>
    <row r="8" spans="1:10" ht="18" customHeight="1" x14ac:dyDescent="0.25">
      <c r="B8" s="2" t="s">
        <v>55</v>
      </c>
      <c r="C8" s="2" t="s">
        <v>56</v>
      </c>
      <c r="D8" s="2" t="s">
        <v>57</v>
      </c>
      <c r="E8" s="58"/>
      <c r="F8" s="58"/>
      <c r="H8" s="12" t="s">
        <v>74</v>
      </c>
      <c r="I8" s="21"/>
      <c r="J8" s="21"/>
    </row>
    <row r="9" spans="1:10" ht="18" customHeight="1" x14ac:dyDescent="0.25">
      <c r="A9" s="12" t="s">
        <v>58</v>
      </c>
      <c r="B9" s="62">
        <v>50</v>
      </c>
      <c r="C9" s="62">
        <v>500</v>
      </c>
      <c r="D9" s="62">
        <v>300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70</v>
      </c>
      <c r="J10" s="21"/>
    </row>
    <row r="11" spans="1:10" ht="18" customHeight="1" x14ac:dyDescent="0.25">
      <c r="A11" s="56" t="s">
        <v>59</v>
      </c>
      <c r="B11" s="62"/>
      <c r="C11" s="58"/>
      <c r="D11" s="58"/>
      <c r="E11" s="58"/>
      <c r="F11" s="58"/>
      <c r="G11" s="58"/>
      <c r="H11" s="12" t="s">
        <v>71</v>
      </c>
    </row>
    <row r="12" spans="1:10" ht="18" customHeight="1" x14ac:dyDescent="0.25">
      <c r="A12" s="56" t="s">
        <v>60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73</v>
      </c>
      <c r="I13" s="62"/>
    </row>
    <row r="14" spans="1:10" ht="18" customHeight="1" x14ac:dyDescent="0.25">
      <c r="A14" s="12" t="s">
        <v>61</v>
      </c>
      <c r="B14" s="23" t="s">
        <v>62</v>
      </c>
      <c r="C14" s="23" t="s">
        <v>63</v>
      </c>
      <c r="D14" s="59"/>
      <c r="E14" s="23"/>
      <c r="F14" s="23"/>
      <c r="G14" s="59"/>
      <c r="H14" s="12" t="s">
        <v>72</v>
      </c>
      <c r="I14" s="62"/>
    </row>
    <row r="15" spans="1:10" ht="18" customHeight="1" x14ac:dyDescent="0.25">
      <c r="A15" s="55" t="s">
        <v>64</v>
      </c>
      <c r="B15" s="62">
        <v>500</v>
      </c>
      <c r="C15" s="62">
        <v>2500</v>
      </c>
      <c r="D15" s="23"/>
      <c r="E15" s="23"/>
      <c r="F15" s="23"/>
      <c r="G15" s="59"/>
      <c r="H15" s="12"/>
    </row>
    <row r="16" spans="1:10" ht="18" customHeight="1" x14ac:dyDescent="0.25">
      <c r="A16" s="55" t="s">
        <v>65</v>
      </c>
      <c r="B16" s="62">
        <v>250</v>
      </c>
      <c r="C16" s="62">
        <v>300</v>
      </c>
      <c r="D16" s="23"/>
      <c r="E16" s="23"/>
      <c r="F16" s="23"/>
      <c r="G16" s="59"/>
      <c r="I16" s="80" t="s">
        <v>251</v>
      </c>
    </row>
    <row r="17" spans="1:9" ht="18" customHeight="1" x14ac:dyDescent="0.25">
      <c r="A17" s="55" t="s">
        <v>66</v>
      </c>
      <c r="B17" s="62">
        <v>500</v>
      </c>
      <c r="C17" s="62">
        <v>5012</v>
      </c>
      <c r="D17" s="23"/>
      <c r="E17" s="23"/>
      <c r="F17" s="23"/>
      <c r="G17" s="59"/>
      <c r="H17" s="12" t="s">
        <v>205</v>
      </c>
      <c r="I17" s="62"/>
    </row>
    <row r="18" spans="1:9" ht="18" customHeight="1" x14ac:dyDescent="0.25">
      <c r="A18" s="55" t="s">
        <v>67</v>
      </c>
      <c r="B18" s="62">
        <v>250</v>
      </c>
      <c r="C18" s="62">
        <v>500</v>
      </c>
      <c r="D18" s="23"/>
      <c r="G18" s="59"/>
      <c r="H18" s="12" t="s">
        <v>206</v>
      </c>
      <c r="I18" s="62"/>
    </row>
    <row r="19" spans="1:9" ht="18" customHeight="1" x14ac:dyDescent="0.25">
      <c r="A19" s="55" t="s">
        <v>68</v>
      </c>
      <c r="B19" s="62">
        <v>500</v>
      </c>
      <c r="C19" s="62">
        <v>3500</v>
      </c>
      <c r="H19" s="12" t="s">
        <v>207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D20" sqref="D20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52</v>
      </c>
      <c r="C3" s="21">
        <v>34</v>
      </c>
    </row>
    <row r="4" spans="2:9" ht="18.75" x14ac:dyDescent="0.3">
      <c r="I4" s="63"/>
    </row>
    <row r="5" spans="2:9" x14ac:dyDescent="0.25">
      <c r="B5" s="4" t="s">
        <v>138</v>
      </c>
      <c r="C5" s="44">
        <v>500</v>
      </c>
      <c r="F5" t="s">
        <v>95</v>
      </c>
      <c r="G5" s="76">
        <v>500</v>
      </c>
      <c r="H5" s="40" t="s">
        <v>96</v>
      </c>
    </row>
    <row r="6" spans="2:9" x14ac:dyDescent="0.25">
      <c r="B6" s="6" t="s">
        <v>17</v>
      </c>
      <c r="C6" s="44">
        <v>500</v>
      </c>
      <c r="F6" t="s">
        <v>99</v>
      </c>
      <c r="G6" s="76">
        <v>60</v>
      </c>
      <c r="H6" t="s">
        <v>98</v>
      </c>
    </row>
    <row r="7" spans="2:9" x14ac:dyDescent="0.25">
      <c r="B7" s="6" t="s">
        <v>19</v>
      </c>
      <c r="C7" s="44">
        <v>300</v>
      </c>
      <c r="F7" t="s">
        <v>97</v>
      </c>
      <c r="G7" s="70">
        <f>(Volume*MaxSpaceVelocity)*(1/60)*(61.7)/(2350*0.395)</f>
        <v>18872.356946564127</v>
      </c>
      <c r="H7" t="s">
        <v>98</v>
      </c>
    </row>
    <row r="8" spans="2:9" x14ac:dyDescent="0.25">
      <c r="B8" s="40" t="s">
        <v>193</v>
      </c>
      <c r="C8" s="44">
        <f>(3.14*(SubDiameter/2)^2)*(SubLength)*(1/12)^3</f>
        <v>34071.180555555555</v>
      </c>
      <c r="D8" s="45"/>
      <c r="F8" t="s">
        <v>100</v>
      </c>
      <c r="G8" s="70" t="str">
        <f>IF(G7&gt;MaxHertz,"60",G7)</f>
        <v>60</v>
      </c>
      <c r="H8" t="s">
        <v>98</v>
      </c>
    </row>
    <row r="9" spans="2:9" x14ac:dyDescent="0.25">
      <c r="B9" s="40" t="s">
        <v>194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75</v>
      </c>
      <c r="D13" s="22"/>
      <c r="E13" t="s">
        <v>76</v>
      </c>
    </row>
    <row r="14" spans="2:9" x14ac:dyDescent="0.25">
      <c r="B14" s="27" t="s">
        <v>77</v>
      </c>
      <c r="D14" s="22"/>
      <c r="E14" t="s">
        <v>78</v>
      </c>
    </row>
    <row r="15" spans="2:9" x14ac:dyDescent="0.25">
      <c r="B15" s="27" t="s">
        <v>79</v>
      </c>
      <c r="D15" s="24"/>
    </row>
    <row r="16" spans="2:9" x14ac:dyDescent="0.25">
      <c r="B16" s="28" t="s">
        <v>80</v>
      </c>
      <c r="C16" s="29" t="s">
        <v>81</v>
      </c>
      <c r="D16" s="29" t="s">
        <v>82</v>
      </c>
      <c r="E16" s="29" t="s">
        <v>83</v>
      </c>
      <c r="G16" s="30" t="s">
        <v>84</v>
      </c>
      <c r="H16" s="29"/>
      <c r="I16" s="29"/>
    </row>
    <row r="17" spans="2:9" x14ac:dyDescent="0.25">
      <c r="B17" s="31" t="s">
        <v>85</v>
      </c>
      <c r="C17" s="31" t="s">
        <v>86</v>
      </c>
      <c r="D17" s="31" t="s">
        <v>87</v>
      </c>
      <c r="E17" s="31" t="s">
        <v>86</v>
      </c>
      <c r="F17" s="31" t="s">
        <v>88</v>
      </c>
      <c r="G17" s="30" t="s">
        <v>89</v>
      </c>
      <c r="H17" s="29" t="s">
        <v>86</v>
      </c>
      <c r="I17" s="29" t="s">
        <v>90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>
        <v>25</v>
      </c>
      <c r="E18" s="33">
        <f t="shared" ref="E18:E27" si="0">C18-(34.4764881*D18-4.325744048*D18^2+0.369475446*D18^3-0.01733631*D18^4+0.000339472*D18^5)</f>
        <v>-248.86761496353347</v>
      </c>
      <c r="F18" s="34">
        <f t="shared" ref="F18:F28" si="1">(E18*60)/Volume</f>
        <v>-0.43826062538291549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>
        <v>30</v>
      </c>
      <c r="E19" s="33">
        <f t="shared" si="0"/>
        <v>-962.65084974165075</v>
      </c>
      <c r="F19" s="34">
        <f t="shared" si="1"/>
        <v>-1.6952465409972715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91</v>
      </c>
    </row>
    <row r="30" spans="2:9" x14ac:dyDescent="0.25">
      <c r="C30" s="37"/>
      <c r="G30" s="9" t="s">
        <v>92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93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94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75</v>
      </c>
      <c r="D36" s="22"/>
      <c r="E36" t="s">
        <v>76</v>
      </c>
    </row>
    <row r="37" spans="2:9" x14ac:dyDescent="0.25">
      <c r="B37" s="27" t="s">
        <v>77</v>
      </c>
      <c r="D37" s="22"/>
      <c r="E37" t="s">
        <v>78</v>
      </c>
      <c r="I37" s="37"/>
    </row>
    <row r="38" spans="2:9" x14ac:dyDescent="0.25">
      <c r="B38" s="27" t="s">
        <v>79</v>
      </c>
      <c r="D38" s="24"/>
    </row>
    <row r="39" spans="2:9" x14ac:dyDescent="0.25">
      <c r="B39" s="28" t="s">
        <v>80</v>
      </c>
      <c r="C39" s="29" t="s">
        <v>81</v>
      </c>
      <c r="D39" s="29" t="s">
        <v>82</v>
      </c>
      <c r="E39" s="29" t="s">
        <v>83</v>
      </c>
      <c r="F39" s="40"/>
      <c r="G39" s="30" t="s">
        <v>84</v>
      </c>
      <c r="H39" s="29"/>
      <c r="I39" s="29"/>
    </row>
    <row r="40" spans="2:9" x14ac:dyDescent="0.25">
      <c r="B40" s="29" t="s">
        <v>85</v>
      </c>
      <c r="C40" s="29" t="s">
        <v>86</v>
      </c>
      <c r="D40" s="29" t="s">
        <v>87</v>
      </c>
      <c r="E40" s="29" t="s">
        <v>86</v>
      </c>
      <c r="F40" s="29" t="s">
        <v>88</v>
      </c>
      <c r="G40" s="30" t="s">
        <v>89</v>
      </c>
      <c r="H40" s="29" t="s">
        <v>86</v>
      </c>
      <c r="I40" s="29" t="s">
        <v>90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91</v>
      </c>
    </row>
    <row r="53" spans="2:9" x14ac:dyDescent="0.25">
      <c r="B53" s="38"/>
      <c r="C53" s="38"/>
      <c r="D53" s="38"/>
      <c r="G53" s="9" t="s">
        <v>92</v>
      </c>
      <c r="H53" s="39"/>
    </row>
    <row r="54" spans="2:9" x14ac:dyDescent="0.25">
      <c r="C54" s="38"/>
      <c r="D54" s="38"/>
      <c r="E54" s="40"/>
      <c r="F54" s="40"/>
      <c r="G54" s="9" t="s">
        <v>93</v>
      </c>
      <c r="H54" s="39"/>
    </row>
    <row r="55" spans="2:9" x14ac:dyDescent="0.25">
      <c r="B55" s="41"/>
      <c r="C55" s="38"/>
      <c r="D55" s="38"/>
      <c r="E55" s="40"/>
      <c r="F55" s="40"/>
      <c r="G55" s="9" t="s">
        <v>94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75</v>
      </c>
      <c r="D60" s="22"/>
      <c r="E60" t="s">
        <v>76</v>
      </c>
    </row>
    <row r="61" spans="2:9" x14ac:dyDescent="0.25">
      <c r="B61" s="27" t="s">
        <v>77</v>
      </c>
      <c r="D61" s="22"/>
      <c r="E61" t="s">
        <v>78</v>
      </c>
    </row>
    <row r="62" spans="2:9" x14ac:dyDescent="0.25">
      <c r="B62" s="27" t="s">
        <v>79</v>
      </c>
      <c r="D62" s="24"/>
      <c r="H62" s="21"/>
      <c r="I62" s="21"/>
    </row>
    <row r="63" spans="2:9" x14ac:dyDescent="0.25">
      <c r="B63" s="28" t="s">
        <v>80</v>
      </c>
      <c r="C63" s="29" t="s">
        <v>81</v>
      </c>
      <c r="D63" s="29" t="s">
        <v>82</v>
      </c>
      <c r="E63" s="29" t="s">
        <v>83</v>
      </c>
      <c r="F63" s="40"/>
      <c r="G63" s="30" t="s">
        <v>84</v>
      </c>
      <c r="H63" s="29"/>
      <c r="I63" s="29"/>
    </row>
    <row r="64" spans="2:9" x14ac:dyDescent="0.25">
      <c r="B64" s="29" t="s">
        <v>85</v>
      </c>
      <c r="C64" s="29" t="s">
        <v>86</v>
      </c>
      <c r="D64" s="29" t="s">
        <v>87</v>
      </c>
      <c r="E64" s="29" t="s">
        <v>86</v>
      </c>
      <c r="F64" s="29" t="s">
        <v>88</v>
      </c>
      <c r="G64" s="30" t="s">
        <v>89</v>
      </c>
      <c r="H64" s="29" t="s">
        <v>86</v>
      </c>
      <c r="I64" s="29" t="s">
        <v>90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91</v>
      </c>
    </row>
    <row r="77" spans="2:9" x14ac:dyDescent="0.25">
      <c r="F77" s="42"/>
      <c r="G77" s="9" t="s">
        <v>92</v>
      </c>
      <c r="H77" s="39"/>
    </row>
    <row r="78" spans="2:9" x14ac:dyDescent="0.25">
      <c r="B78" s="41"/>
      <c r="C78" s="40"/>
      <c r="D78" s="40"/>
      <c r="F78" s="21"/>
      <c r="G78" s="9" t="s">
        <v>93</v>
      </c>
      <c r="H78" s="39"/>
    </row>
    <row r="79" spans="2:9" x14ac:dyDescent="0.25">
      <c r="B79" s="41"/>
      <c r="C79" s="40"/>
      <c r="D79" s="40"/>
      <c r="E79" s="37"/>
      <c r="F79" s="21"/>
      <c r="G79" s="9" t="s">
        <v>94</v>
      </c>
      <c r="H79" s="22"/>
    </row>
    <row r="80" spans="2:9" x14ac:dyDescent="0.25">
      <c r="C80" s="43"/>
      <c r="D80" s="38"/>
      <c r="F80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2019-05-05T18:46:24Z</dcterms:modified>
</cp:coreProperties>
</file>