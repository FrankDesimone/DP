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2019F754-43C2-4BCE-A00D-8A8347C3722B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Quality!$B$18:$D$22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SpaceVelocity" localSheetId="12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Diameter">Quality!$B$4</definedName>
    <definedName name="SubLength" localSheetId="12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2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<sst xmlns="http://schemas.openxmlformats.org/spreadsheetml/2006/main" count="459" uniqueCount="271">
  <si>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</si>
  <si>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</si>
  <si>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</si>
  <si>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</si>
  <si>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</si>
  <si>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</si>
  <si>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</si>
  <si>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</si>
  <si>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</si>
  <si>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</si>
  <si>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</si>
  <si>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</si>
  <si>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</si>
  <si>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</si>
  <si>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</si>
  <si>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</si>
  <si>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</si>
  <si>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</si>
  <si>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</si>
  <si>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</si>
  <si>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</si>
  <si>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</si>
  <si>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</si>
  <si>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</si>
  <si>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</si>
  <si>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</si>
  <si>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</si>
  <si>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</si>
  <si>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</si>
  <si>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</si>
  <si>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</si>
  <si>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</si>
  <si>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</si>
  <si>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</si>
  <si>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</si>
  <si>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</si>
  <si>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</si>
  <si>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</si>
  <si>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</si>
  <si>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</si>
  <si>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</si>
  <si>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</si>
  <si>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</si>
  <si>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</si>
  <si>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</si>
  <si>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</si>
  <si>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</si>
  <si>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</si>
  <si>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</si>
  <si>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</si>
  <si>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</si>
  <si>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</si>
  <si>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</si>
  <si>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</si>
  <si>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</si>
  <si>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</si>
  <si>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</si>
  <si>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</si>
  <si>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</si>
  <si>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</si>
  <si>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</si>
  <si>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</si>
  <si>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</si>
  <si>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</si>
  <si>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</si>
  <si>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</si>
  <si>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</si>
  <si>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</si>
  <si>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</si>
  <si>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</si>
  <si>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</si>
  <si>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</si>
  <si>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</si>
  <si>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</si>
  <si>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</si>
  <si>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</si>
  <si>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</si>
  <si>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</si>
  <si>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</si>
  <si>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</si>
  <si>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</si>
  <si>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</si>
  <si>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</si>
  <si>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</si>
  <si>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</si>
  <si>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</si>
  <si>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</si>
  <si>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</si>
  <si>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</si>
  <si>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</si>
  <si>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</si>
  <si>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</si>
  <si>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</si>
  <si>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</si>
  <si>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</si>
  <si>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</si>
  <si>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</si>
  <si>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</si>
  <si>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</si>
  <si>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</si>
  <si>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</si>
  <si>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</si>
  <si>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</si>
  <si>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</si>
  <si>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</si>
  <si>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</si>
  <si>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</si>
  <si>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</si>
  <si>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</si>
  <si>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</si>
  <si>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</si>
  <si>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</si>
  <si>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</si>
  <si>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</si>
  <si>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</si>
  <si>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</si>
  <si>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</si>
  <si>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</si>
  <si>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</si>
  <si>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</si>
  <si>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</si>
  <si>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</si>
  <si>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</si>
  <si>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</si>
  <si>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</si>
  <si>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</si>
  <si>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</si>
  <si>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</si>
  <si>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</si>
  <si>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</si>
  <si>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</si>
  <si>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</si>
  <si>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</si>
  <si>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</si>
  <si>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</si>
  <si>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</si>
  <si>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</si>
  <si>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</si>
  <si>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</si>
  <si>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</si>
  <si>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</si>
  <si>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</si>
  <si>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</si>
  <si>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</si>
  <si>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</si>
  <si>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</si>
  <si>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</si>
  <si>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</si>
  <si>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</si>
  <si>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</si>
  <si>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</si>
  <si>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</si>
  <si>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</si>
  <si>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</si>
  <si>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</si>
  <si>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</si>
  <si>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</si>
  <si>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</si>
  <si>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</si>
  <si>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</si>
  <si>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</si>
  <si>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</si>
  <si>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</si>
  <si>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</si>
  <si>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</si>
  <si>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</si>
  <si>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</si>
  <si>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</si>
  <si>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</si>
  <si>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</si>
  <si>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</si>
  <si>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</si>
  <si>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</si>
  <si>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</si>
  <si>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</si>
  <si>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</si>
  <si>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</si>
  <si>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</si>
  <si>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</si>
  <si>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</si>
  <si>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</si>
  <si>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</si>
  <si>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</si>
  <si>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</si>
  <si>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</si>
  <si>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</si>
  <si>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</si>
  <si>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</si>
  <si>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</si>
  <si>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</si>
  <si>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</si>
  <si>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</si>
  <si>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</si>
  <si>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</si>
  <si>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</si>
  <si>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</si>
  <si>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</si>
  <si>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</si>
  <si>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</si>
  <si>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</si>
  <si>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</si>
  <si>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</si>
  <si>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</si>
  <si>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</si>
  <si>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</si>
  <si>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</si>
  <si>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</si>
  <si>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</si>
  <si>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</si>
  <si>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</si>
  <si>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</si>
  <si>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</si>
  <si>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</si>
  <si>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</si>
  <si>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</si>
  <si>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</si>
  <si>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</si>
  <si>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</si>
  <si>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</si>
  <si>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</si>
  <si>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</si>
  <si>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</si>
  <si>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</si>
  <si>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</si>
  <si>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</si>
  <si>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</si>
  <si>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</si>
  <si>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</si>
  <si>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</si>
  <si>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</si>
  <si>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</si>
  <si>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</si>
  <si>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</si>
  <si>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</si>
  <si>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</si>
  <si>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</si>
  <si>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</si>
  <si>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</si>
  <si>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</si>
  <si>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</si>
  <si>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</si>
  <si>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</si>
  <si>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</si>
  <si>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</si>
  <si>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</si>
  <si>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</si>
  <si>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</si>
  <si>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</si>
  <si>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</si>
  <si>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</si>
  <si>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</si>
  <si>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v 1.0.5</t>
  </si>
  <si>
    <t>18104</t>
  </si>
  <si>
    <t>sit #2</t>
  </si>
  <si>
    <t>75 Creamery RD</t>
  </si>
  <si>
    <t>Pottstown</t>
  </si>
  <si>
    <t>19465</t>
  </si>
  <si>
    <t>Asset # / Truck # / Unit #</t>
  </si>
  <si>
    <t>Mileage at last cleaning / install</t>
  </si>
  <si>
    <t xml:space="preserve">
Hours at last cleaning / install</t>
  </si>
  <si>
    <t>model</t>
  </si>
  <si>
    <t>32132132321</t>
  </si>
  <si>
    <t>36034125534 / CPN2871462</t>
  </si>
  <si>
    <t>Notes</t>
  </si>
  <si>
    <t>se3rial # 1</t>
  </si>
  <si>
    <t>cat 5</t>
  </si>
  <si>
    <t>ser #</t>
  </si>
  <si>
    <t>par #</t>
  </si>
  <si>
    <t>other</t>
  </si>
  <si>
    <t>Cummins</t>
  </si>
  <si>
    <t>Silicon carbide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</si>
</sst>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2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69.emf"/><Relationship Id="rId7" Type="http://schemas.openxmlformats.org/officeDocument/2006/relationships/image" Target="../media/image57.emf"/><Relationship Id="rId12" Type="http://schemas.openxmlformats.org/officeDocument/2006/relationships/image" Target="../media/image50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4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Relationship Id="rId22" Type="http://schemas.openxmlformats.org/officeDocument/2006/relationships/image" Target="../media/image7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5" Type="http://schemas.openxmlformats.org/officeDocument/2006/relationships/image" Target="../media/image71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2" Type="http://schemas.openxmlformats.org/officeDocument/2006/relationships/image" Target="../media/image86.emf"/><Relationship Id="rId1" Type="http://schemas.openxmlformats.org/officeDocument/2006/relationships/image" Target="../media/image79.emf"/><Relationship Id="rId6" Type="http://schemas.openxmlformats.org/officeDocument/2006/relationships/image" Target="../media/image82.emf"/><Relationship Id="rId11" Type="http://schemas.openxmlformats.org/officeDocument/2006/relationships/image" Target="../media/image76.emf"/><Relationship Id="rId5" Type="http://schemas.openxmlformats.org/officeDocument/2006/relationships/image" Target="../media/image83.emf"/><Relationship Id="rId10" Type="http://schemas.openxmlformats.org/officeDocument/2006/relationships/image" Target="../media/image77.emf"/><Relationship Id="rId4" Type="http://schemas.openxmlformats.org/officeDocument/2006/relationships/image" Target="../media/image84.emf"/><Relationship Id="rId9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50" Type="http://schemas.openxmlformats.org/officeDocument/2006/relationships/control" Target="../activeX/activeX74.x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Relationship Id="rId51" Type="http://schemas.openxmlformats.org/officeDocument/2006/relationships/image" Target="../media/image7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control" Target="../activeX/activeX88.xml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3.emf"/><Relationship Id="rId7" Type="http://schemas.openxmlformats.org/officeDocument/2006/relationships/image" Target="../media/image77.emf"/><Relationship Id="rId12" Type="http://schemas.openxmlformats.org/officeDocument/2006/relationships/control" Target="../activeX/activeX84.xml"/><Relationship Id="rId17" Type="http://schemas.openxmlformats.org/officeDocument/2006/relationships/image" Target="../media/image81.emf"/><Relationship Id="rId25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7.xml"/><Relationship Id="rId20" Type="http://schemas.openxmlformats.org/officeDocument/2006/relationships/control" Target="../activeX/activeX89.xml"/><Relationship Id="rId29" Type="http://schemas.openxmlformats.org/officeDocument/2006/relationships/control" Target="../activeX/activeX9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image" Target="../media/image79.emf"/><Relationship Id="rId24" Type="http://schemas.openxmlformats.org/officeDocument/2006/relationships/control" Target="../activeX/activeX91.xml"/><Relationship Id="rId5" Type="http://schemas.openxmlformats.org/officeDocument/2006/relationships/image" Target="../media/image76.emf"/><Relationship Id="rId15" Type="http://schemas.openxmlformats.org/officeDocument/2006/relationships/image" Target="../media/image80.emf"/><Relationship Id="rId23" Type="http://schemas.openxmlformats.org/officeDocument/2006/relationships/image" Target="../media/image84.emf"/><Relationship Id="rId28" Type="http://schemas.openxmlformats.org/officeDocument/2006/relationships/image" Target="../media/image86.emf"/><Relationship Id="rId10" Type="http://schemas.openxmlformats.org/officeDocument/2006/relationships/control" Target="../activeX/activeX83.xml"/><Relationship Id="rId19" Type="http://schemas.openxmlformats.org/officeDocument/2006/relationships/image" Target="../media/image82.emf"/><Relationship Id="rId31" Type="http://schemas.openxmlformats.org/officeDocument/2006/relationships/control" Target="../activeX/activeX96.xml"/><Relationship Id="rId4" Type="http://schemas.openxmlformats.org/officeDocument/2006/relationships/control" Target="../activeX/activeX80.xml"/><Relationship Id="rId9" Type="http://schemas.openxmlformats.org/officeDocument/2006/relationships/image" Target="../media/image78.emf"/><Relationship Id="rId14" Type="http://schemas.openxmlformats.org/officeDocument/2006/relationships/control" Target="../activeX/activeX86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3.xml"/><Relationship Id="rId30" Type="http://schemas.openxmlformats.org/officeDocument/2006/relationships/control" Target="../activeX/activeX9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7.emf"/><Relationship Id="rId4" Type="http://schemas.openxmlformats.org/officeDocument/2006/relationships/control" Target="../activeX/activeX97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J13" sqref="J13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251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185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13" sqref="B13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253</v>
      </c>
      <c r="D4" s="37"/>
    </row>
    <row r="5" spans="1:4" ht="30" customHeight="1" x14ac:dyDescent="0.25">
      <c r="A5" s="5" t="s">
        <v>1</v>
      </c>
      <c r="B5" s="14" t="s">
        <v>254</v>
      </c>
    </row>
    <row r="6" spans="1:4" ht="30" customHeight="1" x14ac:dyDescent="0.25">
      <c r="A6" s="5" t="s">
        <v>28</v>
      </c>
      <c r="B6" s="14" t="s">
        <v>186</v>
      </c>
    </row>
    <row r="7" spans="1:4" ht="30" customHeight="1" x14ac:dyDescent="0.25">
      <c r="A7" s="5" t="s">
        <v>2</v>
      </c>
      <c r="B7" s="14" t="s">
        <v>255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256</v>
      </c>
    </row>
    <row r="10" spans="1:4" ht="30" customHeight="1" x14ac:dyDescent="0.25">
      <c r="A10" s="5" t="s">
        <v>163</v>
      </c>
      <c r="B10" s="14" t="s">
        <v>252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195</v>
      </c>
      <c r="B3" s="57" t="s">
        <v>264</v>
      </c>
      <c r="D3" s="37"/>
    </row>
    <row r="4" spans="1:4" ht="30" customHeight="1" x14ac:dyDescent="0.25">
      <c r="A4" s="5" t="s">
        <v>257</v>
      </c>
      <c r="B4" s="57" t="s">
        <v>186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265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258</v>
      </c>
      <c r="B8" s="14">
        <v>1515115</v>
      </c>
    </row>
    <row r="9" spans="1:4" ht="30" customHeight="1" x14ac:dyDescent="0.25">
      <c r="A9" s="115" t="s">
        <v>259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261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260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193</v>
      </c>
      <c r="B3" s="14" t="s">
        <v>194</v>
      </c>
      <c r="E3" t="s">
        <v>187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266</v>
      </c>
      <c r="E3" s="37"/>
    </row>
    <row r="4" spans="1:5" ht="30" customHeight="1" x14ac:dyDescent="0.25">
      <c r="A4" s="5" t="s">
        <v>36</v>
      </c>
      <c r="B4" s="58" t="s">
        <v>267</v>
      </c>
    </row>
    <row r="5" spans="1:5" ht="30" customHeight="1" x14ac:dyDescent="0.25">
      <c r="A5" s="5" t="s">
        <v>13</v>
      </c>
      <c r="B5" s="14" t="s">
        <v>268</v>
      </c>
    </row>
    <row r="6" spans="1:5" ht="30" customHeight="1" x14ac:dyDescent="0.25">
      <c r="A6" s="5" t="s">
        <v>34</v>
      </c>
      <c r="B6" s="14" t="s">
        <v>269</v>
      </c>
    </row>
    <row r="7" spans="1:5" ht="30" customHeight="1" x14ac:dyDescent="0.25">
      <c r="A7" s="5" t="s">
        <v>14</v>
      </c>
      <c r="B7" s="14" t="s">
        <v>118</v>
      </c>
    </row>
    <row r="8" spans="1:5" ht="30" customHeight="1" x14ac:dyDescent="0.25">
      <c r="A8" s="5" t="s">
        <v>37</v>
      </c>
      <c r="B8" s="111" t="s">
        <v>270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tabSelected="1" workbookViewId="0">
      <selection activeCell="C22" sqref="C22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170</v>
      </c>
      <c r="E4" s="45"/>
    </row>
    <row r="5" spans="2:10" ht="18" customHeight="1" x14ac:dyDescent="0.25">
      <c r="B5" s="5" t="s">
        <v>171</v>
      </c>
      <c r="C5" s="1"/>
      <c r="J5" s="5"/>
    </row>
    <row r="6" spans="2:10" ht="18" customHeight="1" x14ac:dyDescent="0.25">
      <c r="B6" s="5" t="s">
        <v>215</v>
      </c>
      <c r="C6" s="53">
        <v>43646.802701354165</v>
      </c>
      <c r="J6" s="5"/>
    </row>
    <row r="7" spans="2:10" ht="18" customHeight="1" x14ac:dyDescent="0.25">
      <c r="B7" s="5" t="s">
        <v>210</v>
      </c>
      <c r="C7" s="2"/>
    </row>
    <row r="8" spans="2:10" ht="18" customHeight="1" x14ac:dyDescent="0.25">
      <c r="B8" s="5" t="s">
        <v>211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212</v>
      </c>
      <c r="C13" s="1"/>
    </row>
    <row r="14" spans="2:10" ht="18" customHeight="1" x14ac:dyDescent="0.25">
      <c r="B14" s="5" t="s">
        <v>213</v>
      </c>
      <c r="C14" s="54">
        <v>0</v>
      </c>
    </row>
    <row r="15" spans="2:10" ht="18" customHeight="1" x14ac:dyDescent="0.25">
      <c r="B15" s="5" t="s">
        <v>214</v>
      </c>
      <c r="C15" s="53">
        <v>0</v>
      </c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autoPict="0" r:id="rId47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  <mc:AlternateContent xmlns:mc="http://schemas.openxmlformats.org/markup-compatibility/2006">
      <mc:Choice Requires="x14">
        <control shapeId="21540" r:id="rId48" name="txtTrackingNo">
          <controlPr defaultSize="0" autoLine="0" r:id="rId49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21540" r:id="rId48" name="txtTrackingNo"/>
      </mc:Fallback>
    </mc:AlternateContent>
    <mc:AlternateContent xmlns:mc="http://schemas.openxmlformats.org/markup-compatibility/2006">
      <mc:Choice Requires="x14">
        <control shapeId="21541" r:id="rId50" name="txtContact">
          <controlPr defaultSize="0" autoLine="0" r:id="rId51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50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4" t="s">
        <v>221</v>
      </c>
      <c r="CG2" t="s">
        <v>117</v>
      </c>
      <c r="CH2" s="114" t="s">
        <v>118</v>
      </c>
      <c r="CI2">
        <v>0</v>
      </c>
      <c r="CJ2" s="114" t="s">
        <v>223</v>
      </c>
      <c r="CK2" t="s">
        <v>222</v>
      </c>
      <c r="CM2" s="114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4" t="s">
        <v>221</v>
      </c>
      <c r="CG3" t="s">
        <v>117</v>
      </c>
      <c r="CH3" s="114" t="s">
        <v>118</v>
      </c>
      <c r="CI3">
        <v>0</v>
      </c>
      <c r="CJ3" s="114" t="s">
        <v>223</v>
      </c>
      <c r="CK3" t="s">
        <v>222</v>
      </c>
      <c r="CM3" s="114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4" t="s">
        <v>221</v>
      </c>
      <c r="CG4" t="s">
        <v>117</v>
      </c>
      <c r="CH4" s="114" t="s">
        <v>118</v>
      </c>
      <c r="CI4">
        <v>0</v>
      </c>
      <c r="CJ4" s="114" t="s">
        <v>223</v>
      </c>
      <c r="CK4" t="s">
        <v>222</v>
      </c>
      <c r="CM4" s="114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5" sqref="B5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172</v>
      </c>
      <c r="C5" s="1"/>
    </row>
    <row r="6" spans="2:3" x14ac:dyDescent="0.25">
      <c r="B6" s="1"/>
      <c r="C6" s="2"/>
    </row>
    <row r="7" spans="2:3" x14ac:dyDescent="0.25">
      <c r="B7" s="5" t="s">
        <v>180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H24" sqref="H24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220</v>
      </c>
      <c r="B2" s="109">
        <v>50</v>
      </c>
      <c r="J2" s="19"/>
    </row>
    <row r="3" spans="1:10" ht="18" customHeight="1" x14ac:dyDescent="0.25">
      <c r="A3" s="40" t="s">
        <v>219</v>
      </c>
      <c r="B3" s="110" t="s">
        <v>262</v>
      </c>
      <c r="E3" s="40"/>
      <c r="F3" s="40"/>
      <c r="H3" s="10" t="s">
        <v>161</v>
      </c>
      <c r="I3" s="19"/>
      <c r="J3" s="19"/>
    </row>
    <row r="4" spans="1:10" ht="18" customHeight="1" x14ac:dyDescent="0.25">
      <c r="A4" s="40" t="s">
        <v>16</v>
      </c>
      <c r="B4" s="109">
        <v>9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65</v>
      </c>
    </row>
    <row r="6" spans="1:10" ht="18" customHeight="1" x14ac:dyDescent="0.25">
      <c r="A6" s="40" t="s">
        <v>217</v>
      </c>
      <c r="B6" s="112">
        <f>(3.14*(SubDiameter/2)^2)*(SubLength)*(1/12)^3</f>
        <v>0.40476562500000002</v>
      </c>
      <c r="E6" s="1"/>
      <c r="F6" s="41"/>
      <c r="H6" s="10" t="s">
        <v>162</v>
      </c>
      <c r="I6" s="19"/>
      <c r="J6" s="19"/>
    </row>
    <row r="7" spans="1:10" ht="18" customHeight="1" x14ac:dyDescent="0.25">
      <c r="A7" s="40" t="s">
        <v>218</v>
      </c>
      <c r="B7" s="113">
        <f>Volume*28.317</f>
        <v>11.461748203125001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70</v>
      </c>
      <c r="I8" s="19"/>
      <c r="J8" s="19"/>
    </row>
    <row r="9" spans="1:10" ht="18" customHeight="1" x14ac:dyDescent="0.2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2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2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2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2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/>
      <c r="C16" s="42"/>
      <c r="D16" s="42"/>
      <c r="E16" s="20"/>
      <c r="F16" s="20"/>
      <c r="G16" s="42"/>
      <c r="I16" s="59" t="s">
        <v>196</v>
      </c>
    </row>
    <row r="17" spans="1:9" ht="18" customHeight="1" x14ac:dyDescent="0.2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2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2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2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63</v>
      </c>
      <c r="B21" s="44"/>
      <c r="C21" s="44"/>
      <c r="D21" s="20"/>
    </row>
    <row r="22" spans="1:9" ht="18" customHeight="1" x14ac:dyDescent="0.25">
      <c r="A22" s="38" t="s">
        <v>64</v>
      </c>
      <c r="B22" s="44"/>
      <c r="C22" s="44"/>
      <c r="G22" s="19"/>
      <c r="I22" t="s">
        <v>216</v>
      </c>
    </row>
    <row r="23" spans="1:9" ht="18" customHeight="1" x14ac:dyDescent="0.25">
      <c r="H23" s="40" t="s">
        <v>179</v>
      </c>
    </row>
    <row r="24" spans="1:9" ht="18" customHeight="1" x14ac:dyDescent="0.25">
      <c r="A24" s="10" t="s">
        <v>66</v>
      </c>
      <c r="E24" s="19"/>
      <c r="H24" s="10" t="s">
        <v>263</v>
      </c>
      <c r="I24" s="44"/>
    </row>
    <row r="25" spans="1:9" ht="18" customHeight="1" x14ac:dyDescent="0.25">
      <c r="A25" s="10" t="s">
        <v>67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205</v>
      </c>
      <c r="C3" s="1">
        <v>50</v>
      </c>
    </row>
    <row r="4" spans="2:9" ht="18.75" x14ac:dyDescent="0.3">
      <c r="I4" s="45"/>
    </row>
    <row r="5" spans="2:9" x14ac:dyDescent="0.25">
      <c r="B5" s="107" t="s">
        <v>16</v>
      </c>
      <c r="C5" s="108">
        <v>9</v>
      </c>
      <c r="D5" s="61"/>
      <c r="E5" s="61" t="s">
        <v>207</v>
      </c>
      <c r="F5" s="94"/>
      <c r="G5" s="95" t="s">
        <v>91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206</v>
      </c>
      <c r="F6" s="98"/>
      <c r="G6" s="67" t="s">
        <v>92</v>
      </c>
      <c r="H6" s="64"/>
    </row>
    <row r="7" spans="2:9" x14ac:dyDescent="0.25">
      <c r="B7" s="99" t="s">
        <v>168</v>
      </c>
      <c r="C7" s="97">
        <f>(3.14*(SubDiameter/2)^2)*(SubLength)*(1/12)^3</f>
        <v>0.40476562500000002</v>
      </c>
      <c r="D7" s="100"/>
      <c r="E7" s="64" t="s">
        <v>208</v>
      </c>
      <c r="F7" s="98">
        <f>(Volume*MaxSpaceVelocity)*(1/60)*(61.7)/(2350*0.395)</f>
        <v>0</v>
      </c>
      <c r="G7" s="67" t="s">
        <v>92</v>
      </c>
      <c r="H7" s="64"/>
    </row>
    <row r="8" spans="2:9" x14ac:dyDescent="0.25">
      <c r="B8" s="101" t="s">
        <v>169</v>
      </c>
      <c r="C8" s="102">
        <f>Volume*28.317</f>
        <v>11.461748203125001</v>
      </c>
      <c r="D8" s="103"/>
      <c r="E8" s="104" t="s">
        <v>209</v>
      </c>
      <c r="F8" s="106">
        <f>IF(F7&gt;MaxHertz,"60",F7)</f>
        <v>0</v>
      </c>
      <c r="G8" s="105" t="s">
        <v>92</v>
      </c>
      <c r="H8" s="64"/>
    </row>
    <row r="9" spans="2:9" x14ac:dyDescent="0.25">
      <c r="H9" s="64"/>
    </row>
    <row r="11" spans="2:9" x14ac:dyDescent="0.25">
      <c r="B11" s="87" t="s">
        <v>71</v>
      </c>
      <c r="C11" s="61"/>
      <c r="D11" s="88"/>
      <c r="E11" s="61" t="s">
        <v>72</v>
      </c>
      <c r="F11" s="61"/>
      <c r="G11" s="62" t="s">
        <v>87</v>
      </c>
      <c r="H11" s="62" t="s">
        <v>88</v>
      </c>
      <c r="I11" s="91"/>
    </row>
    <row r="12" spans="2:9" x14ac:dyDescent="0.25">
      <c r="B12" s="63" t="s">
        <v>73</v>
      </c>
      <c r="C12" s="64"/>
      <c r="D12" s="65"/>
      <c r="E12" s="64" t="s">
        <v>74</v>
      </c>
      <c r="F12" s="64"/>
      <c r="G12" s="64"/>
      <c r="H12" s="66" t="s">
        <v>89</v>
      </c>
      <c r="I12" s="92"/>
    </row>
    <row r="13" spans="2:9" x14ac:dyDescent="0.25">
      <c r="B13" s="63" t="s">
        <v>75</v>
      </c>
      <c r="C13" s="64"/>
      <c r="D13" s="68"/>
      <c r="E13" s="64"/>
      <c r="F13" s="64"/>
      <c r="G13" s="64"/>
      <c r="H13" s="66" t="s">
        <v>90</v>
      </c>
      <c r="I13" s="92"/>
    </row>
    <row r="14" spans="2:9" x14ac:dyDescent="0.2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2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134.921875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236.11328125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337.3046875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404.765625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472.2265625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505.95703125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539.6875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573.41796875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607.1484375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640.87890625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674.609375</v>
      </c>
      <c r="I26" s="84">
        <f t="shared" si="3"/>
        <v>0</v>
      </c>
    </row>
    <row r="28" spans="2:9" x14ac:dyDescent="0.2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91"/>
    </row>
    <row r="29" spans="2:9" x14ac:dyDescent="0.2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2"/>
    </row>
    <row r="30" spans="2:9" x14ac:dyDescent="0.25">
      <c r="B30" s="63" t="s">
        <v>75</v>
      </c>
      <c r="C30" s="64"/>
      <c r="D30" s="68"/>
      <c r="E30" s="64"/>
      <c r="F30" s="64"/>
      <c r="G30" s="64"/>
      <c r="H30" s="66" t="s">
        <v>90</v>
      </c>
      <c r="I30" s="92"/>
    </row>
    <row r="31" spans="2:9" x14ac:dyDescent="0.2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2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134.921875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236.11328125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337.3046875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404.765625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472.2265625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505.95703125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539.6875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573.41796875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607.1484375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640.87890625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674.609375</v>
      </c>
      <c r="I43" s="84">
        <f t="shared" si="8"/>
        <v>0</v>
      </c>
    </row>
    <row r="45" spans="2:9" x14ac:dyDescent="0.2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91"/>
    </row>
    <row r="46" spans="2:9" x14ac:dyDescent="0.2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2"/>
    </row>
    <row r="47" spans="2:9" x14ac:dyDescent="0.25">
      <c r="B47" s="63" t="s">
        <v>75</v>
      </c>
      <c r="C47" s="64"/>
      <c r="D47" s="68"/>
      <c r="E47" s="64"/>
      <c r="F47" s="64"/>
      <c r="G47" s="64"/>
      <c r="H47" s="66" t="s">
        <v>90</v>
      </c>
      <c r="I47" s="92"/>
    </row>
    <row r="48" spans="2:9" x14ac:dyDescent="0.2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2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134.921875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236.11328125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337.3046875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404.765625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472.2265625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505.95703125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539.6875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573.41796875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607.1484375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640.87890625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674.609375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2019-06-30T19:27:04Z</dcterms:modified>
</cp:coreProperties>
</file>