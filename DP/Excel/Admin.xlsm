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6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7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8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9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0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drawings/drawing11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drawings/drawing1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drawings/drawing13.xml" ContentType="application/vnd.openxmlformats-officedocument.drawing+xml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4592E8D5-BC4D-4E16-845A-2B85EEB9E25C}" xr6:coauthVersionLast="45" xr6:coauthVersionMax="45" xr10:uidLastSave="{00000000-0000-0000-0000-000000000000}"/>
  <bookViews>
    <workbookView xWindow="38280" yWindow="-1095" windowWidth="29040" windowHeight="15990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23" state="hidden" r:id="rId9"/>
    <sheet name="OutData" sheetId="21" state="hidden" r:id="rId10"/>
    <sheet name="Search" sheetId="22" state="hidden" r:id="rId11"/>
    <sheet name="Report" sheetId="20" state="hidden" r:id="rId12"/>
    <sheet name="Quality" sheetId="24" state="hidden" r:id="rId13"/>
    <sheet name="QAProcess" sheetId="19" state="hidden" r:id="rId14"/>
  </sheets>
  <functionGroups builtInGroupCount="19"/>
  <externalReferences>
    <externalReference r:id="rId15"/>
    <externalReference r:id="rId16"/>
  </externalReferences>
  <definedNames>
    <definedName name="CleanChannels" localSheetId="12">Quality!$C$26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Contacts!$B$4:$B$12</definedName>
    <definedName name="contacts" localSheetId="8">DPF!$C$15:$C$15</definedName>
    <definedName name="dpf" localSheetId="8">DPF!$C$12:$C$30</definedName>
    <definedName name="dpf" localSheetId="12">Quality!$B$4:$B$6</definedName>
    <definedName name="ecd" localSheetId="8">DPF!#REF!</definedName>
    <definedName name="ecd" localSheetId="7">ECD!$B$3:$B$12</definedName>
    <definedName name="ecd" localSheetId="12">Quality!$B$4:$B$6</definedName>
    <definedName name="engine" localSheetId="8">DPF!#REF!</definedName>
    <definedName name="engine" localSheetId="5">Engine!$B$3:$B$6</definedName>
    <definedName name="InletCells" localSheetId="12">Quality!$C$28:$D$32</definedName>
    <definedName name="LegacyJob">DPF!$C$10</definedName>
    <definedName name="manufacturer" localSheetId="6">Manufacturer!$B$3:$B$3</definedName>
    <definedName name="Mass0" localSheetId="12">Quality!$B$12</definedName>
    <definedName name="Mass1" localSheetId="12">Quality!$C$12</definedName>
    <definedName name="Mass2" localSheetId="12">Quality!$D$12</definedName>
    <definedName name="MaxHertz" localSheetId="13">QAProcess!$F$6</definedName>
    <definedName name="MaxSpaceVelocity" localSheetId="13">QAProcess!$F$5</definedName>
    <definedName name="ML_HR" localSheetId="8">DPF!$C$16:$C$19</definedName>
    <definedName name="NoteCompany">Company!$E$3</definedName>
    <definedName name="NoteCompanyLocation">CompanyLocation!$D$4</definedName>
    <definedName name="NoteContacts">Contacts!$D$3</definedName>
    <definedName name="NoteDPF" localSheetId="8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 localSheetId="12">Quality!$F$5</definedName>
    <definedName name="NoteReport" localSheetId="10">Search!#REF!</definedName>
    <definedName name="NoteReport">Report!$A$1</definedName>
    <definedName name="NoteSearch">Search!$F$5</definedName>
    <definedName name="NoteVehicle">Vehicle!$D$3</definedName>
    <definedName name="P0a" localSheetId="13">QAProcess!$I$11</definedName>
    <definedName name="P0AirTemp" localSheetId="13">QAProcess!$D$11</definedName>
    <definedName name="P0b" localSheetId="13">QAProcess!$I$12</definedName>
    <definedName name="P0BackPress" localSheetId="13">QAProcess!$D$13</definedName>
    <definedName name="P0BaroPress" localSheetId="13">QAProcess!$D$12</definedName>
    <definedName name="P0c" localSheetId="12">[1]QAProcess!$I$13</definedName>
    <definedName name="P0c" localSheetId="11">[2]QAProcess!$H$36</definedName>
    <definedName name="P0c" localSheetId="10">[2]QAProcess!$H$36</definedName>
    <definedName name="P0c">QAProcess!$I$13</definedName>
    <definedName name="P0PSI" localSheetId="13">QAProcess!$D$16:$D$26</definedName>
    <definedName name="P0SV" localSheetId="13">QAProcess!$G$16:$G$26</definedName>
    <definedName name="P1a" localSheetId="13">QAProcess!$I$28</definedName>
    <definedName name="P1AirTemp" localSheetId="13">QAProcess!$D$28</definedName>
    <definedName name="P1b" localSheetId="13">QAProcess!$I$29</definedName>
    <definedName name="P1BackPress" localSheetId="13">QAProcess!$D$30</definedName>
    <definedName name="P1BaroPress" localSheetId="13">QAProcess!$D$29</definedName>
    <definedName name="P1c" localSheetId="13">QAProcess!$I$30</definedName>
    <definedName name="P1PSI" localSheetId="13">QAProcess!$D$33:$D$43</definedName>
    <definedName name="P1SV" localSheetId="13">QAProcess!$G$33:$G$43</definedName>
    <definedName name="P2a" localSheetId="13">QAProcess!$I$45</definedName>
    <definedName name="P2AirTemp" localSheetId="13">QAProcess!$D$45</definedName>
    <definedName name="P2b" localSheetId="13">QAProcess!$I$46</definedName>
    <definedName name="P2BackPress" localSheetId="13">QAProcess!$D$47</definedName>
    <definedName name="P2BaroPress" localSheetId="13">QAProcess!$D$46</definedName>
    <definedName name="P2c" localSheetId="13">QAProcess!$I$47</definedName>
    <definedName name="P2PSI">QAProcess!$D$50:$D$60</definedName>
    <definedName name="P2SV" localSheetId="13">QAProcess!$G$50:$G$60</definedName>
    <definedName name="Result" localSheetId="10">Search!$B$12</definedName>
    <definedName name="SalesNo">Quality!$B$2</definedName>
    <definedName name="SubDiameter" localSheetId="13">QAProcess!$C$5</definedName>
    <definedName name="SubDiameter" localSheetId="12">Quality!$B$5</definedName>
    <definedName name="SubDiameter">#REF!</definedName>
    <definedName name="SubLength" localSheetId="13">QAProcess!$C$6</definedName>
    <definedName name="SubLength" localSheetId="12">Quality!$B$6</definedName>
    <definedName name="SubLength">#REF!</definedName>
    <definedName name="Summary">Quality!$I$24</definedName>
    <definedName name="vehicle" localSheetId="8">DPF!#REF!</definedName>
    <definedName name="vehicle" localSheetId="4">Vehicle!$B$4:$B$10</definedName>
    <definedName name="Volume" localSheetId="13">QAProcess!$C$7</definedName>
    <definedName name="Volume" localSheetId="12">Quality!$B$7</definedName>
    <definedName name="Volume">#REF!</definedName>
    <definedName name="WorkorderIDQAProcess">QAProcess!$C$3</definedName>
    <definedName name="WorkOrderIDQuality" localSheetId="12">Quality!$B$3</definedName>
    <definedName name="WorkOrderIDQuality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2" i="24" l="1"/>
  <c r="B7" i="24"/>
  <c r="B8" i="24" s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<sst xmlns="http://schemas.openxmlformats.org/spreadsheetml/2006/main" count="468" uniqueCount="284">
  <si>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</si>
  <si>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</si>
  <si>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</si>
  <si>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</si>
  <si>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</si>
  <si>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</si>
  <si>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</si>
  <si>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</si>
  <si>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</si>
  <si>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</si>
  <si>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</si>
  <si>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</si>
  <si>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</si>
  <si>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</si>
  <si>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</si>
  <si>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</si>
  <si>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</si>
  <si>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</si>
  <si>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</si>
  <si>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</si>
  <si>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</si>
  <si>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</si>
  <si>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</si>
  <si>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</si>
  <si>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</si>
  <si>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</si>
  <si>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</si>
  <si>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</si>
  <si>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</si>
  <si>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</si>
  <si>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</si>
  <si>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</si>
  <si>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</si>
  <si>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</si>
  <si>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</si>
  <si>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</si>
  <si>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</si>
  <si>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</si>
  <si>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</si>
  <si>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</si>
  <si>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</si>
  <si>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</si>
  <si>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</si>
  <si>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</si>
  <si>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</si>
  <si>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</si>
  <si>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</si>
  <si>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</si>
  <si>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</si>
  <si>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</si>
  <si>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ECD Mass</t>
  </si>
  <si>
    <t>Ultrasound Signal Received</t>
  </si>
  <si>
    <t>As Received</t>
  </si>
  <si>
    <t>Post Process</t>
  </si>
  <si>
    <t>3 o'clock</t>
  </si>
  <si>
    <t>6 o'clock</t>
  </si>
  <si>
    <t>9 o'clock</t>
  </si>
  <si>
    <t>Ash on Face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</si>
  <si>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</si>
  <si>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</si>
  <si>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</si>
  <si>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</si>
  <si>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</si>
  <si>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</si>
  <si>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</si>
  <si>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</si>
  <si>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</si>
  <si>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</si>
  <si>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</si>
  <si>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</si>
  <si>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</si>
  <si>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</si>
  <si>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</si>
  <si>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</si>
  <si>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</si>
  <si>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</si>
  <si>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</si>
  <si>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</si>
  <si>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</si>
  <si>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</si>
  <si>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</si>
  <si>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</si>
  <si>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</si>
  <si>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</si>
  <si>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</si>
  <si>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</si>
  <si>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</si>
  <si>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</si>
  <si>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</si>
  <si>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</si>
  <si>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</si>
  <si>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</si>
  <si>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</si>
  <si>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</si>
  <si>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</si>
  <si>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Address1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</si>
  <si>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</si>
  <si>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</si>
  <si>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</si>
  <si>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</si>
  <si>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</si>
  <si>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</si>
  <si>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</si>
  <si>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</si>
  <si>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</si>
  <si>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</si>
  <si>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</si>
  <si>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Coolant</t>
  </si>
  <si>
    <t>RedAsh</t>
  </si>
  <si>
    <t>USignalReceived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</si>
  <si>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</si>
  <si>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</si>
  <si>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</si>
  <si>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</si>
  <si>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</si>
  <si>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</si>
  <si>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</si>
  <si>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</si>
  <si>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</si>
  <si>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</si>
  <si>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</si>
  <si>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</si>
  <si>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</si>
  <si>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</si>
  <si>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</si>
  <si>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</si>
  <si>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</si>
  <si>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</si>
  <si>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</si>
  <si>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</si>
  <si>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</si>
  <si>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</si>
  <si>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</si>
  <si>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</si>
  <si>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</si>
  <si>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</si>
  <si>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</si>
  <si>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</si>
  <si>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</si>
  <si>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</si>
  <si>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</si>
  <si>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</si>
  <si>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</si>
  <si>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</si>
  <si>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</si>
  <si>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</si>
  <si>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</si>
  <si>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>Work Order ID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</si>
  <si>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</si>
  <si>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</si>
  <si>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</si>
  <si>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</si>
  <si>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</si>
  <si>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</si>
  <si>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</si>
  <si>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</si>
  <si>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</si>
  <si>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</si>
  <si>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</si>
  <si>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/>
  </si>
  <si>
    <t>Record Saved</t>
  </si>
  <si>
    <t>Description</t>
  </si>
  <si>
    <t>Chevy</t>
  </si>
  <si>
    <t>VIN / Serial #</t>
  </si>
  <si>
    <t>SalesNo</t>
  </si>
  <si>
    <t>CompanyInitials</t>
  </si>
  <si>
    <t>Delta</t>
  </si>
  <si>
    <t>WorkOrder ID</t>
  </si>
  <si>
    <t>Max Hz Allowed</t>
  </si>
  <si>
    <t>Target Max Space Vl</t>
  </si>
  <si>
    <t>Hz @ Target Max Space Vl</t>
  </si>
  <si>
    <t>Max Hz Set Point</t>
  </si>
  <si>
    <t>Job Site Address</t>
  </si>
  <si>
    <t>Job Contact Name</t>
  </si>
  <si>
    <t>Emission Control Unit (ECU) Information</t>
  </si>
  <si>
    <t>Tracking #</t>
  </si>
  <si>
    <t>Substrate Volume (ft)</t>
  </si>
  <si>
    <t>Substratge Volume (L)</t>
  </si>
  <si>
    <t>Work Order No</t>
  </si>
  <si>
    <t>TrackingNo</t>
  </si>
  <si>
    <t>QASubstrateOveralCondition</t>
  </si>
  <si>
    <t>QASubstrateCraking</t>
  </si>
  <si>
    <t>AshColor</t>
  </si>
  <si>
    <t>QABreachChannels</t>
  </si>
  <si>
    <t>18104</t>
  </si>
  <si>
    <t>Asset # / Truck # / Unit #</t>
  </si>
  <si>
    <t>Hunsicker Emissions Services Cleaning Location</t>
  </si>
  <si>
    <t>1. Process Indicators</t>
  </si>
  <si>
    <t>lbs</t>
  </si>
  <si>
    <t>2. Evidence of Contaminants</t>
  </si>
  <si>
    <t>1. Initial Visual Inspection</t>
  </si>
  <si>
    <t>Inlet Face Inspection</t>
  </si>
  <si>
    <t>Outlet Face  Inspection</t>
  </si>
  <si>
    <t>1. Substrate Description</t>
  </si>
  <si>
    <t>2. Ultrasound Testing</t>
  </si>
  <si>
    <t>2. Operators Summary Notes</t>
  </si>
  <si>
    <t>3. Pin Drop Testing</t>
  </si>
  <si>
    <t>inches</t>
  </si>
  <si>
    <t>4. Evidence of Melting and Cracking</t>
  </si>
  <si>
    <t>Tracking ECU Weight</t>
  </si>
  <si>
    <t>Pre-Process Quality Control</t>
  </si>
  <si>
    <r>
      <t>Breach</t>
    </r>
    <r>
      <rPr>
        <sz val="11"/>
        <color theme="1"/>
        <rFont val="Calibri"/>
        <family val="2"/>
        <scheme val="minor"/>
      </rPr>
      <t>ed Channel(s)</t>
    </r>
  </si>
  <si>
    <r>
      <t xml:space="preserve">Substrate </t>
    </r>
    <r>
      <rPr>
        <sz val="11"/>
        <color theme="1"/>
        <rFont val="Calibri"/>
        <family val="2"/>
        <scheme val="minor"/>
      </rPr>
      <t>Crack(s)</t>
    </r>
  </si>
  <si>
    <t xml:space="preserve"> In Process Quality Control</t>
  </si>
  <si>
    <t>Post Process Quality Control</t>
  </si>
  <si>
    <t xml:space="preserve">From Inlet Face </t>
  </si>
  <si>
    <t xml:space="preserve">       12'oclock</t>
  </si>
  <si>
    <r>
      <t xml:space="preserve">ECU ID No </t>
    </r>
    <r>
      <rPr>
        <sz val="11"/>
        <color theme="1"/>
        <rFont val="Times New Roman"/>
        <family val="1"/>
      </rPr>
      <t>(P/N / S/N)</t>
    </r>
  </si>
  <si>
    <r>
      <t>Process 2</t>
    </r>
    <r>
      <rPr>
        <sz val="11"/>
        <color theme="1"/>
        <rFont val="Calibri"/>
        <family val="2"/>
        <scheme val="minor"/>
      </rPr>
      <t>, lbs</t>
    </r>
  </si>
  <si>
    <r>
      <t>Process 1</t>
    </r>
    <r>
      <rPr>
        <sz val="11"/>
        <color theme="1"/>
        <rFont val="Calibri"/>
        <family val="2"/>
        <scheme val="minor"/>
      </rPr>
      <t>, lbs</t>
    </r>
  </si>
  <si>
    <r>
      <t>Received</t>
    </r>
    <r>
      <rPr>
        <sz val="11"/>
        <color theme="1"/>
        <rFont val="Calibri"/>
        <family val="2"/>
        <scheme val="minor"/>
      </rPr>
      <t>, lbs</t>
    </r>
  </si>
  <si>
    <t>Clean Channel</t>
  </si>
  <si>
    <t xml:space="preserve">Customer (Vehicle / Equipment Owner) Information </t>
  </si>
  <si>
    <t>Center</t>
  </si>
  <si>
    <t>Billing_CompanyName</t>
  </si>
  <si>
    <t>Vehicle_SerialNumber</t>
  </si>
  <si>
    <t>Engine_Manufacturer</t>
  </si>
  <si>
    <t>ECD_Manufacturer</t>
  </si>
  <si>
    <t>AshOnFace</t>
  </si>
  <si>
    <t>SootOnFace</t>
  </si>
  <si>
    <t>OutletColor</t>
  </si>
  <si>
    <t>Summary</t>
  </si>
  <si>
    <t>PA</t>
  </si>
  <si>
    <t>Type</t>
  </si>
  <si>
    <t>Legacy Job ID</t>
  </si>
  <si>
    <t>FuelConsumption</t>
  </si>
  <si>
    <t>UsageTimeDistance</t>
  </si>
  <si>
    <t>VehicleType</t>
  </si>
  <si>
    <t>InitialCleaning</t>
  </si>
  <si>
    <t>LegacyJobID</t>
  </si>
  <si>
    <t>CleaingLocation</t>
  </si>
  <si>
    <t>CleaningAddress1</t>
  </si>
  <si>
    <t>CleaningAddress2</t>
  </si>
  <si>
    <t>CleaningCity</t>
  </si>
  <si>
    <t>CleaningState</t>
  </si>
  <si>
    <t>CleaningZip</t>
  </si>
  <si>
    <t>Light</t>
  </si>
  <si>
    <t>None</t>
  </si>
  <si>
    <t>NA</t>
  </si>
  <si>
    <t xml:space="preserve">Passed  pin drop test </t>
  </si>
  <si>
    <t>1337 North Nelson Street</t>
  </si>
  <si>
    <t>Allentown</t>
  </si>
  <si>
    <t>18109</t>
  </si>
  <si>
    <t>Allentown - 1337 N. Nelson Street</t>
  </si>
  <si>
    <t>Sales Status</t>
  </si>
  <si>
    <t>1944</t>
  </si>
  <si>
    <t>FED-1944</t>
  </si>
  <si>
    <t>PinTest</t>
  </si>
  <si>
    <t>Dave Jensen</t>
  </si>
  <si>
    <t>Fed Ex</t>
  </si>
  <si>
    <t>FED</t>
  </si>
  <si>
    <t>942 South Shady Grove Road</t>
  </si>
  <si>
    <t>Memphis</t>
  </si>
  <si>
    <t>38120</t>
  </si>
  <si>
    <t>TN</t>
  </si>
  <si>
    <t>Bethlehem - ABEA</t>
  </si>
  <si>
    <t>126 N. Commerce Way</t>
  </si>
  <si>
    <t>Bethlehem</t>
  </si>
  <si>
    <t>18017</t>
  </si>
  <si>
    <t>Isuzu</t>
  </si>
  <si>
    <t>Cordierite (ceramic)</t>
  </si>
  <si>
    <t>Good</t>
  </si>
  <si>
    <t>DOC</t>
  </si>
  <si>
    <t>898204940</t>
  </si>
  <si>
    <t>25 04 07 21 54</t>
  </si>
  <si>
    <t>The DOC ceramic substrate is in good structural condition. No indications of structural degradation.  Remmoved 0.13 lbs of soot and lube ash using the catalyst wash method - 14 grams per liter substrate. The DOC is clean and ready for re-use.</t>
  </si>
  <si>
    <t>Current Mileage</t>
  </si>
  <si>
    <t>Current Hours</t>
  </si>
  <si>
    <t>Gallons per Hour</t>
  </si>
  <si>
    <t>Miles per Gallons</t>
  </si>
  <si>
    <t>Miles at last cleaning / install</t>
  </si>
  <si>
    <t>Hours at last cleaning / install</t>
  </si>
  <si>
    <t>1973</t>
  </si>
  <si>
    <t>26116160612 / CPN 4353249</t>
  </si>
  <si>
    <t>VAN-1973</t>
  </si>
  <si>
    <t>[Note:  The DOC substrate as received had high soot load at inlet face, and brown staining at outlet face]. The DOC ceramic substrate is in good structural condition.  Removed 0.64lbs of soot and ash - 26 grams per liter substrate - using the catalyst wash method.  The DOC is clean and ready for re-use.</t>
  </si>
  <si>
    <t>xxxxxxxxxxx420656</t>
  </si>
  <si>
    <t>367</t>
  </si>
  <si>
    <t>79917227</t>
  </si>
  <si>
    <t>Cummins</t>
  </si>
  <si>
    <t>26116160612</t>
  </si>
  <si>
    <t>CPN 4353249</t>
  </si>
  <si>
    <t>EPN A047V447</t>
  </si>
  <si>
    <t>v 1.3.2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</si>
</sst>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47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9" borderId="1" xfId="0" applyNumberFormat="1" applyFill="1" applyBorder="1" applyAlignment="1">
      <alignment horizontal="center"/>
    </xf>
    <xf numFmtId="166" fontId="0" fillId="9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right" vertical="center" wrapText="1" indent="2"/>
    </xf>
    <xf numFmtId="0" fontId="13" fillId="0" borderId="0" xfId="0" applyFont="1"/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3" fontId="0" fillId="5" borderId="0" xfId="0" applyNumberFormat="1" applyFill="1" applyBorder="1"/>
    <xf numFmtId="3" fontId="0" fillId="5" borderId="8" xfId="0" applyNumberFormat="1" applyFill="1" applyBorder="1"/>
    <xf numFmtId="165" fontId="0" fillId="4" borderId="0" xfId="0" applyNumberFormat="1" applyFill="1" applyBorder="1" applyAlignment="1" applyProtection="1">
      <alignment horizontal="center"/>
    </xf>
    <xf numFmtId="0" fontId="14" fillId="0" borderId="0" xfId="0" applyFont="1"/>
    <xf numFmtId="0" fontId="0" fillId="9" borderId="10" xfId="0" applyFill="1" applyBorder="1" applyAlignment="1">
      <alignment horizontal="center"/>
    </xf>
    <xf numFmtId="2" fontId="14" fillId="0" borderId="0" xfId="0" applyNumberFormat="1" applyFont="1" applyAlignment="1">
      <alignment horizontal="left" vertical="center"/>
    </xf>
    <xf numFmtId="2" fontId="14" fillId="0" borderId="0" xfId="0" applyNumberFormat="1" applyFont="1" applyAlignment="1">
      <alignment horizontal="right" vertical="center"/>
    </xf>
    <xf numFmtId="165" fontId="14" fillId="0" borderId="0" xfId="0" applyNumberFormat="1" applyFont="1" applyAlignment="1">
      <alignment horizontal="left" vertical="center"/>
    </xf>
    <xf numFmtId="0" fontId="0" fillId="0" borderId="0" xfId="0" applyAlignment="1">
      <alignment horizontal="right" vertical="center"/>
    </xf>
    <xf numFmtId="2" fontId="14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15" fillId="0" borderId="0" xfId="0" applyFont="1" applyAlignment="1">
      <alignment horizontal="left" vertical="center" indent="2"/>
    </xf>
    <xf numFmtId="0" fontId="0" fillId="0" borderId="0" xfId="0" applyFont="1" applyAlignment="1">
      <alignment horizontal="right"/>
    </xf>
    <xf numFmtId="2" fontId="0" fillId="0" borderId="0" xfId="0" applyNumberFormat="1" applyFont="1" applyAlignment="1">
      <alignment horizontal="left" vertical="center" indent="4"/>
    </xf>
    <xf numFmtId="0" fontId="0" fillId="0" borderId="0" xfId="0" applyFont="1" applyAlignment="1">
      <alignment horizontal="left" vertical="center" indent="4"/>
    </xf>
    <xf numFmtId="2" fontId="0" fillId="0" borderId="0" xfId="0" applyNumberFormat="1" applyFont="1" applyAlignment="1">
      <alignment horizontal="left" vertical="center" indent="1"/>
    </xf>
    <xf numFmtId="165" fontId="0" fillId="0" borderId="0" xfId="0" applyNumberFormat="1" applyFont="1" applyAlignment="1">
      <alignment horizontal="left" vertical="center" indent="1"/>
    </xf>
    <xf numFmtId="2" fontId="0" fillId="0" borderId="0" xfId="0" applyNumberFormat="1" applyFont="1" applyAlignment="1">
      <alignment horizontal="left" vertical="center"/>
    </xf>
    <xf numFmtId="2" fontId="0" fillId="0" borderId="0" xfId="0" applyNumberFormat="1" applyFont="1" applyAlignment="1">
      <alignment horizontal="right" vertical="center"/>
    </xf>
    <xf numFmtId="2" fontId="0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right" vertical="center" indent="2"/>
    </xf>
    <xf numFmtId="165" fontId="0" fillId="4" borderId="8" xfId="0" applyNumberFormat="1" applyFill="1" applyBorder="1" applyAlignment="1" applyProtection="1">
      <alignment horizontal="center"/>
    </xf>
    <xf numFmtId="0" fontId="0" fillId="0" borderId="4" xfId="0" applyFont="1" applyBorder="1"/>
    <xf numFmtId="0" fontId="0" fillId="3" borderId="0" xfId="0" applyFill="1" applyAlignment="1">
      <alignment horizontal="left"/>
    </xf>
    <xf numFmtId="49" fontId="0" fillId="8" borderId="1" xfId="0" applyNumberFormat="1" applyFill="1" applyBorder="1" applyAlignment="1" applyProtection="1">
      <alignment horizontal="left" vertical="center" indent="2"/>
      <protection locked="0"/>
    </xf>
    <xf numFmtId="2" fontId="0" fillId="3" borderId="2" xfId="0" applyNumberFormat="1" applyFill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6" Type="http://schemas.openxmlformats.org/officeDocument/2006/relationships/image" Target="../media/image21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2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7" Type="http://schemas.openxmlformats.org/officeDocument/2006/relationships/image" Target="../media/image34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8.emf"/><Relationship Id="rId5" Type="http://schemas.openxmlformats.org/officeDocument/2006/relationships/image" Target="../media/image33.emf"/><Relationship Id="rId4" Type="http://schemas.openxmlformats.org/officeDocument/2006/relationships/image" Target="../media/image29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6" Type="http://schemas.openxmlformats.org/officeDocument/2006/relationships/image" Target="../media/image40.emf"/><Relationship Id="rId5" Type="http://schemas.openxmlformats.org/officeDocument/2006/relationships/image" Target="../media/image39.emf"/><Relationship Id="rId4" Type="http://schemas.openxmlformats.org/officeDocument/2006/relationships/image" Target="../media/image3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7" Type="http://schemas.openxmlformats.org/officeDocument/2006/relationships/image" Target="../media/image50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6" Type="http://schemas.openxmlformats.org/officeDocument/2006/relationships/image" Target="../media/image44.emf"/><Relationship Id="rId5" Type="http://schemas.openxmlformats.org/officeDocument/2006/relationships/image" Target="../media/image49.emf"/><Relationship Id="rId4" Type="http://schemas.openxmlformats.org/officeDocument/2006/relationships/image" Target="../media/image48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13" Type="http://schemas.openxmlformats.org/officeDocument/2006/relationships/image" Target="../media/image65.emf"/><Relationship Id="rId18" Type="http://schemas.openxmlformats.org/officeDocument/2006/relationships/image" Target="../media/image70.emf"/><Relationship Id="rId3" Type="http://schemas.openxmlformats.org/officeDocument/2006/relationships/image" Target="../media/image55.emf"/><Relationship Id="rId21" Type="http://schemas.openxmlformats.org/officeDocument/2006/relationships/image" Target="../media/image73.emf"/><Relationship Id="rId7" Type="http://schemas.openxmlformats.org/officeDocument/2006/relationships/image" Target="../media/image59.emf"/><Relationship Id="rId12" Type="http://schemas.openxmlformats.org/officeDocument/2006/relationships/image" Target="../media/image64.emf"/><Relationship Id="rId17" Type="http://schemas.openxmlformats.org/officeDocument/2006/relationships/image" Target="../media/image69.emf"/><Relationship Id="rId25" Type="http://schemas.openxmlformats.org/officeDocument/2006/relationships/image" Target="../media/image51.emf"/><Relationship Id="rId2" Type="http://schemas.openxmlformats.org/officeDocument/2006/relationships/image" Target="../media/image54.emf"/><Relationship Id="rId16" Type="http://schemas.openxmlformats.org/officeDocument/2006/relationships/image" Target="../media/image68.emf"/><Relationship Id="rId20" Type="http://schemas.openxmlformats.org/officeDocument/2006/relationships/image" Target="../media/image72.emf"/><Relationship Id="rId1" Type="http://schemas.openxmlformats.org/officeDocument/2006/relationships/image" Target="../media/image53.emf"/><Relationship Id="rId6" Type="http://schemas.openxmlformats.org/officeDocument/2006/relationships/image" Target="../media/image58.emf"/><Relationship Id="rId11" Type="http://schemas.openxmlformats.org/officeDocument/2006/relationships/image" Target="../media/image63.emf"/><Relationship Id="rId24" Type="http://schemas.openxmlformats.org/officeDocument/2006/relationships/image" Target="../media/image52.emf"/><Relationship Id="rId5" Type="http://schemas.openxmlformats.org/officeDocument/2006/relationships/image" Target="../media/image57.emf"/><Relationship Id="rId15" Type="http://schemas.openxmlformats.org/officeDocument/2006/relationships/image" Target="../media/image67.emf"/><Relationship Id="rId23" Type="http://schemas.openxmlformats.org/officeDocument/2006/relationships/image" Target="../media/image75.emf"/><Relationship Id="rId10" Type="http://schemas.openxmlformats.org/officeDocument/2006/relationships/image" Target="../media/image62.emf"/><Relationship Id="rId19" Type="http://schemas.openxmlformats.org/officeDocument/2006/relationships/image" Target="../media/image71.emf"/><Relationship Id="rId4" Type="http://schemas.openxmlformats.org/officeDocument/2006/relationships/image" Target="../media/image56.emf"/><Relationship Id="rId9" Type="http://schemas.openxmlformats.org/officeDocument/2006/relationships/image" Target="../media/image61.emf"/><Relationship Id="rId14" Type="http://schemas.openxmlformats.org/officeDocument/2006/relationships/image" Target="../media/image66.emf"/><Relationship Id="rId22" Type="http://schemas.openxmlformats.org/officeDocument/2006/relationships/image" Target="../media/image74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2.emf"/><Relationship Id="rId2" Type="http://schemas.openxmlformats.org/officeDocument/2006/relationships/image" Target="../media/image81.emf"/><Relationship Id="rId1" Type="http://schemas.openxmlformats.org/officeDocument/2006/relationships/image" Target="../media/image80.emf"/><Relationship Id="rId5" Type="http://schemas.openxmlformats.org/officeDocument/2006/relationships/image" Target="../media/image79.emf"/><Relationship Id="rId4" Type="http://schemas.openxmlformats.org/officeDocument/2006/relationships/image" Target="../media/image83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1.emf"/><Relationship Id="rId13" Type="http://schemas.openxmlformats.org/officeDocument/2006/relationships/image" Target="../media/image96.emf"/><Relationship Id="rId3" Type="http://schemas.openxmlformats.org/officeDocument/2006/relationships/image" Target="../media/image86.emf"/><Relationship Id="rId7" Type="http://schemas.openxmlformats.org/officeDocument/2006/relationships/image" Target="../media/image90.emf"/><Relationship Id="rId12" Type="http://schemas.openxmlformats.org/officeDocument/2006/relationships/image" Target="../media/image95.emf"/><Relationship Id="rId2" Type="http://schemas.openxmlformats.org/officeDocument/2006/relationships/image" Target="../media/image85.emf"/><Relationship Id="rId1" Type="http://schemas.openxmlformats.org/officeDocument/2006/relationships/image" Target="../media/image84.emf"/><Relationship Id="rId6" Type="http://schemas.openxmlformats.org/officeDocument/2006/relationships/image" Target="../media/image89.emf"/><Relationship Id="rId11" Type="http://schemas.openxmlformats.org/officeDocument/2006/relationships/image" Target="../media/image94.emf"/><Relationship Id="rId5" Type="http://schemas.openxmlformats.org/officeDocument/2006/relationships/image" Target="../media/image88.emf"/><Relationship Id="rId10" Type="http://schemas.openxmlformats.org/officeDocument/2006/relationships/image" Target="../media/image93.emf"/><Relationship Id="rId4" Type="http://schemas.openxmlformats.org/officeDocument/2006/relationships/image" Target="../media/image87.emf"/><Relationship Id="rId9" Type="http://schemas.openxmlformats.org/officeDocument/2006/relationships/image" Target="../media/image92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7.emf"/><Relationship Id="rId2" Type="http://schemas.openxmlformats.org/officeDocument/2006/relationships/image" Target="../media/image98.emf"/><Relationship Id="rId1" Type="http://schemas.openxmlformats.org/officeDocument/2006/relationships/image" Target="../media/image9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209550</xdr:colOff>
          <xdr:row>2</xdr:row>
          <xdr:rowOff>123825</xdr:rowOff>
        </xdr:from>
        <xdr:to>
          <xdr:col>7</xdr:col>
          <xdr:colOff>361950</xdr:colOff>
          <xdr:row>4</xdr:row>
          <xdr:rowOff>104775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209550</xdr:colOff>
          <xdr:row>5</xdr:row>
          <xdr:rowOff>76200</xdr:rowOff>
        </xdr:from>
        <xdr:to>
          <xdr:col>7</xdr:col>
          <xdr:colOff>361950</xdr:colOff>
          <xdr:row>7</xdr:row>
          <xdr:rowOff>57150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209550</xdr:colOff>
          <xdr:row>8</xdr:row>
          <xdr:rowOff>85725</xdr:rowOff>
        </xdr:from>
        <xdr:to>
          <xdr:col>7</xdr:col>
          <xdr:colOff>361950</xdr:colOff>
          <xdr:row>10</xdr:row>
          <xdr:rowOff>66675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209550</xdr:colOff>
          <xdr:row>11</xdr:row>
          <xdr:rowOff>66675</xdr:rowOff>
        </xdr:from>
        <xdr:to>
          <xdr:col>7</xdr:col>
          <xdr:colOff>361950</xdr:colOff>
          <xdr:row>13</xdr:row>
          <xdr:rowOff>47625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95250</xdr:colOff>
          <xdr:row>5</xdr:row>
          <xdr:rowOff>76200</xdr:rowOff>
        </xdr:from>
        <xdr:to>
          <xdr:col>10</xdr:col>
          <xdr:colOff>247650</xdr:colOff>
          <xdr:row>7</xdr:row>
          <xdr:rowOff>57150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2</xdr:row>
          <xdr:rowOff>123825</xdr:rowOff>
        </xdr:from>
        <xdr:to>
          <xdr:col>4</xdr:col>
          <xdr:colOff>104775</xdr:colOff>
          <xdr:row>4</xdr:row>
          <xdr:rowOff>104775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95250</xdr:colOff>
          <xdr:row>2</xdr:row>
          <xdr:rowOff>123825</xdr:rowOff>
        </xdr:from>
        <xdr:to>
          <xdr:col>10</xdr:col>
          <xdr:colOff>247650</xdr:colOff>
          <xdr:row>4</xdr:row>
          <xdr:rowOff>104775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5</xdr:row>
          <xdr:rowOff>76200</xdr:rowOff>
        </xdr:from>
        <xdr:to>
          <xdr:col>4</xdr:col>
          <xdr:colOff>104775</xdr:colOff>
          <xdr:row>7</xdr:row>
          <xdr:rowOff>57150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11</xdr:row>
          <xdr:rowOff>66675</xdr:rowOff>
        </xdr:from>
        <xdr:to>
          <xdr:col>4</xdr:col>
          <xdr:colOff>104775</xdr:colOff>
          <xdr:row>13</xdr:row>
          <xdr:rowOff>47625</xdr:rowOff>
        </xdr:to>
        <xdr:sp macro="" textlink="">
          <xdr:nvSpPr>
            <xdr:cNvPr id="7181" name="cmdSearch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28575</xdr:rowOff>
        </xdr:from>
        <xdr:to>
          <xdr:col>2</xdr:col>
          <xdr:colOff>19050</xdr:colOff>
          <xdr:row>9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12</xdr:row>
          <xdr:rowOff>95250</xdr:rowOff>
        </xdr:from>
        <xdr:to>
          <xdr:col>1</xdr:col>
          <xdr:colOff>419100</xdr:colOff>
          <xdr:row>12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371475</xdr:rowOff>
        </xdr:from>
        <xdr:to>
          <xdr:col>2</xdr:col>
          <xdr:colOff>19050</xdr:colOff>
          <xdr:row>5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609600</xdr:colOff>
          <xdr:row>4</xdr:row>
          <xdr:rowOff>38100</xdr:rowOff>
        </xdr:from>
        <xdr:to>
          <xdr:col>3</xdr:col>
          <xdr:colOff>1057275</xdr:colOff>
          <xdr:row>4</xdr:row>
          <xdr:rowOff>314325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19050</xdr:rowOff>
        </xdr:from>
        <xdr:to>
          <xdr:col>2</xdr:col>
          <xdr:colOff>9525</xdr:colOff>
          <xdr:row>3</xdr:row>
          <xdr:rowOff>0</xdr:rowOff>
        </xdr:to>
        <xdr:sp macro="" textlink="">
          <xdr:nvSpPr>
            <xdr:cNvPr id="11272" name="cbVehicleType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4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38100</xdr:rowOff>
        </xdr:from>
        <xdr:to>
          <xdr:col>2</xdr:col>
          <xdr:colOff>200025</xdr:colOff>
          <xdr:row>20</xdr:row>
          <xdr:rowOff>171450</xdr:rowOff>
        </xdr:to>
        <xdr:sp macro="" textlink="">
          <xdr:nvSpPr>
            <xdr:cNvPr id="33793" name="chkOvrRdHw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8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28575</xdr:rowOff>
        </xdr:from>
        <xdr:to>
          <xdr:col>2</xdr:col>
          <xdr:colOff>200025</xdr:colOff>
          <xdr:row>21</xdr:row>
          <xdr:rowOff>190500</xdr:rowOff>
        </xdr:to>
        <xdr:sp macro="" textlink="">
          <xdr:nvSpPr>
            <xdr:cNvPr id="33794" name="chkStartStop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8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28575</xdr:rowOff>
        </xdr:from>
        <xdr:to>
          <xdr:col>2</xdr:col>
          <xdr:colOff>200025</xdr:colOff>
          <xdr:row>22</xdr:row>
          <xdr:rowOff>190500</xdr:rowOff>
        </xdr:to>
        <xdr:sp macro="" textlink="">
          <xdr:nvSpPr>
            <xdr:cNvPr id="33795" name="chkHighIdle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8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25</xdr:row>
          <xdr:rowOff>9525</xdr:rowOff>
        </xdr:from>
        <xdr:to>
          <xdr:col>2</xdr:col>
          <xdr:colOff>200025</xdr:colOff>
          <xdr:row>25</xdr:row>
          <xdr:rowOff>171450</xdr:rowOff>
        </xdr:to>
        <xdr:sp macro="" textlink="">
          <xdr:nvSpPr>
            <xdr:cNvPr id="33796" name="chkPreventMaint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8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26</xdr:row>
          <xdr:rowOff>9525</xdr:rowOff>
        </xdr:from>
        <xdr:to>
          <xdr:col>2</xdr:col>
          <xdr:colOff>200025</xdr:colOff>
          <xdr:row>26</xdr:row>
          <xdr:rowOff>171450</xdr:rowOff>
        </xdr:to>
        <xdr:sp macro="" textlink="">
          <xdr:nvSpPr>
            <xdr:cNvPr id="33797" name="chkHighSootLoad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8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27</xdr:row>
          <xdr:rowOff>19050</xdr:rowOff>
        </xdr:from>
        <xdr:to>
          <xdr:col>2</xdr:col>
          <xdr:colOff>200025</xdr:colOff>
          <xdr:row>27</xdr:row>
          <xdr:rowOff>180975</xdr:rowOff>
        </xdr:to>
        <xdr:sp macro="" textlink="">
          <xdr:nvSpPr>
            <xdr:cNvPr id="33798" name="chkEngineFail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8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1466850</xdr:colOff>
          <xdr:row>2</xdr:row>
          <xdr:rowOff>209550</xdr:rowOff>
        </xdr:to>
        <xdr:sp macro="" textlink="">
          <xdr:nvSpPr>
            <xdr:cNvPr id="33799" name="cmdSave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8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0</xdr:rowOff>
        </xdr:from>
        <xdr:to>
          <xdr:col>2</xdr:col>
          <xdr:colOff>1733550</xdr:colOff>
          <xdr:row>12</xdr:row>
          <xdr:rowOff>19050</xdr:rowOff>
        </xdr:to>
        <xdr:sp macro="" textlink="">
          <xdr:nvSpPr>
            <xdr:cNvPr id="33800" name="cbDPF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8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2</xdr:col>
          <xdr:colOff>2305050</xdr:colOff>
          <xdr:row>5</xdr:row>
          <xdr:rowOff>38100</xdr:rowOff>
        </xdr:to>
        <xdr:sp macro="" textlink="">
          <xdr:nvSpPr>
            <xdr:cNvPr id="33801" name="cbCompany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8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28575</xdr:rowOff>
        </xdr:from>
        <xdr:to>
          <xdr:col>3</xdr:col>
          <xdr:colOff>38100</xdr:colOff>
          <xdr:row>7</xdr:row>
          <xdr:rowOff>38100</xdr:rowOff>
        </xdr:to>
        <xdr:sp macro="" textlink="">
          <xdr:nvSpPr>
            <xdr:cNvPr id="33802" name="cbCompLocation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8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9525</xdr:rowOff>
        </xdr:from>
        <xdr:to>
          <xdr:col>2</xdr:col>
          <xdr:colOff>2305050</xdr:colOff>
          <xdr:row>13</xdr:row>
          <xdr:rowOff>19050</xdr:rowOff>
        </xdr:to>
        <xdr:sp macro="" textlink="">
          <xdr:nvSpPr>
            <xdr:cNvPr id="33803" name="cbVehicle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8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13</xdr:row>
          <xdr:rowOff>9525</xdr:rowOff>
        </xdr:from>
        <xdr:to>
          <xdr:col>2</xdr:col>
          <xdr:colOff>2305050</xdr:colOff>
          <xdr:row>14</xdr:row>
          <xdr:rowOff>0</xdr:rowOff>
        </xdr:to>
        <xdr:sp macro="" textlink="">
          <xdr:nvSpPr>
            <xdr:cNvPr id="33804" name="cbEngine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8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9525</xdr:rowOff>
        </xdr:from>
        <xdr:to>
          <xdr:col>2</xdr:col>
          <xdr:colOff>2305050</xdr:colOff>
          <xdr:row>15</xdr:row>
          <xdr:rowOff>0</xdr:rowOff>
        </xdr:to>
        <xdr:sp macro="" textlink="">
          <xdr:nvSpPr>
            <xdr:cNvPr id="33805" name="cbECD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8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9525</xdr:rowOff>
        </xdr:from>
        <xdr:to>
          <xdr:col>2</xdr:col>
          <xdr:colOff>2305050</xdr:colOff>
          <xdr:row>24</xdr:row>
          <xdr:rowOff>0</xdr:rowOff>
        </xdr:to>
        <xdr:sp macro="" textlink="">
          <xdr:nvSpPr>
            <xdr:cNvPr id="33806" name="cbDrivingType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8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28</xdr:row>
          <xdr:rowOff>19050</xdr:rowOff>
        </xdr:from>
        <xdr:to>
          <xdr:col>2</xdr:col>
          <xdr:colOff>2305050</xdr:colOff>
          <xdr:row>29</xdr:row>
          <xdr:rowOff>19050</xdr:rowOff>
        </xdr:to>
        <xdr:sp macro="" textlink="">
          <xdr:nvSpPr>
            <xdr:cNvPr id="33807" name="cbCleaningReason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8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209550</xdr:rowOff>
        </xdr:from>
        <xdr:to>
          <xdr:col>4</xdr:col>
          <xdr:colOff>1466850</xdr:colOff>
          <xdr:row>6</xdr:row>
          <xdr:rowOff>76200</xdr:rowOff>
        </xdr:to>
        <xdr:sp macro="" textlink="">
          <xdr:nvSpPr>
            <xdr:cNvPr id="33808" name="cmdMenu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8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3</xdr:col>
          <xdr:colOff>0</xdr:colOff>
          <xdr:row>4</xdr:row>
          <xdr:rowOff>28575</xdr:rowOff>
        </xdr:to>
        <xdr:sp macro="" textlink="">
          <xdr:nvSpPr>
            <xdr:cNvPr id="33809" name="cbBillingCompany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8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2</xdr:col>
          <xdr:colOff>1733550</xdr:colOff>
          <xdr:row>3</xdr:row>
          <xdr:rowOff>19050</xdr:rowOff>
        </xdr:to>
        <xdr:sp macro="" textlink="">
          <xdr:nvSpPr>
            <xdr:cNvPr id="33810" name="cbSalesID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8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28575</xdr:rowOff>
        </xdr:from>
        <xdr:to>
          <xdr:col>4</xdr:col>
          <xdr:colOff>1466850</xdr:colOff>
          <xdr:row>8</xdr:row>
          <xdr:rowOff>123825</xdr:rowOff>
        </xdr:to>
        <xdr:sp macro="" textlink="">
          <xdr:nvSpPr>
            <xdr:cNvPr id="33811" name="cmdVehicle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8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161925</xdr:rowOff>
        </xdr:from>
        <xdr:to>
          <xdr:col>4</xdr:col>
          <xdr:colOff>1466850</xdr:colOff>
          <xdr:row>10</xdr:row>
          <xdr:rowOff>28575</xdr:rowOff>
        </xdr:to>
        <xdr:sp macro="" textlink="">
          <xdr:nvSpPr>
            <xdr:cNvPr id="33812" name="cmdEngine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8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66675</xdr:rowOff>
        </xdr:from>
        <xdr:to>
          <xdr:col>4</xdr:col>
          <xdr:colOff>1466850</xdr:colOff>
          <xdr:row>11</xdr:row>
          <xdr:rowOff>161925</xdr:rowOff>
        </xdr:to>
        <xdr:sp macro="" textlink="">
          <xdr:nvSpPr>
            <xdr:cNvPr id="33813" name="cmdECD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8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5</xdr:row>
          <xdr:rowOff>9525</xdr:rowOff>
        </xdr:from>
        <xdr:to>
          <xdr:col>8</xdr:col>
          <xdr:colOff>38100</xdr:colOff>
          <xdr:row>6</xdr:row>
          <xdr:rowOff>104775</xdr:rowOff>
        </xdr:to>
        <xdr:sp macro="" textlink="">
          <xdr:nvSpPr>
            <xdr:cNvPr id="33814" name="cmdQuality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8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7</xdr:row>
          <xdr:rowOff>47625</xdr:rowOff>
        </xdr:from>
        <xdr:to>
          <xdr:col>8</xdr:col>
          <xdr:colOff>47625</xdr:colOff>
          <xdr:row>8</xdr:row>
          <xdr:rowOff>142875</xdr:rowOff>
        </xdr:to>
        <xdr:sp macro="" textlink="">
          <xdr:nvSpPr>
            <xdr:cNvPr id="33815" name="cmdQAProcess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8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</xdr:row>
          <xdr:rowOff>133350</xdr:rowOff>
        </xdr:from>
        <xdr:to>
          <xdr:col>8</xdr:col>
          <xdr:colOff>47625</xdr:colOff>
          <xdr:row>3</xdr:row>
          <xdr:rowOff>0</xdr:rowOff>
        </xdr:to>
        <xdr:sp macro="" textlink="">
          <xdr:nvSpPr>
            <xdr:cNvPr id="33816" name="cmdReport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8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19050</xdr:rowOff>
        </xdr:from>
        <xdr:to>
          <xdr:col>2</xdr:col>
          <xdr:colOff>2314575</xdr:colOff>
          <xdr:row>6</xdr:row>
          <xdr:rowOff>19050</xdr:rowOff>
        </xdr:to>
        <xdr:sp macro="" textlink="">
          <xdr:nvSpPr>
            <xdr:cNvPr id="33817" name="txtTrackingNo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8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9525</xdr:rowOff>
        </xdr:from>
        <xdr:to>
          <xdr:col>3</xdr:col>
          <xdr:colOff>19050</xdr:colOff>
          <xdr:row>8</xdr:row>
          <xdr:rowOff>9525</xdr:rowOff>
        </xdr:to>
        <xdr:sp macro="" textlink="">
          <xdr:nvSpPr>
            <xdr:cNvPr id="33818" name="txtContact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8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2</xdr:col>
          <xdr:colOff>2305050</xdr:colOff>
          <xdr:row>9</xdr:row>
          <xdr:rowOff>0</xdr:rowOff>
        </xdr:to>
        <xdr:sp macro="" textlink="">
          <xdr:nvSpPr>
            <xdr:cNvPr id="33819" name="cbCleaningLocation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00000000-0008-0000-08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0</xdr:rowOff>
        </xdr:from>
        <xdr:to>
          <xdr:col>2</xdr:col>
          <xdr:colOff>2305050</xdr:colOff>
          <xdr:row>2</xdr:row>
          <xdr:rowOff>19050</xdr:rowOff>
        </xdr:to>
        <xdr:sp macro="" textlink="">
          <xdr:nvSpPr>
            <xdr:cNvPr id="33820" name="cbSalesStatusID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08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1257300</xdr:colOff>
          <xdr:row>2</xdr:row>
          <xdr:rowOff>57150</xdr:rowOff>
        </xdr:from>
        <xdr:to>
          <xdr:col>6</xdr:col>
          <xdr:colOff>133350</xdr:colOff>
          <xdr:row>3</xdr:row>
          <xdr:rowOff>142875</xdr:rowOff>
        </xdr:to>
        <xdr:sp macro="" textlink="">
          <xdr:nvSpPr>
            <xdr:cNvPr id="29697" name="cmdSearch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1238250</xdr:colOff>
          <xdr:row>6</xdr:row>
          <xdr:rowOff>9525</xdr:rowOff>
        </xdr:from>
        <xdr:to>
          <xdr:col>6</xdr:col>
          <xdr:colOff>152400</xdr:colOff>
          <xdr:row>7</xdr:row>
          <xdr:rowOff>114300</xdr:rowOff>
        </xdr:to>
        <xdr:sp macro="" textlink="">
          <xdr:nvSpPr>
            <xdr:cNvPr id="29699" name="cmdMenu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2</xdr:row>
          <xdr:rowOff>66675</xdr:rowOff>
        </xdr:from>
        <xdr:to>
          <xdr:col>4</xdr:col>
          <xdr:colOff>952500</xdr:colOff>
          <xdr:row>3</xdr:row>
          <xdr:rowOff>133350</xdr:rowOff>
        </xdr:to>
        <xdr:sp macro="" textlink="">
          <xdr:nvSpPr>
            <xdr:cNvPr id="29702" name="txtSearch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523875</xdr:colOff>
          <xdr:row>3</xdr:row>
          <xdr:rowOff>57150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B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B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561975</xdr:colOff>
          <xdr:row>5</xdr:row>
          <xdr:rowOff>123825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B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B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B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11</xdr:row>
          <xdr:rowOff>28575</xdr:rowOff>
        </xdr:from>
        <xdr:to>
          <xdr:col>8</xdr:col>
          <xdr:colOff>228600</xdr:colOff>
          <xdr:row>11</xdr:row>
          <xdr:rowOff>152400</xdr:rowOff>
        </xdr:to>
        <xdr:sp macro="" textlink="">
          <xdr:nvSpPr>
            <xdr:cNvPr id="34817" name="chkCoolant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22</xdr:row>
          <xdr:rowOff>28575</xdr:rowOff>
        </xdr:from>
        <xdr:to>
          <xdr:col>2</xdr:col>
          <xdr:colOff>323850</xdr:colOff>
          <xdr:row>22</xdr:row>
          <xdr:rowOff>190500</xdr:rowOff>
        </xdr:to>
        <xdr:sp macro="" textlink="">
          <xdr:nvSpPr>
            <xdr:cNvPr id="34818" name="chkUSignalReceived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C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57150</xdr:rowOff>
        </xdr:from>
        <xdr:to>
          <xdr:col>5</xdr:col>
          <xdr:colOff>1038225</xdr:colOff>
          <xdr:row>3</xdr:row>
          <xdr:rowOff>200025</xdr:rowOff>
        </xdr:to>
        <xdr:sp macro="" textlink="">
          <xdr:nvSpPr>
            <xdr:cNvPr id="34820" name="cmdSave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C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38100</xdr:rowOff>
        </xdr:from>
        <xdr:to>
          <xdr:col>8</xdr:col>
          <xdr:colOff>228600</xdr:colOff>
          <xdr:row>12</xdr:row>
          <xdr:rowOff>161925</xdr:rowOff>
        </xdr:to>
        <xdr:sp macro="" textlink="">
          <xdr:nvSpPr>
            <xdr:cNvPr id="34821" name="chkRedAsh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C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9525</xdr:rowOff>
        </xdr:from>
        <xdr:to>
          <xdr:col>3</xdr:col>
          <xdr:colOff>123825</xdr:colOff>
          <xdr:row>16</xdr:row>
          <xdr:rowOff>0</xdr:rowOff>
        </xdr:to>
        <xdr:sp macro="" textlink="">
          <xdr:nvSpPr>
            <xdr:cNvPr id="34822" name="cbSoot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C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3</xdr:col>
          <xdr:colOff>123825</xdr:colOff>
          <xdr:row>17</xdr:row>
          <xdr:rowOff>0</xdr:rowOff>
        </xdr:to>
        <xdr:sp macro="" textlink="">
          <xdr:nvSpPr>
            <xdr:cNvPr id="34823" name="cbAsh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C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9525</xdr:rowOff>
        </xdr:from>
        <xdr:to>
          <xdr:col>3</xdr:col>
          <xdr:colOff>123825</xdr:colOff>
          <xdr:row>18</xdr:row>
          <xdr:rowOff>0</xdr:rowOff>
        </xdr:to>
        <xdr:sp macro="" textlink="">
          <xdr:nvSpPr>
            <xdr:cNvPr id="34824" name="cbAshColor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C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9525</xdr:rowOff>
        </xdr:from>
        <xdr:to>
          <xdr:col>3</xdr:col>
          <xdr:colOff>123825</xdr:colOff>
          <xdr:row>20</xdr:row>
          <xdr:rowOff>0</xdr:rowOff>
        </xdr:to>
        <xdr:sp macro="" textlink="">
          <xdr:nvSpPr>
            <xdr:cNvPr id="34825" name="cbOutletColor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C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36</xdr:row>
          <xdr:rowOff>28575</xdr:rowOff>
        </xdr:from>
        <xdr:to>
          <xdr:col>1</xdr:col>
          <xdr:colOff>1162050</xdr:colOff>
          <xdr:row>37</xdr:row>
          <xdr:rowOff>19050</xdr:rowOff>
        </xdr:to>
        <xdr:sp macro="" textlink="">
          <xdr:nvSpPr>
            <xdr:cNvPr id="34826" name="cbBreachChannels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C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37</xdr:row>
          <xdr:rowOff>47625</xdr:rowOff>
        </xdr:from>
        <xdr:to>
          <xdr:col>1</xdr:col>
          <xdr:colOff>1162050</xdr:colOff>
          <xdr:row>38</xdr:row>
          <xdr:rowOff>38100</xdr:rowOff>
        </xdr:to>
        <xdr:sp macro="" textlink="">
          <xdr:nvSpPr>
            <xdr:cNvPr id="34827" name="cbCracking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C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14</xdr:row>
          <xdr:rowOff>28575</xdr:rowOff>
        </xdr:from>
        <xdr:to>
          <xdr:col>8</xdr:col>
          <xdr:colOff>228600</xdr:colOff>
          <xdr:row>14</xdr:row>
          <xdr:rowOff>152400</xdr:rowOff>
        </xdr:to>
        <xdr:sp macro="" textlink="">
          <xdr:nvSpPr>
            <xdr:cNvPr id="34828" name="chkFuelOil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C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15</xdr:row>
          <xdr:rowOff>38100</xdr:rowOff>
        </xdr:from>
        <xdr:to>
          <xdr:col>8</xdr:col>
          <xdr:colOff>228600</xdr:colOff>
          <xdr:row>15</xdr:row>
          <xdr:rowOff>161925</xdr:rowOff>
        </xdr:to>
        <xdr:sp macro="" textlink="">
          <xdr:nvSpPr>
            <xdr:cNvPr id="34829" name="chkEngineEGRCoolant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C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228600</xdr:colOff>
          <xdr:row>16</xdr:row>
          <xdr:rowOff>152400</xdr:rowOff>
        </xdr:to>
        <xdr:sp macro="" textlink="">
          <xdr:nvSpPr>
            <xdr:cNvPr id="34830" name="chkWearCorrosion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C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10</xdr:col>
          <xdr:colOff>409575</xdr:colOff>
          <xdr:row>17</xdr:row>
          <xdr:rowOff>219075</xdr:rowOff>
        </xdr:to>
        <xdr:sp macro="" textlink="">
          <xdr:nvSpPr>
            <xdr:cNvPr id="34831" name="txtContaminantsOther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C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21</xdr:row>
          <xdr:rowOff>0</xdr:rowOff>
        </xdr:from>
        <xdr:to>
          <xdr:col>9</xdr:col>
          <xdr:colOff>28575</xdr:colOff>
          <xdr:row>22</xdr:row>
          <xdr:rowOff>0</xdr:rowOff>
        </xdr:to>
        <xdr:sp macro="" textlink="">
          <xdr:nvSpPr>
            <xdr:cNvPr id="34832" name="cbSubstrateOveralCondition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C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95250</xdr:rowOff>
        </xdr:from>
        <xdr:to>
          <xdr:col>5</xdr:col>
          <xdr:colOff>1047750</xdr:colOff>
          <xdr:row>6</xdr:row>
          <xdr:rowOff>171450</xdr:rowOff>
        </xdr:to>
        <xdr:sp macro="" textlink="">
          <xdr:nvSpPr>
            <xdr:cNvPr id="34833" name="cmdBack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C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33</xdr:row>
          <xdr:rowOff>28575</xdr:rowOff>
        </xdr:from>
        <xdr:to>
          <xdr:col>2</xdr:col>
          <xdr:colOff>323850</xdr:colOff>
          <xdr:row>33</xdr:row>
          <xdr:rowOff>190500</xdr:rowOff>
        </xdr:to>
        <xdr:sp macro="" textlink="">
          <xdr:nvSpPr>
            <xdr:cNvPr id="34834" name="chkPinTest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C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</xdr:row>
          <xdr:rowOff>95250</xdr:rowOff>
        </xdr:from>
        <xdr:to>
          <xdr:col>8</xdr:col>
          <xdr:colOff>1238250</xdr:colOff>
          <xdr:row>3</xdr:row>
          <xdr:rowOff>76200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D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6</xdr:row>
          <xdr:rowOff>104775</xdr:rowOff>
        </xdr:from>
        <xdr:to>
          <xdr:col>8</xdr:col>
          <xdr:colOff>1238250</xdr:colOff>
          <xdr:row>8</xdr:row>
          <xdr:rowOff>85725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D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3</xdr:row>
          <xdr:rowOff>219075</xdr:rowOff>
        </xdr:from>
        <xdr:to>
          <xdr:col>8</xdr:col>
          <xdr:colOff>1238250</xdr:colOff>
          <xdr:row>5</xdr:row>
          <xdr:rowOff>152400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D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desimone/Desktop/Admin%2007.21.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DPF"/>
      <sheetName val="OutData"/>
      <sheetName val="Search"/>
      <sheetName val="Report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>
        <row r="7">
          <cell r="B7">
            <v>0</v>
          </cell>
        </row>
      </sheetData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ntrol" Target="../activeX/activeX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17" Type="http://schemas.openxmlformats.org/officeDocument/2006/relationships/image" Target="../media/image34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5" Type="http://schemas.openxmlformats.org/officeDocument/2006/relationships/image" Target="../media/image40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Relationship Id="rId14" Type="http://schemas.openxmlformats.org/officeDocument/2006/relationships/control" Target="../activeX/activeX4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2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2.xml"/><Relationship Id="rId5" Type="http://schemas.openxmlformats.org/officeDocument/2006/relationships/image" Target="../media/image41.emf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6.xml"/><Relationship Id="rId13" Type="http://schemas.openxmlformats.org/officeDocument/2006/relationships/image" Target="../media/image48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5.emf"/><Relationship Id="rId12" Type="http://schemas.openxmlformats.org/officeDocument/2006/relationships/control" Target="../activeX/activeX48.xml"/><Relationship Id="rId17" Type="http://schemas.openxmlformats.org/officeDocument/2006/relationships/image" Target="../media/image50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5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5.xml"/><Relationship Id="rId11" Type="http://schemas.openxmlformats.org/officeDocument/2006/relationships/image" Target="../media/image47.emf"/><Relationship Id="rId5" Type="http://schemas.openxmlformats.org/officeDocument/2006/relationships/image" Target="../media/image44.emf"/><Relationship Id="rId15" Type="http://schemas.openxmlformats.org/officeDocument/2006/relationships/image" Target="../media/image49.emf"/><Relationship Id="rId10" Type="http://schemas.openxmlformats.org/officeDocument/2006/relationships/control" Target="../activeX/activeX47.xml"/><Relationship Id="rId4" Type="http://schemas.openxmlformats.org/officeDocument/2006/relationships/control" Target="../activeX/activeX44.xml"/><Relationship Id="rId9" Type="http://schemas.openxmlformats.org/officeDocument/2006/relationships/image" Target="../media/image46.emf"/><Relationship Id="rId14" Type="http://schemas.openxmlformats.org/officeDocument/2006/relationships/control" Target="../activeX/activeX49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5.emf"/><Relationship Id="rId18" Type="http://schemas.openxmlformats.org/officeDocument/2006/relationships/image" Target="../media/image56.emf"/><Relationship Id="rId26" Type="http://schemas.openxmlformats.org/officeDocument/2006/relationships/image" Target="../media/image60.emf"/><Relationship Id="rId39" Type="http://schemas.openxmlformats.org/officeDocument/2006/relationships/control" Target="../activeX/activeX70.xml"/><Relationship Id="rId21" Type="http://schemas.openxmlformats.org/officeDocument/2006/relationships/control" Target="../activeX/activeX61.xml"/><Relationship Id="rId34" Type="http://schemas.openxmlformats.org/officeDocument/2006/relationships/image" Target="../media/image64.emf"/><Relationship Id="rId42" Type="http://schemas.openxmlformats.org/officeDocument/2006/relationships/image" Target="../media/image68.emf"/><Relationship Id="rId47" Type="http://schemas.openxmlformats.org/officeDocument/2006/relationships/control" Target="../activeX/activeX74.xml"/><Relationship Id="rId50" Type="http://schemas.openxmlformats.org/officeDocument/2006/relationships/image" Target="../media/image72.emf"/><Relationship Id="rId55" Type="http://schemas.openxmlformats.org/officeDocument/2006/relationships/control" Target="../activeX/activeX78.xml"/><Relationship Id="rId7" Type="http://schemas.openxmlformats.org/officeDocument/2006/relationships/image" Target="../media/image52.emf"/><Relationship Id="rId12" Type="http://schemas.openxmlformats.org/officeDocument/2006/relationships/control" Target="../activeX/activeX55.xml"/><Relationship Id="rId17" Type="http://schemas.openxmlformats.org/officeDocument/2006/relationships/control" Target="../activeX/activeX59.xml"/><Relationship Id="rId25" Type="http://schemas.openxmlformats.org/officeDocument/2006/relationships/control" Target="../activeX/activeX63.xml"/><Relationship Id="rId33" Type="http://schemas.openxmlformats.org/officeDocument/2006/relationships/control" Target="../activeX/activeX67.xml"/><Relationship Id="rId38" Type="http://schemas.openxmlformats.org/officeDocument/2006/relationships/image" Target="../media/image66.emf"/><Relationship Id="rId46" Type="http://schemas.openxmlformats.org/officeDocument/2006/relationships/image" Target="../media/image70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8.xml"/><Relationship Id="rId20" Type="http://schemas.openxmlformats.org/officeDocument/2006/relationships/image" Target="../media/image57.emf"/><Relationship Id="rId29" Type="http://schemas.openxmlformats.org/officeDocument/2006/relationships/control" Target="../activeX/activeX65.xml"/><Relationship Id="rId41" Type="http://schemas.openxmlformats.org/officeDocument/2006/relationships/control" Target="../activeX/activeX71.xml"/><Relationship Id="rId54" Type="http://schemas.openxmlformats.org/officeDocument/2006/relationships/image" Target="../media/image74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2.xml"/><Relationship Id="rId11" Type="http://schemas.openxmlformats.org/officeDocument/2006/relationships/image" Target="../media/image54.emf"/><Relationship Id="rId24" Type="http://schemas.openxmlformats.org/officeDocument/2006/relationships/image" Target="../media/image59.emf"/><Relationship Id="rId32" Type="http://schemas.openxmlformats.org/officeDocument/2006/relationships/image" Target="../media/image63.emf"/><Relationship Id="rId37" Type="http://schemas.openxmlformats.org/officeDocument/2006/relationships/control" Target="../activeX/activeX69.xml"/><Relationship Id="rId40" Type="http://schemas.openxmlformats.org/officeDocument/2006/relationships/image" Target="../media/image67.emf"/><Relationship Id="rId45" Type="http://schemas.openxmlformats.org/officeDocument/2006/relationships/control" Target="../activeX/activeX73.xml"/><Relationship Id="rId53" Type="http://schemas.openxmlformats.org/officeDocument/2006/relationships/control" Target="../activeX/activeX77.xml"/><Relationship Id="rId5" Type="http://schemas.openxmlformats.org/officeDocument/2006/relationships/image" Target="../media/image51.emf"/><Relationship Id="rId15" Type="http://schemas.openxmlformats.org/officeDocument/2006/relationships/control" Target="../activeX/activeX57.xml"/><Relationship Id="rId23" Type="http://schemas.openxmlformats.org/officeDocument/2006/relationships/control" Target="../activeX/activeX62.xml"/><Relationship Id="rId28" Type="http://schemas.openxmlformats.org/officeDocument/2006/relationships/image" Target="../media/image61.emf"/><Relationship Id="rId36" Type="http://schemas.openxmlformats.org/officeDocument/2006/relationships/image" Target="../media/image65.emf"/><Relationship Id="rId49" Type="http://schemas.openxmlformats.org/officeDocument/2006/relationships/control" Target="../activeX/activeX75.xml"/><Relationship Id="rId10" Type="http://schemas.openxmlformats.org/officeDocument/2006/relationships/control" Target="../activeX/activeX54.xml"/><Relationship Id="rId19" Type="http://schemas.openxmlformats.org/officeDocument/2006/relationships/control" Target="../activeX/activeX60.xml"/><Relationship Id="rId31" Type="http://schemas.openxmlformats.org/officeDocument/2006/relationships/control" Target="../activeX/activeX66.xml"/><Relationship Id="rId44" Type="http://schemas.openxmlformats.org/officeDocument/2006/relationships/image" Target="../media/image69.emf"/><Relationship Id="rId52" Type="http://schemas.openxmlformats.org/officeDocument/2006/relationships/image" Target="../media/image73.emf"/><Relationship Id="rId4" Type="http://schemas.openxmlformats.org/officeDocument/2006/relationships/control" Target="../activeX/activeX51.xml"/><Relationship Id="rId9" Type="http://schemas.openxmlformats.org/officeDocument/2006/relationships/image" Target="../media/image53.emf"/><Relationship Id="rId14" Type="http://schemas.openxmlformats.org/officeDocument/2006/relationships/control" Target="../activeX/activeX56.xml"/><Relationship Id="rId22" Type="http://schemas.openxmlformats.org/officeDocument/2006/relationships/image" Target="../media/image58.emf"/><Relationship Id="rId27" Type="http://schemas.openxmlformats.org/officeDocument/2006/relationships/control" Target="../activeX/activeX64.xml"/><Relationship Id="rId30" Type="http://schemas.openxmlformats.org/officeDocument/2006/relationships/image" Target="../media/image62.emf"/><Relationship Id="rId35" Type="http://schemas.openxmlformats.org/officeDocument/2006/relationships/control" Target="../activeX/activeX68.xml"/><Relationship Id="rId43" Type="http://schemas.openxmlformats.org/officeDocument/2006/relationships/control" Target="../activeX/activeX72.xml"/><Relationship Id="rId48" Type="http://schemas.openxmlformats.org/officeDocument/2006/relationships/image" Target="../media/image71.emf"/><Relationship Id="rId56" Type="http://schemas.openxmlformats.org/officeDocument/2006/relationships/image" Target="../media/image75.emf"/><Relationship Id="rId8" Type="http://schemas.openxmlformats.org/officeDocument/2006/relationships/control" Target="../activeX/activeX53.xml"/><Relationship Id="rId51" Type="http://schemas.openxmlformats.org/officeDocument/2006/relationships/control" Target="../activeX/activeX76.xml"/><Relationship Id="rId3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80.xml"/><Relationship Id="rId5" Type="http://schemas.openxmlformats.org/officeDocument/2006/relationships/image" Target="../media/image76.emf"/><Relationship Id="rId4" Type="http://schemas.openxmlformats.org/officeDocument/2006/relationships/control" Target="../activeX/activeX79.xml"/><Relationship Id="rId9" Type="http://schemas.openxmlformats.org/officeDocument/2006/relationships/image" Target="../media/image78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4.xml"/><Relationship Id="rId13" Type="http://schemas.openxmlformats.org/officeDocument/2006/relationships/image" Target="../media/image83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80.emf"/><Relationship Id="rId12" Type="http://schemas.openxmlformats.org/officeDocument/2006/relationships/control" Target="../activeX/activeX86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3.xml"/><Relationship Id="rId11" Type="http://schemas.openxmlformats.org/officeDocument/2006/relationships/image" Target="../media/image82.emf"/><Relationship Id="rId5" Type="http://schemas.openxmlformats.org/officeDocument/2006/relationships/image" Target="../media/image79.emf"/><Relationship Id="rId10" Type="http://schemas.openxmlformats.org/officeDocument/2006/relationships/control" Target="../activeX/activeX85.xml"/><Relationship Id="rId4" Type="http://schemas.openxmlformats.org/officeDocument/2006/relationships/control" Target="../activeX/activeX82.xml"/><Relationship Id="rId9" Type="http://schemas.openxmlformats.org/officeDocument/2006/relationships/image" Target="../media/image81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9.xml"/><Relationship Id="rId13" Type="http://schemas.openxmlformats.org/officeDocument/2006/relationships/control" Target="../activeX/activeX92.xml"/><Relationship Id="rId18" Type="http://schemas.openxmlformats.org/officeDocument/2006/relationships/image" Target="../media/image90.emf"/><Relationship Id="rId26" Type="http://schemas.openxmlformats.org/officeDocument/2006/relationships/control" Target="../activeX/activeX100.xml"/><Relationship Id="rId3" Type="http://schemas.openxmlformats.org/officeDocument/2006/relationships/vmlDrawing" Target="../drawings/vmlDrawing12.vml"/><Relationship Id="rId21" Type="http://schemas.openxmlformats.org/officeDocument/2006/relationships/control" Target="../activeX/activeX96.xml"/><Relationship Id="rId7" Type="http://schemas.openxmlformats.org/officeDocument/2006/relationships/image" Target="../media/image85.emf"/><Relationship Id="rId12" Type="http://schemas.openxmlformats.org/officeDocument/2006/relationships/image" Target="../media/image87.emf"/><Relationship Id="rId17" Type="http://schemas.openxmlformats.org/officeDocument/2006/relationships/control" Target="../activeX/activeX94.xml"/><Relationship Id="rId25" Type="http://schemas.openxmlformats.org/officeDocument/2006/relationships/control" Target="../activeX/activeX99.xml"/><Relationship Id="rId33" Type="http://schemas.openxmlformats.org/officeDocument/2006/relationships/image" Target="../media/image96.emf"/><Relationship Id="rId2" Type="http://schemas.openxmlformats.org/officeDocument/2006/relationships/drawing" Target="../drawings/drawing12.xml"/><Relationship Id="rId16" Type="http://schemas.openxmlformats.org/officeDocument/2006/relationships/image" Target="../media/image89.emf"/><Relationship Id="rId20" Type="http://schemas.openxmlformats.org/officeDocument/2006/relationships/image" Target="../media/image91.emf"/><Relationship Id="rId29" Type="http://schemas.openxmlformats.org/officeDocument/2006/relationships/image" Target="../media/image94.emf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8.xml"/><Relationship Id="rId11" Type="http://schemas.openxmlformats.org/officeDocument/2006/relationships/control" Target="../activeX/activeX91.xml"/><Relationship Id="rId24" Type="http://schemas.openxmlformats.org/officeDocument/2006/relationships/control" Target="../activeX/activeX98.xml"/><Relationship Id="rId32" Type="http://schemas.openxmlformats.org/officeDocument/2006/relationships/control" Target="../activeX/activeX103.xml"/><Relationship Id="rId5" Type="http://schemas.openxmlformats.org/officeDocument/2006/relationships/image" Target="../media/image84.emf"/><Relationship Id="rId15" Type="http://schemas.openxmlformats.org/officeDocument/2006/relationships/control" Target="../activeX/activeX93.xml"/><Relationship Id="rId23" Type="http://schemas.openxmlformats.org/officeDocument/2006/relationships/control" Target="../activeX/activeX97.xml"/><Relationship Id="rId28" Type="http://schemas.openxmlformats.org/officeDocument/2006/relationships/control" Target="../activeX/activeX101.xml"/><Relationship Id="rId10" Type="http://schemas.openxmlformats.org/officeDocument/2006/relationships/control" Target="../activeX/activeX90.xml"/><Relationship Id="rId19" Type="http://schemas.openxmlformats.org/officeDocument/2006/relationships/control" Target="../activeX/activeX95.xml"/><Relationship Id="rId31" Type="http://schemas.openxmlformats.org/officeDocument/2006/relationships/image" Target="../media/image95.emf"/><Relationship Id="rId4" Type="http://schemas.openxmlformats.org/officeDocument/2006/relationships/control" Target="../activeX/activeX87.xml"/><Relationship Id="rId9" Type="http://schemas.openxmlformats.org/officeDocument/2006/relationships/image" Target="../media/image86.emf"/><Relationship Id="rId14" Type="http://schemas.openxmlformats.org/officeDocument/2006/relationships/image" Target="../media/image88.emf"/><Relationship Id="rId22" Type="http://schemas.openxmlformats.org/officeDocument/2006/relationships/image" Target="../media/image92.emf"/><Relationship Id="rId27" Type="http://schemas.openxmlformats.org/officeDocument/2006/relationships/image" Target="../media/image93.emf"/><Relationship Id="rId30" Type="http://schemas.openxmlformats.org/officeDocument/2006/relationships/control" Target="../activeX/activeX10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6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8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5.xml"/><Relationship Id="rId5" Type="http://schemas.openxmlformats.org/officeDocument/2006/relationships/image" Target="../media/image97.emf"/><Relationship Id="rId4" Type="http://schemas.openxmlformats.org/officeDocument/2006/relationships/control" Target="../activeX/activeX104.xml"/><Relationship Id="rId9" Type="http://schemas.openxmlformats.org/officeDocument/2006/relationships/image" Target="../media/image9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tabSelected="1" zoomScaleNormal="100" workbookViewId="0">
      <selection activeCell="B14" sqref="B14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28"/>
      <c r="C3" s="29"/>
      <c r="D3" s="29"/>
      <c r="E3" s="29"/>
      <c r="F3" s="45"/>
      <c r="G3" s="45"/>
      <c r="H3" s="45"/>
      <c r="I3" s="45"/>
      <c r="J3" s="45"/>
      <c r="K3" s="46"/>
    </row>
    <row r="4" spans="2:11" ht="15" customHeight="1" x14ac:dyDescent="0.25">
      <c r="B4" s="30"/>
      <c r="C4" s="31"/>
      <c r="D4" s="31"/>
      <c r="E4" s="31"/>
      <c r="F4" s="47"/>
      <c r="G4" s="47"/>
      <c r="H4" s="47"/>
      <c r="I4" s="47"/>
      <c r="J4" s="47"/>
      <c r="K4" s="48"/>
    </row>
    <row r="5" spans="2:11" ht="15" customHeight="1" x14ac:dyDescent="0.25">
      <c r="B5" s="30"/>
      <c r="C5" s="31"/>
      <c r="D5" s="31"/>
      <c r="E5" s="31"/>
      <c r="F5" s="47"/>
      <c r="G5" s="47"/>
      <c r="H5" s="47"/>
      <c r="I5" s="47"/>
      <c r="J5" s="47"/>
      <c r="K5" s="48"/>
    </row>
    <row r="6" spans="2:11" ht="15" customHeight="1" x14ac:dyDescent="0.25">
      <c r="B6" s="30"/>
      <c r="C6" s="31"/>
      <c r="D6" s="31"/>
      <c r="E6" s="31"/>
      <c r="F6" s="47"/>
      <c r="G6" s="47"/>
      <c r="H6" s="47"/>
      <c r="I6" s="47"/>
      <c r="J6" s="47"/>
      <c r="K6" s="48"/>
    </row>
    <row r="7" spans="2:11" ht="15" customHeight="1" x14ac:dyDescent="0.25">
      <c r="B7" s="30"/>
      <c r="C7" s="31"/>
      <c r="D7" s="31"/>
      <c r="E7" s="31"/>
      <c r="F7" s="47"/>
      <c r="G7" s="47"/>
      <c r="H7" s="47"/>
      <c r="I7" s="47"/>
      <c r="J7" s="47"/>
      <c r="K7" s="48"/>
    </row>
    <row r="8" spans="2:11" ht="15" customHeight="1" x14ac:dyDescent="0.25">
      <c r="B8" s="30"/>
      <c r="C8" s="31"/>
      <c r="D8" s="31"/>
      <c r="E8" s="31"/>
      <c r="F8" s="47"/>
      <c r="G8" s="47"/>
      <c r="H8" s="47"/>
      <c r="I8" s="47"/>
      <c r="J8" s="47"/>
      <c r="K8" s="48"/>
    </row>
    <row r="9" spans="2:11" ht="15" customHeight="1" x14ac:dyDescent="0.25">
      <c r="B9" s="30"/>
      <c r="C9" s="31"/>
      <c r="D9" s="31"/>
      <c r="E9" s="31"/>
      <c r="F9" s="47"/>
      <c r="G9" s="47"/>
      <c r="H9" s="47"/>
      <c r="I9" s="47"/>
      <c r="J9" s="47"/>
      <c r="K9" s="48"/>
    </row>
    <row r="10" spans="2:11" ht="15" customHeight="1" x14ac:dyDescent="0.25">
      <c r="B10" s="30"/>
      <c r="C10" s="31"/>
      <c r="D10" s="31"/>
      <c r="E10" s="31"/>
      <c r="F10" s="47"/>
      <c r="G10" s="47"/>
      <c r="H10" s="47"/>
      <c r="I10" s="47"/>
      <c r="J10" s="47"/>
      <c r="K10" s="48"/>
    </row>
    <row r="11" spans="2:11" ht="15" customHeight="1" x14ac:dyDescent="0.25">
      <c r="B11" s="30"/>
      <c r="C11" s="31"/>
      <c r="D11" s="31"/>
      <c r="E11" s="31"/>
      <c r="F11" s="47"/>
      <c r="G11" s="47"/>
      <c r="H11" s="47"/>
      <c r="I11" s="47"/>
      <c r="J11" s="47"/>
      <c r="K11" s="48"/>
    </row>
    <row r="12" spans="2:11" ht="15" customHeight="1" x14ac:dyDescent="0.25">
      <c r="B12" s="30"/>
      <c r="C12" s="31"/>
      <c r="D12" s="31"/>
      <c r="E12" s="31"/>
      <c r="F12" s="47"/>
      <c r="G12" s="47"/>
      <c r="H12" s="47"/>
      <c r="I12" s="47"/>
      <c r="J12" s="47"/>
      <c r="K12" s="48"/>
    </row>
    <row r="13" spans="2:11" ht="15" customHeight="1" x14ac:dyDescent="0.25">
      <c r="B13" s="30"/>
      <c r="C13" s="31"/>
      <c r="D13" s="31"/>
      <c r="E13" s="31"/>
      <c r="F13" s="47"/>
      <c r="G13" s="47"/>
      <c r="H13" s="47"/>
      <c r="I13" s="47"/>
      <c r="J13" s="47"/>
      <c r="K13" s="48"/>
    </row>
    <row r="14" spans="2:11" ht="18" customHeight="1" x14ac:dyDescent="0.25">
      <c r="B14" s="54" t="s">
        <v>283</v>
      </c>
      <c r="C14" s="32"/>
      <c r="D14" s="32"/>
      <c r="E14" s="32"/>
      <c r="F14" s="49"/>
      <c r="G14" s="49"/>
      <c r="H14" s="49"/>
      <c r="I14" s="49"/>
      <c r="J14" s="49"/>
      <c r="K14" s="50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mdContacts">
          <controlPr defaultSize="0" autoLine="0" r:id="rId5">
            <anchor>
              <from>
                <xdr:col>8</xdr:col>
                <xdr:colOff>95250</xdr:colOff>
                <xdr:row>2</xdr:row>
                <xdr:rowOff>123825</xdr:rowOff>
              </from>
              <to>
                <xdr:col>10</xdr:col>
                <xdr:colOff>247650</xdr:colOff>
                <xdr:row>4</xdr:row>
                <xdr:rowOff>104775</xdr:rowOff>
              </to>
            </anchor>
          </controlPr>
        </control>
      </mc:Choice>
      <mc:Fallback>
        <control shapeId="7177" r:id="rId4" name="cmdContacts"/>
      </mc:Fallback>
    </mc:AlternateContent>
    <mc:AlternateContent xmlns:mc="http://schemas.openxmlformats.org/markup-compatibility/2006">
      <mc:Choice Requires="x14">
        <control shapeId="7175" r:id="rId6" name="cmdDPF">
          <controlPr defaultSize="0" autoLine="0" r:id="rId7">
            <anchor>
              <from>
                <xdr:col>1</xdr:col>
                <xdr:colOff>228600</xdr:colOff>
                <xdr:row>2</xdr:row>
                <xdr:rowOff>123825</xdr:rowOff>
              </from>
              <to>
                <xdr:col>4</xdr:col>
                <xdr:colOff>104775</xdr:colOff>
                <xdr:row>4</xdr:row>
                <xdr:rowOff>104775</xdr:rowOff>
              </to>
            </anchor>
          </controlPr>
        </control>
      </mc:Choice>
      <mc:Fallback>
        <control shapeId="7175" r:id="rId6" name="cmdDPF"/>
      </mc:Fallback>
    </mc:AlternateContent>
    <mc:AlternateContent xmlns:mc="http://schemas.openxmlformats.org/markup-compatibility/2006">
      <mc:Choice Requires="x14">
        <control shapeId="7169" r:id="rId8" name="cmdCompany">
          <controlPr defaultSize="0" autoLine="0" r:id="rId9">
            <anchor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361950</xdr:colOff>
                <xdr:row>4</xdr:row>
                <xdr:rowOff>104775</xdr:rowOff>
              </to>
            </anchor>
          </controlPr>
        </control>
      </mc:Choice>
      <mc:Fallback>
        <control shapeId="7169" r:id="rId8" name="cmdCompany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>
              <from>
                <xdr:col>5</xdr:col>
                <xdr:colOff>209550</xdr:colOff>
                <xdr:row>5</xdr:row>
                <xdr:rowOff>76200</xdr:rowOff>
              </from>
              <to>
                <xdr:col>7</xdr:col>
                <xdr:colOff>361950</xdr:colOff>
                <xdr:row>7</xdr:row>
                <xdr:rowOff>57150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>
              <from>
                <xdr:col>5</xdr:col>
                <xdr:colOff>209550</xdr:colOff>
                <xdr:row>8</xdr:row>
                <xdr:rowOff>85725</xdr:rowOff>
              </from>
              <to>
                <xdr:col>7</xdr:col>
                <xdr:colOff>361950</xdr:colOff>
                <xdr:row>10</xdr:row>
                <xdr:rowOff>66675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2" r:id="rId14" name="cmdEngine">
          <controlPr defaultSize="0" autoLine="0" r:id="rId15">
            <anchor>
              <from>
                <xdr:col>5</xdr:col>
                <xdr:colOff>209550</xdr:colOff>
                <xdr:row>11</xdr:row>
                <xdr:rowOff>66675</xdr:rowOff>
              </from>
              <to>
                <xdr:col>7</xdr:col>
                <xdr:colOff>361950</xdr:colOff>
                <xdr:row>13</xdr:row>
                <xdr:rowOff>47625</xdr:rowOff>
              </to>
            </anchor>
          </controlPr>
        </control>
      </mc:Choice>
      <mc:Fallback>
        <control shapeId="7172" r:id="rId14" name="cmdEngine"/>
      </mc:Fallback>
    </mc:AlternateContent>
    <mc:AlternateContent xmlns:mc="http://schemas.openxmlformats.org/markup-compatibility/2006">
      <mc:Choice Requires="x14">
        <control shapeId="7173" r:id="rId16" name="cmdManufacturer">
          <controlPr defaultSize="0" autoLine="0" r:id="rId17">
            <anchor>
              <from>
                <xdr:col>8</xdr:col>
                <xdr:colOff>95250</xdr:colOff>
                <xdr:row>5</xdr:row>
                <xdr:rowOff>76200</xdr:rowOff>
              </from>
              <to>
                <xdr:col>10</xdr:col>
                <xdr:colOff>247650</xdr:colOff>
                <xdr:row>7</xdr:row>
                <xdr:rowOff>57150</xdr:rowOff>
              </to>
            </anchor>
          </controlPr>
        </control>
      </mc:Choice>
      <mc:Fallback>
        <control shapeId="7173" r:id="rId16" name="cmdManufacturer"/>
      </mc:Fallback>
    </mc:AlternateContent>
    <mc:AlternateContent xmlns:mc="http://schemas.openxmlformats.org/markup-compatibility/2006">
      <mc:Choice Requires="x14">
        <control shapeId="7180" r:id="rId18" name="cmdReports">
          <controlPr defaultSize="0" autoLine="0" r:id="rId19">
            <anchor>
              <from>
                <xdr:col>1</xdr:col>
                <xdr:colOff>228600</xdr:colOff>
                <xdr:row>5</xdr:row>
                <xdr:rowOff>76200</xdr:rowOff>
              </from>
              <to>
                <xdr:col>4</xdr:col>
                <xdr:colOff>104775</xdr:colOff>
                <xdr:row>7</xdr:row>
                <xdr:rowOff>57150</xdr:rowOff>
              </to>
            </anchor>
          </controlPr>
        </control>
      </mc:Choice>
      <mc:Fallback>
        <control shapeId="7180" r:id="rId18" name="cmdReports"/>
      </mc:Fallback>
    </mc:AlternateContent>
    <mc:AlternateContent xmlns:mc="http://schemas.openxmlformats.org/markup-compatibility/2006">
      <mc:Choice Requires="x14">
        <control shapeId="7181" r:id="rId20" name="cmdSearch">
          <controlPr defaultSize="0" autoLine="0" r:id="rId21">
            <anchor>
              <from>
                <xdr:col>1</xdr:col>
                <xdr:colOff>228600</xdr:colOff>
                <xdr:row>11</xdr:row>
                <xdr:rowOff>66675</xdr:rowOff>
              </from>
              <to>
                <xdr:col>4</xdr:col>
                <xdr:colOff>104775</xdr:colOff>
                <xdr:row>13</xdr:row>
                <xdr:rowOff>47625</xdr:rowOff>
              </to>
            </anchor>
          </controlPr>
        </control>
      </mc:Choice>
      <mc:Fallback>
        <control shapeId="7181" r:id="rId20" name="cmdSearc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6" sqref="C6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41</v>
      </c>
      <c r="C2" s="14"/>
    </row>
    <row r="3" spans="2:5" ht="30" customHeight="1" x14ac:dyDescent="0.25">
      <c r="B3" s="11" t="s">
        <v>41</v>
      </c>
      <c r="C3" s="13"/>
      <c r="E3" s="36"/>
    </row>
    <row r="4" spans="2:5" ht="30" customHeight="1" x14ac:dyDescent="0.25">
      <c r="B4" s="11" t="s">
        <v>158</v>
      </c>
      <c r="C4" s="13"/>
      <c r="E4" s="33"/>
    </row>
    <row r="5" spans="2:5" ht="30" customHeight="1" x14ac:dyDescent="0.25">
      <c r="B5" s="11" t="s">
        <v>42</v>
      </c>
      <c r="C5" s="13"/>
      <c r="E5" s="36"/>
    </row>
    <row r="6" spans="2:5" ht="30" customHeight="1" x14ac:dyDescent="0.25">
      <c r="B6" s="11" t="s">
        <v>43</v>
      </c>
      <c r="C6" s="13"/>
    </row>
    <row r="7" spans="2:5" ht="30" customHeight="1" x14ac:dyDescent="0.25">
      <c r="B7" s="11" t="s">
        <v>44</v>
      </c>
      <c r="C7" s="13"/>
    </row>
    <row r="8" spans="2:5" ht="30" customHeight="1" x14ac:dyDescent="0.25">
      <c r="B8" s="11" t="s">
        <v>45</v>
      </c>
      <c r="C8" s="13"/>
    </row>
    <row r="9" spans="2:5" ht="30" customHeight="1" x14ac:dyDescent="0.25">
      <c r="B9" s="11" t="s">
        <v>46</v>
      </c>
      <c r="C9" s="13"/>
    </row>
    <row r="10" spans="2:5" ht="30" customHeight="1" x14ac:dyDescent="0.25">
      <c r="B10" s="11" t="s">
        <v>47</v>
      </c>
      <c r="C10" s="13"/>
    </row>
    <row r="11" spans="2:5" ht="30" customHeight="1" x14ac:dyDescent="0.25">
      <c r="B11" s="11" t="s">
        <v>143</v>
      </c>
      <c r="C11" s="13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B5" sqref="B5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29</v>
      </c>
      <c r="B3" s="14">
        <v>28</v>
      </c>
    </row>
    <row r="4" spans="1:4" ht="30" customHeight="1" x14ac:dyDescent="0.25">
      <c r="A4" s="5" t="s">
        <v>30</v>
      </c>
      <c r="B4" s="13" t="s">
        <v>243</v>
      </c>
      <c r="D4" s="36"/>
    </row>
    <row r="5" spans="1:4" ht="30" customHeight="1" x14ac:dyDescent="0.25">
      <c r="A5" s="5" t="s">
        <v>1</v>
      </c>
      <c r="B5" s="13" t="s">
        <v>240</v>
      </c>
    </row>
    <row r="6" spans="1:4" ht="30" customHeight="1" x14ac:dyDescent="0.25">
      <c r="A6" s="5" t="s">
        <v>28</v>
      </c>
      <c r="B6" s="13" t="s">
        <v>159</v>
      </c>
    </row>
    <row r="7" spans="1:4" ht="30" customHeight="1" x14ac:dyDescent="0.25">
      <c r="A7" s="5" t="s">
        <v>2</v>
      </c>
      <c r="B7" s="13" t="s">
        <v>241</v>
      </c>
    </row>
    <row r="8" spans="1:4" ht="30" customHeight="1" x14ac:dyDescent="0.25">
      <c r="A8" s="5" t="s">
        <v>3</v>
      </c>
      <c r="B8" s="13"/>
    </row>
    <row r="9" spans="1:4" ht="30" customHeight="1" x14ac:dyDescent="0.25">
      <c r="A9" s="5" t="s">
        <v>4</v>
      </c>
      <c r="B9" s="13" t="s">
        <v>242</v>
      </c>
    </row>
    <row r="10" spans="1:4" ht="30" customHeight="1" x14ac:dyDescent="0.25">
      <c r="A10" s="5" t="s">
        <v>139</v>
      </c>
      <c r="B10" s="13" t="s">
        <v>184</v>
      </c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3"/>
  <sheetViews>
    <sheetView showGridLines="0" workbookViewId="0">
      <selection activeCell="D17" sqref="D17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33</v>
      </c>
      <c r="B2" s="12"/>
    </row>
    <row r="3" spans="1:7" ht="30" customHeight="1" x14ac:dyDescent="0.25">
      <c r="A3" s="5" t="s">
        <v>40</v>
      </c>
      <c r="B3" s="14">
        <v>28</v>
      </c>
      <c r="D3" s="17"/>
      <c r="E3" s="16"/>
      <c r="F3" s="16"/>
      <c r="G3" s="16"/>
    </row>
    <row r="4" spans="1:7" ht="30" customHeight="1" x14ac:dyDescent="0.25">
      <c r="A4" s="5" t="s">
        <v>5</v>
      </c>
      <c r="B4" s="13"/>
    </row>
    <row r="5" spans="1:7" ht="30" customHeight="1" x14ac:dyDescent="0.25">
      <c r="A5" s="5" t="s">
        <v>6</v>
      </c>
      <c r="B5" s="13"/>
    </row>
    <row r="6" spans="1:7" ht="30" customHeight="1" x14ac:dyDescent="0.25">
      <c r="A6" s="5" t="s">
        <v>1</v>
      </c>
      <c r="B6" s="13"/>
    </row>
    <row r="7" spans="1:7" ht="30" customHeight="1" x14ac:dyDescent="0.25">
      <c r="A7" s="5" t="s">
        <v>28</v>
      </c>
      <c r="B7" s="13"/>
    </row>
    <row r="8" spans="1:7" ht="30" customHeight="1" x14ac:dyDescent="0.25">
      <c r="A8" s="5" t="s">
        <v>2</v>
      </c>
      <c r="B8" s="13"/>
    </row>
    <row r="9" spans="1:7" ht="30" customHeight="1" x14ac:dyDescent="0.25">
      <c r="A9" s="5" t="s">
        <v>3</v>
      </c>
      <c r="B9" s="13"/>
    </row>
    <row r="10" spans="1:7" ht="30" customHeight="1" x14ac:dyDescent="0.25">
      <c r="A10" s="5" t="s">
        <v>4</v>
      </c>
      <c r="B10" s="13"/>
    </row>
    <row r="11" spans="1:7" ht="30" customHeight="1" x14ac:dyDescent="0.25">
      <c r="A11" s="5" t="s">
        <v>38</v>
      </c>
      <c r="B11" s="15"/>
    </row>
    <row r="12" spans="1:7" ht="30" customHeight="1" x14ac:dyDescent="0.25">
      <c r="A12" s="5" t="s">
        <v>39</v>
      </c>
      <c r="B12" s="13"/>
    </row>
    <row r="13" spans="1:7" ht="30" customHeight="1" x14ac:dyDescent="0.25">
      <c r="A13" s="5" t="s">
        <v>27</v>
      </c>
      <c r="B13" s="13"/>
    </row>
  </sheetData>
  <sheetProtection selectLockedCells="1"/>
  <protectedRanges>
    <protectedRange sqref="D3" name="ContactsNote"/>
    <protectedRange sqref="B2:B13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8</xdr:row>
                <xdr:rowOff>28575</xdr:rowOff>
              </from>
              <to>
                <xdr:col>2</xdr:col>
                <xdr:colOff>19050</xdr:colOff>
                <xdr:row>9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12</xdr:row>
                <xdr:rowOff>95250</xdr:rowOff>
              </from>
              <to>
                <xdr:col>1</xdr:col>
                <xdr:colOff>419100</xdr:colOff>
                <xdr:row>12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0"/>
  <sheetViews>
    <sheetView showGridLines="0" workbookViewId="0">
      <selection activeCell="E5" sqref="E5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223</v>
      </c>
      <c r="B3" s="12"/>
      <c r="D3" s="36"/>
    </row>
    <row r="4" spans="1:4" ht="30" customHeight="1" x14ac:dyDescent="0.25">
      <c r="A4" s="5" t="s">
        <v>163</v>
      </c>
      <c r="B4" s="137" t="s">
        <v>276</v>
      </c>
    </row>
    <row r="5" spans="1:4" ht="30" customHeight="1" x14ac:dyDescent="0.25">
      <c r="A5" s="5" t="s">
        <v>185</v>
      </c>
      <c r="B5" s="56" t="s">
        <v>159</v>
      </c>
    </row>
    <row r="6" spans="1:4" ht="30" customHeight="1" x14ac:dyDescent="0.25">
      <c r="A6" s="5" t="s">
        <v>9</v>
      </c>
      <c r="B6" s="13"/>
    </row>
    <row r="7" spans="1:4" ht="30" customHeight="1" x14ac:dyDescent="0.25">
      <c r="A7" s="5" t="s">
        <v>10</v>
      </c>
      <c r="B7" s="13" t="s">
        <v>277</v>
      </c>
    </row>
    <row r="8" spans="1:4" ht="30" customHeight="1" x14ac:dyDescent="0.25">
      <c r="A8" s="5" t="s">
        <v>11</v>
      </c>
      <c r="B8" s="13">
        <v>2017</v>
      </c>
    </row>
    <row r="9" spans="1:4" ht="30" customHeight="1" x14ac:dyDescent="0.25">
      <c r="A9" s="106" t="s">
        <v>270</v>
      </c>
      <c r="B9" s="13">
        <v>0</v>
      </c>
    </row>
    <row r="10" spans="1:4" ht="30" customHeight="1" x14ac:dyDescent="0.25">
      <c r="A10" s="5" t="s">
        <v>271</v>
      </c>
      <c r="B10" s="13">
        <v>0</v>
      </c>
    </row>
  </sheetData>
  <sheetProtection selectLockedCells="1"/>
  <protectedRanges>
    <protectedRange sqref="D3" name="VehicleNote"/>
    <protectedRange sqref="B2:B8 B10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1" r:id="rId4" name="cmdLookup">
          <controlPr autoLine="0" r:id="rId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4" name="cmdLookup"/>
      </mc:Fallback>
    </mc:AlternateContent>
    <mc:AlternateContent xmlns:mc="http://schemas.openxmlformats.org/markup-compatibility/2006">
      <mc:Choice Requires="x14">
        <control shapeId="11269" r:id="rId6" name="cmdMenu">
          <controlPr autoLine="0" r:id="rId7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6" name="cmdMenu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4</xdr:row>
                <xdr:rowOff>371475</xdr:rowOff>
              </from>
              <to>
                <xdr:col>2</xdr:col>
                <xdr:colOff>19050</xdr:colOff>
                <xdr:row>5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  <mc:AlternateContent xmlns:mc="http://schemas.openxmlformats.org/markup-compatibility/2006">
      <mc:Choice Requires="x14">
        <control shapeId="11270" r:id="rId14" name="cmdBack">
          <controlPr autoLine="0" autoPict="0" r:id="rId15">
            <anchor moveWithCells="1">
              <from>
                <xdr:col>2</xdr:col>
                <xdr:colOff>609600</xdr:colOff>
                <xdr:row>4</xdr:row>
                <xdr:rowOff>38100</xdr:rowOff>
              </from>
              <to>
                <xdr:col>3</xdr:col>
                <xdr:colOff>1057275</xdr:colOff>
                <xdr:row>4</xdr:row>
                <xdr:rowOff>314325</xdr:rowOff>
              </to>
            </anchor>
          </controlPr>
        </control>
      </mc:Choice>
      <mc:Fallback>
        <control shapeId="11270" r:id="rId14" name="cmdBack"/>
      </mc:Fallback>
    </mc:AlternateContent>
    <mc:AlternateContent xmlns:mc="http://schemas.openxmlformats.org/markup-compatibility/2006">
      <mc:Choice Requires="x14">
        <control shapeId="11272" r:id="rId16" name="cbVehicleType">
          <controlPr autoLine="0" r:id="rId17">
            <anchor moveWithCells="1">
              <from>
                <xdr:col>1</xdr:col>
                <xdr:colOff>0</xdr:colOff>
                <xdr:row>2</xdr:row>
                <xdr:rowOff>19050</xdr:rowOff>
              </from>
              <to>
                <xdr:col>2</xdr:col>
                <xdr:colOff>9525</xdr:colOff>
                <xdr:row>3</xdr:row>
                <xdr:rowOff>0</xdr:rowOff>
              </to>
            </anchor>
          </controlPr>
        </control>
      </mc:Choice>
      <mc:Fallback>
        <control shapeId="11272" r:id="rId16" name="cbVehicleTyp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B6" sqref="B6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31</v>
      </c>
      <c r="B3" s="57" t="s">
        <v>278</v>
      </c>
      <c r="D3" s="55"/>
    </row>
    <row r="4" spans="1:4" ht="30" customHeight="1" x14ac:dyDescent="0.25">
      <c r="A4" s="5" t="s">
        <v>9</v>
      </c>
      <c r="B4" s="13"/>
    </row>
    <row r="5" spans="1:4" ht="30" customHeight="1" x14ac:dyDescent="0.25">
      <c r="A5" s="5" t="s">
        <v>10</v>
      </c>
      <c r="B5" s="13" t="s">
        <v>159</v>
      </c>
    </row>
    <row r="6" spans="1:4" ht="30" customHeight="1" x14ac:dyDescent="0.25">
      <c r="A6" s="5" t="s">
        <v>11</v>
      </c>
      <c r="B6" s="34">
        <v>2017</v>
      </c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8" r:id="rId12" name="cmdBack">
          <controlPr autoLine="0" r:id="rId13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12" name="cmdBack"/>
      </mc:Fallback>
    </mc:AlternateContent>
    <mc:AlternateContent xmlns:mc="http://schemas.openxmlformats.org/markup-compatibility/2006">
      <mc:Choice Requires="x14">
        <control shapeId="13319" r:id="rId14" name="cmdLookup">
          <controlPr autoLine="0" r:id="rId1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14" name="cmdLookup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32</v>
      </c>
      <c r="B2" s="12"/>
    </row>
    <row r="3" spans="1:5" ht="30" customHeight="1" x14ac:dyDescent="0.25">
      <c r="A3" s="5" t="s">
        <v>161</v>
      </c>
      <c r="B3" s="13" t="s">
        <v>162</v>
      </c>
      <c r="E3" t="s">
        <v>160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12" sqref="B12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33</v>
      </c>
      <c r="B2" s="12"/>
    </row>
    <row r="3" spans="1:5" ht="30" customHeight="1" x14ac:dyDescent="0.25">
      <c r="A3" s="5" t="s">
        <v>35</v>
      </c>
      <c r="B3" s="57" t="s">
        <v>280</v>
      </c>
      <c r="E3" s="36"/>
    </row>
    <row r="4" spans="1:5" ht="30" customHeight="1" x14ac:dyDescent="0.25">
      <c r="A4" s="5" t="s">
        <v>36</v>
      </c>
      <c r="B4" s="57" t="s">
        <v>281</v>
      </c>
    </row>
    <row r="5" spans="1:5" ht="30" customHeight="1" x14ac:dyDescent="0.25">
      <c r="A5" s="5" t="s">
        <v>13</v>
      </c>
      <c r="B5" s="13" t="s">
        <v>282</v>
      </c>
    </row>
    <row r="6" spans="1:5" ht="30" customHeight="1" x14ac:dyDescent="0.25">
      <c r="A6" s="5" t="s">
        <v>34</v>
      </c>
      <c r="B6" s="13" t="s">
        <v>279</v>
      </c>
    </row>
    <row r="7" spans="1:5" ht="30" customHeight="1" x14ac:dyDescent="0.25">
      <c r="A7" s="5" t="s">
        <v>14</v>
      </c>
      <c r="B7" s="13" t="s">
        <v>262</v>
      </c>
    </row>
    <row r="8" spans="1:5" ht="30" customHeight="1" x14ac:dyDescent="0.25">
      <c r="A8" s="5" t="s">
        <v>37</v>
      </c>
      <c r="B8" s="102" t="s">
        <v>260</v>
      </c>
    </row>
    <row r="9" spans="1:5" ht="30" customHeight="1" x14ac:dyDescent="0.25">
      <c r="A9" s="5" t="s">
        <v>15</v>
      </c>
      <c r="B9" s="13">
        <v>13.25</v>
      </c>
    </row>
    <row r="10" spans="1:5" ht="30" customHeight="1" x14ac:dyDescent="0.25">
      <c r="A10" s="5" t="s">
        <v>16</v>
      </c>
      <c r="B10" s="13">
        <v>12</v>
      </c>
    </row>
    <row r="11" spans="1:5" ht="30" customHeight="1" x14ac:dyDescent="0.25">
      <c r="A11" s="5" t="s">
        <v>17</v>
      </c>
      <c r="B11" s="13">
        <v>13.5</v>
      </c>
    </row>
    <row r="12" spans="1:5" ht="30" customHeight="1" x14ac:dyDescent="0.25">
      <c r="A12" s="5" t="s">
        <v>18</v>
      </c>
      <c r="B12" s="13">
        <v>6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Lookup">
          <controlPr autoLine="0" r:id="rId5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4" name="cmdLookup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14" name="cbSubStrateType"/>
      </mc:Fallback>
    </mc:AlternateContent>
    <mc:AlternateContent xmlns:mc="http://schemas.openxmlformats.org/markup-compatibility/2006">
      <mc:Choice Requires="x14">
        <control shapeId="15368" r:id="rId16" name="cmdBack">
          <controlPr autoLine="0" r:id="rId17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16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7"/>
  <dimension ref="B1:J31"/>
  <sheetViews>
    <sheetView showGridLines="0" workbookViewId="0">
      <selection activeCell="C2" sqref="C2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45.5703125" customWidth="1"/>
    <col min="5" max="5" width="22.5703125" customWidth="1"/>
  </cols>
  <sheetData>
    <row r="1" spans="2:10" ht="21" customHeight="1" x14ac:dyDescent="0.25"/>
    <row r="2" spans="2:10" ht="18" customHeight="1" x14ac:dyDescent="0.25">
      <c r="B2" s="5" t="s">
        <v>244</v>
      </c>
    </row>
    <row r="3" spans="2:10" ht="18" customHeight="1" x14ac:dyDescent="0.25">
      <c r="B3" s="5" t="s">
        <v>0</v>
      </c>
    </row>
    <row r="4" spans="2:10" ht="18" customHeight="1" x14ac:dyDescent="0.3">
      <c r="B4" s="5" t="s">
        <v>146</v>
      </c>
      <c r="E4" s="44"/>
    </row>
    <row r="5" spans="2:10" ht="18" customHeight="1" x14ac:dyDescent="0.25">
      <c r="B5" s="133" t="s">
        <v>212</v>
      </c>
      <c r="C5" s="1"/>
      <c r="J5" s="5"/>
    </row>
    <row r="6" spans="2:10" ht="18" customHeight="1" x14ac:dyDescent="0.25">
      <c r="B6" s="5" t="s">
        <v>175</v>
      </c>
      <c r="C6" s="52"/>
      <c r="J6" s="5"/>
    </row>
    <row r="7" spans="2:10" ht="18" customHeight="1" x14ac:dyDescent="0.25">
      <c r="B7" s="5" t="s">
        <v>172</v>
      </c>
      <c r="C7" s="2"/>
    </row>
    <row r="8" spans="2:10" ht="18" customHeight="1" x14ac:dyDescent="0.25">
      <c r="B8" s="5" t="s">
        <v>173</v>
      </c>
      <c r="C8" s="52"/>
    </row>
    <row r="9" spans="2:10" ht="18" customHeight="1" x14ac:dyDescent="0.25">
      <c r="B9" s="5" t="s">
        <v>186</v>
      </c>
      <c r="C9" s="52"/>
    </row>
    <row r="10" spans="2:10" ht="18" customHeight="1" x14ac:dyDescent="0.25">
      <c r="B10" s="5" t="s">
        <v>224</v>
      </c>
      <c r="C10" s="136" t="s">
        <v>272</v>
      </c>
    </row>
    <row r="11" spans="2:10" ht="18" customHeight="1" x14ac:dyDescent="0.25">
      <c r="C11" s="2"/>
    </row>
    <row r="12" spans="2:10" ht="18" customHeight="1" x14ac:dyDescent="0.25">
      <c r="B12" s="5" t="s">
        <v>147</v>
      </c>
      <c r="C12" s="4"/>
    </row>
    <row r="13" spans="2:10" ht="18" customHeight="1" x14ac:dyDescent="0.25">
      <c r="B13" s="5" t="s">
        <v>8</v>
      </c>
      <c r="C13" s="1">
        <v>43808.87014097222</v>
      </c>
    </row>
    <row r="14" spans="2:10" ht="18" customHeight="1" x14ac:dyDescent="0.25">
      <c r="B14" s="5" t="s">
        <v>12</v>
      </c>
      <c r="C14" s="1"/>
    </row>
    <row r="15" spans="2:10" ht="18" customHeight="1" x14ac:dyDescent="0.25">
      <c r="B15" s="5" t="s">
        <v>174</v>
      </c>
      <c r="C15" s="1"/>
    </row>
    <row r="16" spans="2:10" ht="18" customHeight="1" x14ac:dyDescent="0.25">
      <c r="B16" s="133" t="s">
        <v>266</v>
      </c>
      <c r="C16" s="53">
        <v>150253</v>
      </c>
    </row>
    <row r="17" spans="2:5" ht="18" customHeight="1" x14ac:dyDescent="0.25">
      <c r="B17" s="133" t="s">
        <v>269</v>
      </c>
      <c r="C17" s="52">
        <v>0</v>
      </c>
    </row>
    <row r="18" spans="2:5" ht="18" customHeight="1" x14ac:dyDescent="0.25">
      <c r="B18" s="133" t="s">
        <v>267</v>
      </c>
      <c r="C18" s="52">
        <v>6172</v>
      </c>
    </row>
    <row r="19" spans="2:5" ht="18" customHeight="1" x14ac:dyDescent="0.25">
      <c r="B19" s="133" t="s">
        <v>268</v>
      </c>
      <c r="C19" s="52">
        <v>0</v>
      </c>
    </row>
    <row r="20" spans="2:5" ht="18" customHeight="1" x14ac:dyDescent="0.25">
      <c r="C20" s="1"/>
    </row>
    <row r="21" spans="2:5" ht="18" customHeight="1" x14ac:dyDescent="0.25">
      <c r="B21" s="5" t="s">
        <v>19</v>
      </c>
      <c r="C21" s="51"/>
    </row>
    <row r="22" spans="2:5" ht="18" customHeight="1" x14ac:dyDescent="0.25">
      <c r="B22" s="5" t="s">
        <v>20</v>
      </c>
      <c r="C22" s="52"/>
    </row>
    <row r="23" spans="2:5" ht="18" customHeight="1" x14ac:dyDescent="0.25">
      <c r="B23" s="5" t="s">
        <v>21</v>
      </c>
      <c r="C23" s="52"/>
    </row>
    <row r="24" spans="2:5" ht="18" customHeight="1" x14ac:dyDescent="0.25">
      <c r="B24" s="5" t="s">
        <v>22</v>
      </c>
      <c r="C24" s="1"/>
    </row>
    <row r="25" spans="2:5" ht="18" customHeight="1" x14ac:dyDescent="0.25">
      <c r="C25" s="1"/>
    </row>
    <row r="26" spans="2:5" ht="18" customHeight="1" x14ac:dyDescent="0.25">
      <c r="B26" s="5" t="s">
        <v>23</v>
      </c>
      <c r="C26" s="51"/>
    </row>
    <row r="27" spans="2:5" ht="18" customHeight="1" x14ac:dyDescent="0.25">
      <c r="B27" s="5" t="s">
        <v>24</v>
      </c>
      <c r="C27" s="52"/>
    </row>
    <row r="28" spans="2:5" ht="18" customHeight="1" x14ac:dyDescent="0.25">
      <c r="B28" s="5" t="s">
        <v>25</v>
      </c>
      <c r="C28" s="52"/>
    </row>
    <row r="29" spans="2:5" ht="18" customHeight="1" x14ac:dyDescent="0.25">
      <c r="B29" s="5" t="s">
        <v>26</v>
      </c>
      <c r="C29" s="1"/>
      <c r="D29" s="115"/>
      <c r="E29" s="115"/>
    </row>
    <row r="30" spans="2:5" ht="18" customHeight="1" x14ac:dyDescent="0.25">
      <c r="B30" s="5" t="s">
        <v>7</v>
      </c>
      <c r="C30" s="1"/>
      <c r="D30" s="115"/>
      <c r="E30" s="115"/>
    </row>
    <row r="31" spans="2:5" ht="18" customHeight="1" x14ac:dyDescent="0.25">
      <c r="D31" s="115"/>
      <c r="E31" s="115"/>
    </row>
  </sheetData>
  <protectedRanges>
    <protectedRange sqref="C3:C30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820" r:id="rId4" name="cbSalesStatusID">
          <controlPr defaultSize="0" autoFill="0" autoLine="0" autoPict="0" r:id="rId5">
            <anchor moveWithCells="1">
              <from>
                <xdr:col>2</xdr:col>
                <xdr:colOff>19050</xdr:colOff>
                <xdr:row>1</xdr:row>
                <xdr:rowOff>0</xdr:rowOff>
              </from>
              <to>
                <xdr:col>2</xdr:col>
                <xdr:colOff>2305050</xdr:colOff>
                <xdr:row>2</xdr:row>
                <xdr:rowOff>19050</xdr:rowOff>
              </to>
            </anchor>
          </controlPr>
        </control>
      </mc:Choice>
      <mc:Fallback>
        <control shapeId="33820" r:id="rId4" name="cbSalesStatusID"/>
      </mc:Fallback>
    </mc:AlternateContent>
    <mc:AlternateContent xmlns:mc="http://schemas.openxmlformats.org/markup-compatibility/2006">
      <mc:Choice Requires="x14">
        <control shapeId="33819" r:id="rId6" name="cbCleaningLocation">
          <controlPr defaultSize="0" autoFill="0" autoLine="0" autoPict="0" r:id="rId7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2</xdr:col>
                <xdr:colOff>2305050</xdr:colOff>
                <xdr:row>9</xdr:row>
                <xdr:rowOff>0</xdr:rowOff>
              </to>
            </anchor>
          </controlPr>
        </control>
      </mc:Choice>
      <mc:Fallback>
        <control shapeId="33819" r:id="rId6" name="cbCleaningLocation"/>
      </mc:Fallback>
    </mc:AlternateContent>
    <mc:AlternateContent xmlns:mc="http://schemas.openxmlformats.org/markup-compatibility/2006">
      <mc:Choice Requires="x14">
        <control shapeId="33793" r:id="rId8" name="chkOvrRdHw">
          <controlPr autoLine="0" r:id="rId9">
            <anchor moveWithCells="1">
              <from>
                <xdr:col>2</xdr:col>
                <xdr:colOff>76200</xdr:colOff>
                <xdr:row>20</xdr:row>
                <xdr:rowOff>38100</xdr:rowOff>
              </from>
              <to>
                <xdr:col>2</xdr:col>
                <xdr:colOff>200025</xdr:colOff>
                <xdr:row>20</xdr:row>
                <xdr:rowOff>171450</xdr:rowOff>
              </to>
            </anchor>
          </controlPr>
        </control>
      </mc:Choice>
      <mc:Fallback>
        <control shapeId="33793" r:id="rId8" name="chkOvrRdHw"/>
      </mc:Fallback>
    </mc:AlternateContent>
    <mc:AlternateContent xmlns:mc="http://schemas.openxmlformats.org/markup-compatibility/2006">
      <mc:Choice Requires="x14">
        <control shapeId="33794" r:id="rId10" name="chkStartStop">
          <controlPr autoLine="0" r:id="rId11">
            <anchor moveWithCells="1">
              <from>
                <xdr:col>2</xdr:col>
                <xdr:colOff>76200</xdr:colOff>
                <xdr:row>21</xdr:row>
                <xdr:rowOff>28575</xdr:rowOff>
              </from>
              <to>
                <xdr:col>2</xdr:col>
                <xdr:colOff>200025</xdr:colOff>
                <xdr:row>21</xdr:row>
                <xdr:rowOff>190500</xdr:rowOff>
              </to>
            </anchor>
          </controlPr>
        </control>
      </mc:Choice>
      <mc:Fallback>
        <control shapeId="33794" r:id="rId10" name="chkStartStop"/>
      </mc:Fallback>
    </mc:AlternateContent>
    <mc:AlternateContent xmlns:mc="http://schemas.openxmlformats.org/markup-compatibility/2006">
      <mc:Choice Requires="x14">
        <control shapeId="33795" r:id="rId12" name="chkHighIdle">
          <controlPr autoLine="0" r:id="rId13">
            <anchor moveWithCells="1">
              <from>
                <xdr:col>2</xdr:col>
                <xdr:colOff>76200</xdr:colOff>
                <xdr:row>22</xdr:row>
                <xdr:rowOff>28575</xdr:rowOff>
              </from>
              <to>
                <xdr:col>2</xdr:col>
                <xdr:colOff>200025</xdr:colOff>
                <xdr:row>22</xdr:row>
                <xdr:rowOff>190500</xdr:rowOff>
              </to>
            </anchor>
          </controlPr>
        </control>
      </mc:Choice>
      <mc:Fallback>
        <control shapeId="33795" r:id="rId12" name="chkHighIdle"/>
      </mc:Fallback>
    </mc:AlternateContent>
    <mc:AlternateContent xmlns:mc="http://schemas.openxmlformats.org/markup-compatibility/2006">
      <mc:Choice Requires="x14">
        <control shapeId="33796" r:id="rId14" name="chkPreventMaint">
          <controlPr autoLine="0" r:id="rId11">
            <anchor moveWithCells="1">
              <from>
                <xdr:col>2</xdr:col>
                <xdr:colOff>76200</xdr:colOff>
                <xdr:row>25</xdr:row>
                <xdr:rowOff>9525</xdr:rowOff>
              </from>
              <to>
                <xdr:col>2</xdr:col>
                <xdr:colOff>200025</xdr:colOff>
                <xdr:row>25</xdr:row>
                <xdr:rowOff>171450</xdr:rowOff>
              </to>
            </anchor>
          </controlPr>
        </control>
      </mc:Choice>
      <mc:Fallback>
        <control shapeId="33796" r:id="rId14" name="chkPreventMaint"/>
      </mc:Fallback>
    </mc:AlternateContent>
    <mc:AlternateContent xmlns:mc="http://schemas.openxmlformats.org/markup-compatibility/2006">
      <mc:Choice Requires="x14">
        <control shapeId="33797" r:id="rId15" name="chkHighSootLoad">
          <controlPr autoLine="0" r:id="rId13">
            <anchor moveWithCells="1">
              <from>
                <xdr:col>2</xdr:col>
                <xdr:colOff>76200</xdr:colOff>
                <xdr:row>26</xdr:row>
                <xdr:rowOff>9525</xdr:rowOff>
              </from>
              <to>
                <xdr:col>2</xdr:col>
                <xdr:colOff>200025</xdr:colOff>
                <xdr:row>26</xdr:row>
                <xdr:rowOff>171450</xdr:rowOff>
              </to>
            </anchor>
          </controlPr>
        </control>
      </mc:Choice>
      <mc:Fallback>
        <control shapeId="33797" r:id="rId15" name="chkHighSootLoad"/>
      </mc:Fallback>
    </mc:AlternateContent>
    <mc:AlternateContent xmlns:mc="http://schemas.openxmlformats.org/markup-compatibility/2006">
      <mc:Choice Requires="x14">
        <control shapeId="33798" r:id="rId16" name="chkEngineFail">
          <controlPr autoLine="0" r:id="rId13">
            <anchor moveWithCells="1">
              <from>
                <xdr:col>2</xdr:col>
                <xdr:colOff>76200</xdr:colOff>
                <xdr:row>27</xdr:row>
                <xdr:rowOff>19050</xdr:rowOff>
              </from>
              <to>
                <xdr:col>2</xdr:col>
                <xdr:colOff>200025</xdr:colOff>
                <xdr:row>27</xdr:row>
                <xdr:rowOff>180975</xdr:rowOff>
              </to>
            </anchor>
          </controlPr>
        </control>
      </mc:Choice>
      <mc:Fallback>
        <control shapeId="33798" r:id="rId16" name="chkEngineFail"/>
      </mc:Fallback>
    </mc:AlternateContent>
    <mc:AlternateContent xmlns:mc="http://schemas.openxmlformats.org/markup-compatibility/2006">
      <mc:Choice Requires="x14">
        <control shapeId="33799" r:id="rId17" name="cmdSave">
          <controlPr defaultSize="0" autoFill="0" autoLine="0" r:id="rId18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1466850</xdr:colOff>
                <xdr:row>2</xdr:row>
                <xdr:rowOff>209550</xdr:rowOff>
              </to>
            </anchor>
          </controlPr>
        </control>
      </mc:Choice>
      <mc:Fallback>
        <control shapeId="33799" r:id="rId17" name="cmdSave"/>
      </mc:Fallback>
    </mc:AlternateContent>
    <mc:AlternateContent xmlns:mc="http://schemas.openxmlformats.org/markup-compatibility/2006">
      <mc:Choice Requires="x14">
        <control shapeId="33800" r:id="rId19" name="cbDPF">
          <controlPr defaultSize="0" autoFill="0" autoLine="0" autoPict="0" r:id="rId20">
            <anchor moveWithCells="1">
              <from>
                <xdr:col>2</xdr:col>
                <xdr:colOff>19050</xdr:colOff>
                <xdr:row>11</xdr:row>
                <xdr:rowOff>0</xdr:rowOff>
              </from>
              <to>
                <xdr:col>2</xdr:col>
                <xdr:colOff>1733550</xdr:colOff>
                <xdr:row>12</xdr:row>
                <xdr:rowOff>19050</xdr:rowOff>
              </to>
            </anchor>
          </controlPr>
        </control>
      </mc:Choice>
      <mc:Fallback>
        <control shapeId="33800" r:id="rId19" name="cbDPF"/>
      </mc:Fallback>
    </mc:AlternateContent>
    <mc:AlternateContent xmlns:mc="http://schemas.openxmlformats.org/markup-compatibility/2006">
      <mc:Choice Requires="x14">
        <control shapeId="33801" r:id="rId21" name="cbCompany">
          <controlPr defaultSize="0" autoFill="0" autoLine="0" autoPict="0" r:id="rId22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2</xdr:col>
                <xdr:colOff>2305050</xdr:colOff>
                <xdr:row>5</xdr:row>
                <xdr:rowOff>38100</xdr:rowOff>
              </to>
            </anchor>
          </controlPr>
        </control>
      </mc:Choice>
      <mc:Fallback>
        <control shapeId="33801" r:id="rId21" name="cbCompany"/>
      </mc:Fallback>
    </mc:AlternateContent>
    <mc:AlternateContent xmlns:mc="http://schemas.openxmlformats.org/markup-compatibility/2006">
      <mc:Choice Requires="x14">
        <control shapeId="33802" r:id="rId23" name="cbCompLocation">
          <controlPr defaultSize="0" autoFill="0" autoLine="0" r:id="rId24">
            <anchor moveWithCells="1">
              <from>
                <xdr:col>2</xdr:col>
                <xdr:colOff>19050</xdr:colOff>
                <xdr:row>6</xdr:row>
                <xdr:rowOff>28575</xdr:rowOff>
              </from>
              <to>
                <xdr:col>3</xdr:col>
                <xdr:colOff>38100</xdr:colOff>
                <xdr:row>7</xdr:row>
                <xdr:rowOff>38100</xdr:rowOff>
              </to>
            </anchor>
          </controlPr>
        </control>
      </mc:Choice>
      <mc:Fallback>
        <control shapeId="33802" r:id="rId23" name="cbCompLocation"/>
      </mc:Fallback>
    </mc:AlternateContent>
    <mc:AlternateContent xmlns:mc="http://schemas.openxmlformats.org/markup-compatibility/2006">
      <mc:Choice Requires="x14">
        <control shapeId="33803" r:id="rId25" name="cbVehicle">
          <controlPr defaultSize="0" autoFill="0" autoLine="0" autoPict="0" r:id="rId26">
            <anchor moveWithCells="1">
              <from>
                <xdr:col>2</xdr:col>
                <xdr:colOff>19050</xdr:colOff>
                <xdr:row>12</xdr:row>
                <xdr:rowOff>9525</xdr:rowOff>
              </from>
              <to>
                <xdr:col>2</xdr:col>
                <xdr:colOff>2305050</xdr:colOff>
                <xdr:row>13</xdr:row>
                <xdr:rowOff>19050</xdr:rowOff>
              </to>
            </anchor>
          </controlPr>
        </control>
      </mc:Choice>
      <mc:Fallback>
        <control shapeId="33803" r:id="rId25" name="cbVehicle"/>
      </mc:Fallback>
    </mc:AlternateContent>
    <mc:AlternateContent xmlns:mc="http://schemas.openxmlformats.org/markup-compatibility/2006">
      <mc:Choice Requires="x14">
        <control shapeId="33804" r:id="rId27" name="cbEngine">
          <controlPr defaultSize="0" autoFill="0" autoLine="0" autoPict="0" r:id="rId28">
            <anchor moveWithCells="1">
              <from>
                <xdr:col>2</xdr:col>
                <xdr:colOff>19050</xdr:colOff>
                <xdr:row>13</xdr:row>
                <xdr:rowOff>9525</xdr:rowOff>
              </from>
              <to>
                <xdr:col>2</xdr:col>
                <xdr:colOff>2305050</xdr:colOff>
                <xdr:row>14</xdr:row>
                <xdr:rowOff>0</xdr:rowOff>
              </to>
            </anchor>
          </controlPr>
        </control>
      </mc:Choice>
      <mc:Fallback>
        <control shapeId="33804" r:id="rId27" name="cbEngine"/>
      </mc:Fallback>
    </mc:AlternateContent>
    <mc:AlternateContent xmlns:mc="http://schemas.openxmlformats.org/markup-compatibility/2006">
      <mc:Choice Requires="x14">
        <control shapeId="33805" r:id="rId29" name="cbECD">
          <controlPr defaultSize="0" autoFill="0" autoLine="0" autoPict="0" r:id="rId30">
            <anchor moveWithCells="1">
              <from>
                <xdr:col>2</xdr:col>
                <xdr:colOff>19050</xdr:colOff>
                <xdr:row>14</xdr:row>
                <xdr:rowOff>9525</xdr:rowOff>
              </from>
              <to>
                <xdr:col>2</xdr:col>
                <xdr:colOff>2305050</xdr:colOff>
                <xdr:row>15</xdr:row>
                <xdr:rowOff>0</xdr:rowOff>
              </to>
            </anchor>
          </controlPr>
        </control>
      </mc:Choice>
      <mc:Fallback>
        <control shapeId="33805" r:id="rId29" name="cbECD"/>
      </mc:Fallback>
    </mc:AlternateContent>
    <mc:AlternateContent xmlns:mc="http://schemas.openxmlformats.org/markup-compatibility/2006">
      <mc:Choice Requires="x14">
        <control shapeId="33806" r:id="rId31" name="cbDrivingType">
          <controlPr defaultSize="0" autoFill="0" autoLine="0" autoPict="0" r:id="rId32">
            <anchor moveWithCells="1">
              <from>
                <xdr:col>2</xdr:col>
                <xdr:colOff>19050</xdr:colOff>
                <xdr:row>23</xdr:row>
                <xdr:rowOff>9525</xdr:rowOff>
              </from>
              <to>
                <xdr:col>2</xdr:col>
                <xdr:colOff>2305050</xdr:colOff>
                <xdr:row>24</xdr:row>
                <xdr:rowOff>0</xdr:rowOff>
              </to>
            </anchor>
          </controlPr>
        </control>
      </mc:Choice>
      <mc:Fallback>
        <control shapeId="33806" r:id="rId31" name="cbDrivingType"/>
      </mc:Fallback>
    </mc:AlternateContent>
    <mc:AlternateContent xmlns:mc="http://schemas.openxmlformats.org/markup-compatibility/2006">
      <mc:Choice Requires="x14">
        <control shapeId="33807" r:id="rId33" name="cbCleaningReason">
          <controlPr defaultSize="0" autoFill="0" autoLine="0" autoPict="0" r:id="rId34">
            <anchor moveWithCells="1">
              <from>
                <xdr:col>2</xdr:col>
                <xdr:colOff>19050</xdr:colOff>
                <xdr:row>28</xdr:row>
                <xdr:rowOff>19050</xdr:rowOff>
              </from>
              <to>
                <xdr:col>2</xdr:col>
                <xdr:colOff>2305050</xdr:colOff>
                <xdr:row>29</xdr:row>
                <xdr:rowOff>19050</xdr:rowOff>
              </to>
            </anchor>
          </controlPr>
        </control>
      </mc:Choice>
      <mc:Fallback>
        <control shapeId="33807" r:id="rId33" name="cbCleaningReason"/>
      </mc:Fallback>
    </mc:AlternateContent>
    <mc:AlternateContent xmlns:mc="http://schemas.openxmlformats.org/markup-compatibility/2006">
      <mc:Choice Requires="x14">
        <control shapeId="33808" r:id="rId35" name="cmdMenu">
          <controlPr autoLine="0" r:id="rId36">
            <anchor moveWithCells="1">
              <from>
                <xdr:col>4</xdr:col>
                <xdr:colOff>0</xdr:colOff>
                <xdr:row>4</xdr:row>
                <xdr:rowOff>209550</xdr:rowOff>
              </from>
              <to>
                <xdr:col>4</xdr:col>
                <xdr:colOff>1466850</xdr:colOff>
                <xdr:row>6</xdr:row>
                <xdr:rowOff>76200</xdr:rowOff>
              </to>
            </anchor>
          </controlPr>
        </control>
      </mc:Choice>
      <mc:Fallback>
        <control shapeId="33808" r:id="rId35" name="cmdMenu"/>
      </mc:Fallback>
    </mc:AlternateContent>
    <mc:AlternateContent xmlns:mc="http://schemas.openxmlformats.org/markup-compatibility/2006">
      <mc:Choice Requires="x14">
        <control shapeId="33809" r:id="rId37" name="cbBillingCompany">
          <controlPr defaultSize="0" autoFill="0" autoLine="0" autoPict="0" r:id="rId38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3</xdr:col>
                <xdr:colOff>0</xdr:colOff>
                <xdr:row>4</xdr:row>
                <xdr:rowOff>28575</xdr:rowOff>
              </to>
            </anchor>
          </controlPr>
        </control>
      </mc:Choice>
      <mc:Fallback>
        <control shapeId="33809" r:id="rId37" name="cbBillingCompany"/>
      </mc:Fallback>
    </mc:AlternateContent>
    <mc:AlternateContent xmlns:mc="http://schemas.openxmlformats.org/markup-compatibility/2006">
      <mc:Choice Requires="x14">
        <control shapeId="33810" r:id="rId39" name="cbSalesID">
          <controlPr defaultSize="0" autoFill="0" autoLine="0" autoPict="0" r:id="rId40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2</xdr:col>
                <xdr:colOff>1733550</xdr:colOff>
                <xdr:row>3</xdr:row>
                <xdr:rowOff>19050</xdr:rowOff>
              </to>
            </anchor>
          </controlPr>
        </control>
      </mc:Choice>
      <mc:Fallback>
        <control shapeId="33810" r:id="rId39" name="cbSalesID"/>
      </mc:Fallback>
    </mc:AlternateContent>
    <mc:AlternateContent xmlns:mc="http://schemas.openxmlformats.org/markup-compatibility/2006">
      <mc:Choice Requires="x14">
        <control shapeId="33811" r:id="rId41" name="cmdVehicle">
          <controlPr defaultSize="0" autoLine="0" r:id="rId42">
            <anchor moveWithCells="1">
              <from>
                <xdr:col>4</xdr:col>
                <xdr:colOff>0</xdr:colOff>
                <xdr:row>7</xdr:row>
                <xdr:rowOff>28575</xdr:rowOff>
              </from>
              <to>
                <xdr:col>4</xdr:col>
                <xdr:colOff>1466850</xdr:colOff>
                <xdr:row>8</xdr:row>
                <xdr:rowOff>123825</xdr:rowOff>
              </to>
            </anchor>
          </controlPr>
        </control>
      </mc:Choice>
      <mc:Fallback>
        <control shapeId="33811" r:id="rId41" name="cmdVehicle"/>
      </mc:Fallback>
    </mc:AlternateContent>
    <mc:AlternateContent xmlns:mc="http://schemas.openxmlformats.org/markup-compatibility/2006">
      <mc:Choice Requires="x14">
        <control shapeId="33812" r:id="rId43" name="cmdEngine">
          <controlPr defaultSize="0" autoLine="0" r:id="rId44">
            <anchor moveWithCells="1">
              <from>
                <xdr:col>4</xdr:col>
                <xdr:colOff>0</xdr:colOff>
                <xdr:row>8</xdr:row>
                <xdr:rowOff>161925</xdr:rowOff>
              </from>
              <to>
                <xdr:col>4</xdr:col>
                <xdr:colOff>1466850</xdr:colOff>
                <xdr:row>10</xdr:row>
                <xdr:rowOff>28575</xdr:rowOff>
              </to>
            </anchor>
          </controlPr>
        </control>
      </mc:Choice>
      <mc:Fallback>
        <control shapeId="33812" r:id="rId43" name="cmdEngine"/>
      </mc:Fallback>
    </mc:AlternateContent>
    <mc:AlternateContent xmlns:mc="http://schemas.openxmlformats.org/markup-compatibility/2006">
      <mc:Choice Requires="x14">
        <control shapeId="33813" r:id="rId45" name="cmdECD">
          <controlPr defaultSize="0" autoLine="0" r:id="rId46">
            <anchor moveWithCells="1">
              <from>
                <xdr:col>4</xdr:col>
                <xdr:colOff>0</xdr:colOff>
                <xdr:row>10</xdr:row>
                <xdr:rowOff>66675</xdr:rowOff>
              </from>
              <to>
                <xdr:col>4</xdr:col>
                <xdr:colOff>1466850</xdr:colOff>
                <xdr:row>11</xdr:row>
                <xdr:rowOff>161925</xdr:rowOff>
              </to>
            </anchor>
          </controlPr>
        </control>
      </mc:Choice>
      <mc:Fallback>
        <control shapeId="33813" r:id="rId45" name="cmdECD"/>
      </mc:Fallback>
    </mc:AlternateContent>
    <mc:AlternateContent xmlns:mc="http://schemas.openxmlformats.org/markup-compatibility/2006">
      <mc:Choice Requires="x14">
        <control shapeId="33814" r:id="rId47" name="cmdQuality">
          <controlPr defaultSize="0" autoLine="0" altText="" r:id="rId48">
            <anchor moveWithCells="1">
              <from>
                <xdr:col>5</xdr:col>
                <xdr:colOff>361950</xdr:colOff>
                <xdr:row>5</xdr:row>
                <xdr:rowOff>9525</xdr:rowOff>
              </from>
              <to>
                <xdr:col>8</xdr:col>
                <xdr:colOff>38100</xdr:colOff>
                <xdr:row>6</xdr:row>
                <xdr:rowOff>104775</xdr:rowOff>
              </to>
            </anchor>
          </controlPr>
        </control>
      </mc:Choice>
      <mc:Fallback>
        <control shapeId="33814" r:id="rId47" name="cmdQuality"/>
      </mc:Fallback>
    </mc:AlternateContent>
    <mc:AlternateContent xmlns:mc="http://schemas.openxmlformats.org/markup-compatibility/2006">
      <mc:Choice Requires="x14">
        <control shapeId="33815" r:id="rId49" name="cmdQAProcess">
          <controlPr defaultSize="0" autoLine="0" r:id="rId50">
            <anchor moveWithCells="1">
              <from>
                <xdr:col>5</xdr:col>
                <xdr:colOff>361950</xdr:colOff>
                <xdr:row>7</xdr:row>
                <xdr:rowOff>47625</xdr:rowOff>
              </from>
              <to>
                <xdr:col>8</xdr:col>
                <xdr:colOff>47625</xdr:colOff>
                <xdr:row>8</xdr:row>
                <xdr:rowOff>142875</xdr:rowOff>
              </to>
            </anchor>
          </controlPr>
        </control>
      </mc:Choice>
      <mc:Fallback>
        <control shapeId="33815" r:id="rId49" name="cmdQAProcess"/>
      </mc:Fallback>
    </mc:AlternateContent>
    <mc:AlternateContent xmlns:mc="http://schemas.openxmlformats.org/markup-compatibility/2006">
      <mc:Choice Requires="x14">
        <control shapeId="33816" r:id="rId51" name="cmdReport">
          <controlPr defaultSize="0" autoLine="0" altText="" r:id="rId52">
            <anchor moveWithCells="1">
              <from>
                <xdr:col>5</xdr:col>
                <xdr:colOff>361950</xdr:colOff>
                <xdr:row>1</xdr:row>
                <xdr:rowOff>133350</xdr:rowOff>
              </from>
              <to>
                <xdr:col>8</xdr:col>
                <xdr:colOff>47625</xdr:colOff>
                <xdr:row>3</xdr:row>
                <xdr:rowOff>0</xdr:rowOff>
              </to>
            </anchor>
          </controlPr>
        </control>
      </mc:Choice>
      <mc:Fallback>
        <control shapeId="33816" r:id="rId51" name="cmdReport"/>
      </mc:Fallback>
    </mc:AlternateContent>
    <mc:AlternateContent xmlns:mc="http://schemas.openxmlformats.org/markup-compatibility/2006">
      <mc:Choice Requires="x14">
        <control shapeId="33817" r:id="rId53" name="txtTrackingNo">
          <controlPr defaultSize="0" autoLine="0" autoPict="0" r:id="rId54">
            <anchor moveWithCells="1">
              <from>
                <xdr:col>2</xdr:col>
                <xdr:colOff>19050</xdr:colOff>
                <xdr:row>5</xdr:row>
                <xdr:rowOff>19050</xdr:rowOff>
              </from>
              <to>
                <xdr:col>2</xdr:col>
                <xdr:colOff>2314575</xdr:colOff>
                <xdr:row>6</xdr:row>
                <xdr:rowOff>19050</xdr:rowOff>
              </to>
            </anchor>
          </controlPr>
        </control>
      </mc:Choice>
      <mc:Fallback>
        <control shapeId="33817" r:id="rId53" name="txtTrackingNo"/>
      </mc:Fallback>
    </mc:AlternateContent>
    <mc:AlternateContent xmlns:mc="http://schemas.openxmlformats.org/markup-compatibility/2006">
      <mc:Choice Requires="x14">
        <control shapeId="33818" r:id="rId55" name="txtContact">
          <controlPr defaultSize="0" autoLine="0" autoPict="0" r:id="rId56">
            <anchor moveWithCells="1">
              <from>
                <xdr:col>2</xdr:col>
                <xdr:colOff>19050</xdr:colOff>
                <xdr:row>7</xdr:row>
                <xdr:rowOff>9525</xdr:rowOff>
              </from>
              <to>
                <xdr:col>3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33818" r:id="rId55" name="txtContac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E4"/>
  <sheetViews>
    <sheetView workbookViewId="0">
      <selection activeCell="G13" sqref="G13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09" x14ac:dyDescent="0.25">
      <c r="A1" t="s">
        <v>83</v>
      </c>
      <c r="B1" t="s">
        <v>113</v>
      </c>
      <c r="C1" t="s">
        <v>114</v>
      </c>
      <c r="D1" t="s">
        <v>115</v>
      </c>
      <c r="E1" t="s">
        <v>116</v>
      </c>
      <c r="F1" t="s">
        <v>117</v>
      </c>
      <c r="G1" t="s">
        <v>118</v>
      </c>
      <c r="H1" t="s">
        <v>119</v>
      </c>
      <c r="I1" t="s">
        <v>120</v>
      </c>
      <c r="J1" t="s">
        <v>121</v>
      </c>
      <c r="K1" t="s">
        <v>122</v>
      </c>
      <c r="L1" t="s">
        <v>123</v>
      </c>
      <c r="M1" t="s">
        <v>124</v>
      </c>
      <c r="N1" t="s">
        <v>125</v>
      </c>
      <c r="O1" t="s">
        <v>126</v>
      </c>
      <c r="P1" t="s">
        <v>127</v>
      </c>
      <c r="Q1" t="s">
        <v>128</v>
      </c>
      <c r="R1" t="s">
        <v>129</v>
      </c>
      <c r="S1" t="s">
        <v>130</v>
      </c>
      <c r="T1" t="s">
        <v>131</v>
      </c>
      <c r="U1" t="s">
        <v>132</v>
      </c>
      <c r="V1" t="s">
        <v>133</v>
      </c>
      <c r="W1" t="s">
        <v>134</v>
      </c>
      <c r="X1" t="s">
        <v>135</v>
      </c>
      <c r="Y1" t="s">
        <v>136</v>
      </c>
      <c r="Z1" t="s">
        <v>83</v>
      </c>
      <c r="AA1" t="s">
        <v>164</v>
      </c>
      <c r="AB1" t="s">
        <v>139</v>
      </c>
      <c r="AC1" t="s">
        <v>179</v>
      </c>
      <c r="AD1" t="s">
        <v>140</v>
      </c>
      <c r="AE1" t="s">
        <v>84</v>
      </c>
      <c r="AF1" t="s">
        <v>85</v>
      </c>
      <c r="AG1" t="s">
        <v>86</v>
      </c>
      <c r="AH1" t="s">
        <v>141</v>
      </c>
      <c r="AI1" t="s">
        <v>87</v>
      </c>
      <c r="AJ1" t="s">
        <v>88</v>
      </c>
      <c r="AK1" t="s">
        <v>89</v>
      </c>
      <c r="AL1" t="s">
        <v>142</v>
      </c>
      <c r="AM1" t="s">
        <v>225</v>
      </c>
      <c r="AN1" t="s">
        <v>226</v>
      </c>
      <c r="AO1" t="s">
        <v>148</v>
      </c>
      <c r="AP1" t="s">
        <v>214</v>
      </c>
      <c r="AQ1" t="s">
        <v>165</v>
      </c>
      <c r="AR1" t="s">
        <v>91</v>
      </c>
      <c r="AS1" t="s">
        <v>92</v>
      </c>
      <c r="AT1" t="s">
        <v>93</v>
      </c>
      <c r="AU1" t="s">
        <v>94</v>
      </c>
      <c r="AV1" t="s">
        <v>3</v>
      </c>
      <c r="AW1" t="s">
        <v>90</v>
      </c>
      <c r="AX1" t="s">
        <v>165</v>
      </c>
      <c r="AY1" t="s">
        <v>95</v>
      </c>
      <c r="AZ1" t="s">
        <v>28</v>
      </c>
      <c r="BA1" t="s">
        <v>2</v>
      </c>
      <c r="BB1" t="s">
        <v>4</v>
      </c>
      <c r="BC1" t="s">
        <v>3</v>
      </c>
      <c r="BD1" t="s">
        <v>29</v>
      </c>
      <c r="BE1" t="s">
        <v>95</v>
      </c>
      <c r="BF1" t="s">
        <v>28</v>
      </c>
      <c r="BG1" t="s">
        <v>2</v>
      </c>
      <c r="BH1" t="s">
        <v>4</v>
      </c>
      <c r="BI1" t="s">
        <v>3</v>
      </c>
      <c r="BJ1" t="s">
        <v>215</v>
      </c>
      <c r="BK1" t="s">
        <v>97</v>
      </c>
      <c r="BL1" t="s">
        <v>14</v>
      </c>
      <c r="BM1" t="s">
        <v>10</v>
      </c>
      <c r="BN1" t="s">
        <v>11</v>
      </c>
      <c r="BO1" t="s">
        <v>227</v>
      </c>
      <c r="BP1" t="s">
        <v>228</v>
      </c>
      <c r="BQ1" t="s">
        <v>216</v>
      </c>
      <c r="BR1" t="s">
        <v>96</v>
      </c>
      <c r="BS1" t="s">
        <v>10</v>
      </c>
      <c r="BT1" t="s">
        <v>11</v>
      </c>
      <c r="BU1" t="s">
        <v>98</v>
      </c>
      <c r="BV1" t="s">
        <v>217</v>
      </c>
      <c r="BW1" t="s">
        <v>99</v>
      </c>
      <c r="BX1" t="s">
        <v>100</v>
      </c>
      <c r="BY1" t="s">
        <v>101</v>
      </c>
      <c r="BZ1" t="s">
        <v>96</v>
      </c>
      <c r="CA1" t="s">
        <v>102</v>
      </c>
      <c r="CB1" t="s">
        <v>103</v>
      </c>
      <c r="CC1" t="s">
        <v>104</v>
      </c>
      <c r="CD1" t="s">
        <v>105</v>
      </c>
      <c r="CE1" t="s">
        <v>106</v>
      </c>
      <c r="CF1" t="s">
        <v>218</v>
      </c>
      <c r="CG1" t="s">
        <v>182</v>
      </c>
      <c r="CH1" t="s">
        <v>219</v>
      </c>
      <c r="CI1" t="s">
        <v>220</v>
      </c>
      <c r="CJ1" t="s">
        <v>180</v>
      </c>
      <c r="CK1" t="s">
        <v>181</v>
      </c>
      <c r="CL1" t="s">
        <v>183</v>
      </c>
      <c r="CM1" t="s">
        <v>107</v>
      </c>
      <c r="CN1" t="s">
        <v>108</v>
      </c>
      <c r="CO1" t="s">
        <v>109</v>
      </c>
      <c r="CP1" t="s">
        <v>154</v>
      </c>
      <c r="CQ1" t="s">
        <v>155</v>
      </c>
      <c r="CR1" t="s">
        <v>156</v>
      </c>
      <c r="CS1" t="s">
        <v>157</v>
      </c>
      <c r="CT1" t="s">
        <v>110</v>
      </c>
      <c r="CU1" t="s">
        <v>111</v>
      </c>
      <c r="CV1" t="s">
        <v>112</v>
      </c>
      <c r="CW1" t="s">
        <v>221</v>
      </c>
      <c r="CX1" t="s">
        <v>247</v>
      </c>
      <c r="CY1" t="s">
        <v>229</v>
      </c>
      <c r="CZ1" t="s">
        <v>230</v>
      </c>
      <c r="DA1" t="s">
        <v>231</v>
      </c>
      <c r="DB1" t="s">
        <v>232</v>
      </c>
      <c r="DC1" t="s">
        <v>233</v>
      </c>
      <c r="DD1" t="s">
        <v>234</v>
      </c>
      <c r="DE1" t="s">
        <v>235</v>
      </c>
    </row>
    <row r="2" spans="1:109" ht="30" x14ac:dyDescent="0.25">
      <c r="A2">
        <v>3044</v>
      </c>
      <c r="B2">
        <v>0</v>
      </c>
      <c r="F2">
        <v>21.32</v>
      </c>
      <c r="Z2">
        <v>3044</v>
      </c>
      <c r="AA2" t="s">
        <v>246</v>
      </c>
      <c r="AB2" t="s">
        <v>248</v>
      </c>
      <c r="AD2">
        <v>0</v>
      </c>
      <c r="AE2" t="b">
        <v>0</v>
      </c>
      <c r="AF2" t="b">
        <v>0</v>
      </c>
      <c r="AG2" t="b">
        <v>0</v>
      </c>
      <c r="AI2" t="b">
        <v>0</v>
      </c>
      <c r="AJ2" t="b">
        <v>0</v>
      </c>
      <c r="AK2" t="b">
        <v>0</v>
      </c>
      <c r="AM2">
        <v>0</v>
      </c>
      <c r="AN2">
        <v>0</v>
      </c>
      <c r="AO2" s="35">
        <v>43790.680432141206</v>
      </c>
      <c r="AP2" t="s">
        <v>249</v>
      </c>
      <c r="AQ2" t="s">
        <v>250</v>
      </c>
      <c r="AR2" t="s">
        <v>251</v>
      </c>
      <c r="AT2" t="s">
        <v>252</v>
      </c>
      <c r="AU2" t="s">
        <v>253</v>
      </c>
      <c r="AV2" t="s">
        <v>254</v>
      </c>
      <c r="AW2" t="s">
        <v>249</v>
      </c>
      <c r="AX2" t="s">
        <v>250</v>
      </c>
      <c r="AY2" s="35" t="s">
        <v>251</v>
      </c>
      <c r="AZ2" s="35"/>
      <c r="BA2" t="s">
        <v>252</v>
      </c>
      <c r="BB2" t="s">
        <v>253</v>
      </c>
      <c r="BC2" t="s">
        <v>254</v>
      </c>
      <c r="BD2" t="s">
        <v>255</v>
      </c>
      <c r="BE2" t="s">
        <v>256</v>
      </c>
      <c r="BG2" t="s">
        <v>257</v>
      </c>
      <c r="BH2" t="s">
        <v>258</v>
      </c>
      <c r="BI2" t="s">
        <v>222</v>
      </c>
      <c r="BU2" t="s">
        <v>260</v>
      </c>
      <c r="BV2" t="s">
        <v>259</v>
      </c>
      <c r="BW2" t="s">
        <v>262</v>
      </c>
      <c r="BX2">
        <v>0</v>
      </c>
      <c r="BY2" t="s">
        <v>263</v>
      </c>
      <c r="BZ2" t="s">
        <v>264</v>
      </c>
      <c r="CB2">
        <v>11.75</v>
      </c>
      <c r="CC2">
        <v>9</v>
      </c>
      <c r="CD2">
        <v>16</v>
      </c>
      <c r="CE2">
        <v>4</v>
      </c>
      <c r="CF2" s="105" t="s">
        <v>237</v>
      </c>
      <c r="CH2" s="105" t="s">
        <v>236</v>
      </c>
      <c r="CI2" t="s">
        <v>238</v>
      </c>
      <c r="CJ2" s="105" t="s">
        <v>261</v>
      </c>
      <c r="CK2" t="s">
        <v>237</v>
      </c>
      <c r="CL2" t="s">
        <v>237</v>
      </c>
      <c r="CM2" s="105" t="b">
        <v>0</v>
      </c>
      <c r="CN2" t="b">
        <v>0</v>
      </c>
      <c r="CO2" t="b">
        <v>0</v>
      </c>
      <c r="CP2" t="b">
        <v>0</v>
      </c>
      <c r="CQ2" t="b">
        <v>1</v>
      </c>
      <c r="CR2" t="b">
        <v>0</v>
      </c>
      <c r="CT2">
        <v>4</v>
      </c>
      <c r="CU2">
        <v>110000</v>
      </c>
      <c r="CV2">
        <v>60</v>
      </c>
      <c r="CW2" t="s">
        <v>265</v>
      </c>
      <c r="CX2" t="b">
        <v>0</v>
      </c>
      <c r="CY2" t="s">
        <v>245</v>
      </c>
      <c r="CZ2" t="s">
        <v>243</v>
      </c>
      <c r="DA2" t="s">
        <v>240</v>
      </c>
      <c r="DC2" t="s">
        <v>241</v>
      </c>
      <c r="DD2" t="s">
        <v>222</v>
      </c>
      <c r="DE2" t="s">
        <v>242</v>
      </c>
    </row>
    <row r="3" spans="1:109" ht="30" x14ac:dyDescent="0.25">
      <c r="A3">
        <v>3044</v>
      </c>
      <c r="B3">
        <v>1</v>
      </c>
      <c r="Z3">
        <v>3044</v>
      </c>
      <c r="AA3" t="s">
        <v>246</v>
      </c>
      <c r="AB3" t="s">
        <v>248</v>
      </c>
      <c r="AD3">
        <v>0</v>
      </c>
      <c r="AE3" t="b">
        <v>0</v>
      </c>
      <c r="AF3" t="b">
        <v>0</v>
      </c>
      <c r="AG3" t="b">
        <v>0</v>
      </c>
      <c r="AI3" t="b">
        <v>0</v>
      </c>
      <c r="AJ3" t="b">
        <v>0</v>
      </c>
      <c r="AK3" t="b">
        <v>0</v>
      </c>
      <c r="AM3">
        <v>0</v>
      </c>
      <c r="AN3">
        <v>0</v>
      </c>
      <c r="AO3" s="35">
        <v>43790.680432141206</v>
      </c>
      <c r="AP3" t="s">
        <v>249</v>
      </c>
      <c r="AQ3" t="s">
        <v>250</v>
      </c>
      <c r="AR3" t="s">
        <v>251</v>
      </c>
      <c r="AT3" t="s">
        <v>252</v>
      </c>
      <c r="AU3" t="s">
        <v>253</v>
      </c>
      <c r="AV3" t="s">
        <v>254</v>
      </c>
      <c r="AW3" t="s">
        <v>249</v>
      </c>
      <c r="AX3" t="s">
        <v>250</v>
      </c>
      <c r="AY3" s="35" t="s">
        <v>251</v>
      </c>
      <c r="AZ3" s="35"/>
      <c r="BA3" t="s">
        <v>252</v>
      </c>
      <c r="BB3" t="s">
        <v>253</v>
      </c>
      <c r="BC3" t="s">
        <v>254</v>
      </c>
      <c r="BD3" t="s">
        <v>255</v>
      </c>
      <c r="BE3" t="s">
        <v>256</v>
      </c>
      <c r="BG3" t="s">
        <v>257</v>
      </c>
      <c r="BH3" t="s">
        <v>258</v>
      </c>
      <c r="BI3" t="s">
        <v>222</v>
      </c>
      <c r="BU3" t="s">
        <v>260</v>
      </c>
      <c r="BV3" t="s">
        <v>259</v>
      </c>
      <c r="BW3" t="s">
        <v>262</v>
      </c>
      <c r="BX3">
        <v>0</v>
      </c>
      <c r="BY3" t="s">
        <v>263</v>
      </c>
      <c r="BZ3" t="s">
        <v>264</v>
      </c>
      <c r="CB3">
        <v>11.75</v>
      </c>
      <c r="CC3">
        <v>9</v>
      </c>
      <c r="CD3">
        <v>16</v>
      </c>
      <c r="CE3">
        <v>4</v>
      </c>
      <c r="CF3" s="105" t="s">
        <v>237</v>
      </c>
      <c r="CH3" s="105" t="s">
        <v>236</v>
      </c>
      <c r="CI3" t="s">
        <v>238</v>
      </c>
      <c r="CJ3" s="105" t="s">
        <v>261</v>
      </c>
      <c r="CK3" t="s">
        <v>237</v>
      </c>
      <c r="CL3" t="s">
        <v>237</v>
      </c>
      <c r="CM3" s="105" t="b">
        <v>0</v>
      </c>
      <c r="CN3" t="b">
        <v>0</v>
      </c>
      <c r="CO3" t="b">
        <v>0</v>
      </c>
      <c r="CP3" t="b">
        <v>0</v>
      </c>
      <c r="CQ3" t="b">
        <v>1</v>
      </c>
      <c r="CR3" t="b">
        <v>0</v>
      </c>
      <c r="CT3">
        <v>4</v>
      </c>
      <c r="CU3">
        <v>110000</v>
      </c>
      <c r="CV3">
        <v>60</v>
      </c>
      <c r="CW3" t="s">
        <v>265</v>
      </c>
      <c r="CX3" t="b">
        <v>0</v>
      </c>
      <c r="CY3" t="s">
        <v>245</v>
      </c>
      <c r="CZ3" t="s">
        <v>243</v>
      </c>
      <c r="DA3" t="s">
        <v>240</v>
      </c>
      <c r="DC3" t="s">
        <v>241</v>
      </c>
      <c r="DD3" t="s">
        <v>222</v>
      </c>
      <c r="DE3" t="s">
        <v>242</v>
      </c>
    </row>
    <row r="4" spans="1:109" ht="30" x14ac:dyDescent="0.25">
      <c r="A4">
        <v>3044</v>
      </c>
      <c r="B4">
        <v>2</v>
      </c>
      <c r="F4">
        <v>21.19</v>
      </c>
      <c r="Z4">
        <v>3044</v>
      </c>
      <c r="AA4" t="s">
        <v>246</v>
      </c>
      <c r="AB4" t="s">
        <v>248</v>
      </c>
      <c r="AD4">
        <v>0</v>
      </c>
      <c r="AE4" t="b">
        <v>0</v>
      </c>
      <c r="AF4" t="b">
        <v>0</v>
      </c>
      <c r="AG4" t="b">
        <v>0</v>
      </c>
      <c r="AI4" t="b">
        <v>0</v>
      </c>
      <c r="AJ4" t="b">
        <v>0</v>
      </c>
      <c r="AK4" t="b">
        <v>0</v>
      </c>
      <c r="AM4">
        <v>0</v>
      </c>
      <c r="AN4">
        <v>0</v>
      </c>
      <c r="AO4" s="35">
        <v>43790.680432141206</v>
      </c>
      <c r="AP4" t="s">
        <v>249</v>
      </c>
      <c r="AQ4" t="s">
        <v>250</v>
      </c>
      <c r="AR4" t="s">
        <v>251</v>
      </c>
      <c r="AT4" t="s">
        <v>252</v>
      </c>
      <c r="AU4" t="s">
        <v>253</v>
      </c>
      <c r="AV4" t="s">
        <v>254</v>
      </c>
      <c r="AW4" t="s">
        <v>249</v>
      </c>
      <c r="AX4" t="s">
        <v>250</v>
      </c>
      <c r="AY4" s="35" t="s">
        <v>251</v>
      </c>
      <c r="AZ4" s="35"/>
      <c r="BA4" t="s">
        <v>252</v>
      </c>
      <c r="BB4" t="s">
        <v>253</v>
      </c>
      <c r="BC4" t="s">
        <v>254</v>
      </c>
      <c r="BD4" t="s">
        <v>255</v>
      </c>
      <c r="BE4" t="s">
        <v>256</v>
      </c>
      <c r="BG4" t="s">
        <v>257</v>
      </c>
      <c r="BH4" t="s">
        <v>258</v>
      </c>
      <c r="BI4" t="s">
        <v>222</v>
      </c>
      <c r="BU4" t="s">
        <v>260</v>
      </c>
      <c r="BV4" t="s">
        <v>259</v>
      </c>
      <c r="BW4" t="s">
        <v>262</v>
      </c>
      <c r="BX4">
        <v>0</v>
      </c>
      <c r="BY4" t="s">
        <v>263</v>
      </c>
      <c r="BZ4" t="s">
        <v>264</v>
      </c>
      <c r="CB4">
        <v>11.75</v>
      </c>
      <c r="CC4">
        <v>9</v>
      </c>
      <c r="CD4">
        <v>16</v>
      </c>
      <c r="CE4">
        <v>4</v>
      </c>
      <c r="CF4" s="105" t="s">
        <v>237</v>
      </c>
      <c r="CH4" s="105" t="s">
        <v>236</v>
      </c>
      <c r="CI4" t="s">
        <v>238</v>
      </c>
      <c r="CJ4" s="105" t="s">
        <v>261</v>
      </c>
      <c r="CK4" t="s">
        <v>237</v>
      </c>
      <c r="CL4" t="s">
        <v>237</v>
      </c>
      <c r="CM4" s="105" t="b">
        <v>0</v>
      </c>
      <c r="CN4" t="b">
        <v>0</v>
      </c>
      <c r="CO4" t="b">
        <v>0</v>
      </c>
      <c r="CP4" t="b">
        <v>0</v>
      </c>
      <c r="CQ4" t="b">
        <v>1</v>
      </c>
      <c r="CR4" t="b">
        <v>0</v>
      </c>
      <c r="CT4">
        <v>4</v>
      </c>
      <c r="CU4">
        <v>110000</v>
      </c>
      <c r="CV4">
        <v>60</v>
      </c>
      <c r="CW4" t="s">
        <v>265</v>
      </c>
      <c r="CX4" t="b">
        <v>0</v>
      </c>
      <c r="CY4" t="s">
        <v>245</v>
      </c>
      <c r="CZ4" t="s">
        <v>243</v>
      </c>
      <c r="DA4" t="s">
        <v>240</v>
      </c>
      <c r="DC4" t="s">
        <v>241</v>
      </c>
      <c r="DD4" t="s">
        <v>222</v>
      </c>
      <c r="DE4" t="s">
        <v>242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6"/>
  <dimension ref="B5:F41"/>
  <sheetViews>
    <sheetView showGridLines="0" topLeftCell="A2" workbookViewId="0">
      <selection activeCell="C17" sqref="C17"/>
    </sheetView>
  </sheetViews>
  <sheetFormatPr defaultRowHeight="15" x14ac:dyDescent="0.25"/>
  <cols>
    <col min="2" max="2" width="14.140625" style="18" hidden="1" customWidth="1"/>
    <col min="3" max="3" width="16" style="107" customWidth="1"/>
    <col min="4" max="4" width="13.5703125" style="18" customWidth="1"/>
    <col min="5" max="5" width="20.42578125" style="2" customWidth="1"/>
    <col min="6" max="6" width="16.5703125" style="1" customWidth="1"/>
    <col min="7" max="7" width="47.5703125" customWidth="1"/>
  </cols>
  <sheetData>
    <row r="5" spans="2:6" ht="18.75" x14ac:dyDescent="0.3">
      <c r="C5" s="18"/>
      <c r="E5" s="18"/>
      <c r="F5" s="110"/>
    </row>
    <row r="6" spans="2:6" x14ac:dyDescent="0.25">
      <c r="C6" s="18"/>
      <c r="E6" s="18"/>
    </row>
    <row r="7" spans="2:6" x14ac:dyDescent="0.25">
      <c r="C7" s="18"/>
      <c r="E7" s="18"/>
    </row>
    <row r="8" spans="2:6" x14ac:dyDescent="0.25">
      <c r="C8" s="18"/>
      <c r="E8" s="18"/>
    </row>
    <row r="12" spans="2:6" s="24" customFormat="1" x14ac:dyDescent="0.25">
      <c r="B12" s="108"/>
      <c r="D12" s="108"/>
      <c r="E12" s="109"/>
      <c r="F12" s="111"/>
    </row>
    <row r="13" spans="2:6" x14ac:dyDescent="0.25">
      <c r="F13" s="2"/>
    </row>
    <row r="14" spans="2:6" x14ac:dyDescent="0.25">
      <c r="F14" s="2"/>
    </row>
    <row r="15" spans="2:6" x14ac:dyDescent="0.25">
      <c r="F15" s="2"/>
    </row>
    <row r="16" spans="2:6" x14ac:dyDescent="0.25">
      <c r="F16" s="2"/>
    </row>
    <row r="17" spans="6:6" x14ac:dyDescent="0.25">
      <c r="F17" s="2"/>
    </row>
    <row r="18" spans="6:6" ht="15.95" customHeight="1" x14ac:dyDescent="0.25">
      <c r="F18" s="2"/>
    </row>
    <row r="19" spans="6:6" x14ac:dyDescent="0.25">
      <c r="F19" s="2"/>
    </row>
    <row r="20" spans="6:6" x14ac:dyDescent="0.25">
      <c r="F20" s="2"/>
    </row>
    <row r="21" spans="6:6" x14ac:dyDescent="0.25">
      <c r="F21" s="2"/>
    </row>
    <row r="22" spans="6:6" x14ac:dyDescent="0.25">
      <c r="F22" s="2"/>
    </row>
    <row r="23" spans="6:6" x14ac:dyDescent="0.25">
      <c r="F23" s="2"/>
    </row>
    <row r="24" spans="6:6" x14ac:dyDescent="0.25">
      <c r="F24" s="2"/>
    </row>
    <row r="25" spans="6:6" x14ac:dyDescent="0.25">
      <c r="F25" s="2"/>
    </row>
    <row r="26" spans="6:6" x14ac:dyDescent="0.25">
      <c r="F26" s="2"/>
    </row>
    <row r="27" spans="6:6" x14ac:dyDescent="0.25">
      <c r="F27" s="2"/>
    </row>
    <row r="28" spans="6:6" x14ac:dyDescent="0.25">
      <c r="F28" s="2"/>
    </row>
    <row r="29" spans="6:6" x14ac:dyDescent="0.25">
      <c r="F29" s="2"/>
    </row>
    <row r="30" spans="6:6" x14ac:dyDescent="0.25">
      <c r="F30" s="2"/>
    </row>
    <row r="31" spans="6:6" x14ac:dyDescent="0.25">
      <c r="F31" s="2"/>
    </row>
    <row r="32" spans="6:6" x14ac:dyDescent="0.25">
      <c r="F32" s="2"/>
    </row>
    <row r="33" spans="6:6" x14ac:dyDescent="0.25">
      <c r="F33" s="2"/>
    </row>
    <row r="34" spans="6:6" x14ac:dyDescent="0.25">
      <c r="F34" s="2"/>
    </row>
    <row r="35" spans="6:6" x14ac:dyDescent="0.25">
      <c r="F35" s="2"/>
    </row>
    <row r="36" spans="6:6" x14ac:dyDescent="0.25">
      <c r="F36" s="2"/>
    </row>
    <row r="37" spans="6:6" x14ac:dyDescent="0.25">
      <c r="F37" s="2"/>
    </row>
    <row r="38" spans="6:6" x14ac:dyDescent="0.25">
      <c r="F38" s="2"/>
    </row>
    <row r="39" spans="6:6" x14ac:dyDescent="0.25">
      <c r="F39" s="2"/>
    </row>
    <row r="40" spans="6:6" x14ac:dyDescent="0.25">
      <c r="F40" s="2"/>
    </row>
    <row r="41" spans="6:6" x14ac:dyDescent="0.25">
      <c r="F41" s="2"/>
    </row>
  </sheetData>
  <sortState ref="A13:G39">
    <sortCondition ref="E13:E39"/>
  </sortState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9697" r:id="rId4" name="cmdSearch">
          <controlPr defaultSize="0" autoFill="0" autoLine="0" r:id="rId5">
            <anchor moveWithCells="1">
              <from>
                <xdr:col>4</xdr:col>
                <xdr:colOff>1257300</xdr:colOff>
                <xdr:row>2</xdr:row>
                <xdr:rowOff>57150</xdr:rowOff>
              </from>
              <to>
                <xdr:col>6</xdr:col>
                <xdr:colOff>133350</xdr:colOff>
                <xdr:row>3</xdr:row>
                <xdr:rowOff>142875</xdr:rowOff>
              </to>
            </anchor>
          </controlPr>
        </control>
      </mc:Choice>
      <mc:Fallback>
        <control shapeId="29697" r:id="rId4" name="cmdSearch"/>
      </mc:Fallback>
    </mc:AlternateContent>
    <mc:AlternateContent xmlns:mc="http://schemas.openxmlformats.org/markup-compatibility/2006">
      <mc:Choice Requires="x14">
        <control shapeId="29699" r:id="rId6" name="cmdMenu">
          <controlPr autoLine="0" r:id="rId7">
            <anchor moveWithCells="1">
              <from>
                <xdr:col>4</xdr:col>
                <xdr:colOff>1238250</xdr:colOff>
                <xdr:row>6</xdr:row>
                <xdr:rowOff>9525</xdr:rowOff>
              </from>
              <to>
                <xdr:col>6</xdr:col>
                <xdr:colOff>152400</xdr:colOff>
                <xdr:row>7</xdr:row>
                <xdr:rowOff>114300</xdr:rowOff>
              </to>
            </anchor>
          </controlPr>
        </control>
      </mc:Choice>
      <mc:Fallback>
        <control shapeId="29699" r:id="rId6" name="cmdMenu"/>
      </mc:Fallback>
    </mc:AlternateContent>
    <mc:AlternateContent xmlns:mc="http://schemas.openxmlformats.org/markup-compatibility/2006">
      <mc:Choice Requires="x14">
        <control shapeId="29702" r:id="rId8" name="txtSearch">
          <controlPr defaultSize="0" autoLine="0" r:id="rId9">
            <anchor moveWithCells="1">
              <from>
                <xdr:col>0</xdr:col>
                <xdr:colOff>542925</xdr:colOff>
                <xdr:row>2</xdr:row>
                <xdr:rowOff>66675</xdr:rowOff>
              </from>
              <to>
                <xdr:col>4</xdr:col>
                <xdr:colOff>952500</xdr:colOff>
                <xdr:row>3</xdr:row>
                <xdr:rowOff>133350</xdr:rowOff>
              </to>
            </anchor>
          </controlPr>
        </control>
      </mc:Choice>
      <mc:Fallback>
        <control shapeId="29702" r:id="rId8" name="txtSearch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4"/>
  <dimension ref="B3:I35"/>
  <sheetViews>
    <sheetView showGridLines="0" workbookViewId="0">
      <selection sqref="A1:XFD104857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147</v>
      </c>
      <c r="C5" s="1"/>
    </row>
    <row r="6" spans="2:3" x14ac:dyDescent="0.25">
      <c r="B6" s="1"/>
      <c r="C6" s="2"/>
    </row>
    <row r="7" spans="2:3" x14ac:dyDescent="0.25">
      <c r="B7" s="5" t="s">
        <v>153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8"/>
      <c r="E20" s="18"/>
    </row>
    <row r="21" spans="2:8" x14ac:dyDescent="0.25">
      <c r="D21" s="18"/>
      <c r="E21" s="18"/>
    </row>
    <row r="22" spans="2:8" x14ac:dyDescent="0.25">
      <c r="B22" s="10"/>
      <c r="D22" s="18"/>
      <c r="E22" s="18"/>
    </row>
    <row r="23" spans="2:8" x14ac:dyDescent="0.25">
      <c r="D23" s="18"/>
      <c r="E23" s="18"/>
    </row>
    <row r="24" spans="2:8" x14ac:dyDescent="0.25">
      <c r="D24" s="18"/>
      <c r="E24" s="18"/>
    </row>
    <row r="25" spans="2:8" x14ac:dyDescent="0.25">
      <c r="C25" s="20"/>
      <c r="D25" s="18"/>
      <c r="E25" s="18"/>
    </row>
    <row r="26" spans="2:8" x14ac:dyDescent="0.25">
      <c r="D26" s="18"/>
      <c r="E26" s="18"/>
    </row>
    <row r="28" spans="2:8" x14ac:dyDescent="0.25">
      <c r="C28" s="21"/>
      <c r="G28" s="18"/>
    </row>
    <row r="29" spans="2:8" x14ac:dyDescent="0.25">
      <c r="C29" s="21"/>
      <c r="G29" s="18"/>
    </row>
    <row r="30" spans="2:8" x14ac:dyDescent="0.25">
      <c r="C30" s="21"/>
      <c r="D30" s="1"/>
      <c r="H30" s="18"/>
    </row>
    <row r="31" spans="2:8" x14ac:dyDescent="0.25">
      <c r="C31" s="21"/>
      <c r="D31" s="1"/>
      <c r="H31" s="18"/>
    </row>
    <row r="32" spans="2:8" x14ac:dyDescent="0.25">
      <c r="C32" s="21"/>
      <c r="G32" s="18"/>
    </row>
    <row r="33" spans="2:9" x14ac:dyDescent="0.25">
      <c r="C33" s="21"/>
      <c r="G33" s="18"/>
    </row>
    <row r="34" spans="2:9" x14ac:dyDescent="0.25">
      <c r="C34" s="21"/>
      <c r="G34" s="18"/>
    </row>
    <row r="35" spans="2:9" x14ac:dyDescent="0.25">
      <c r="B35" s="7"/>
      <c r="H35" s="18"/>
      <c r="I35" s="18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5" r:id="rId4" name="cbDPF">
          <controlPr defaultSize="0" autoFill="0" autoLine="0" autoPict="0" r:id="rId5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4" name="cbDPF"/>
      </mc:Fallback>
    </mc:AlternateContent>
    <mc:AlternateContent xmlns:mc="http://schemas.openxmlformats.org/markup-compatibility/2006">
      <mc:Choice Requires="x14">
        <control shapeId="25601" r:id="rId6" name="cmdGenerate">
          <controlPr defaultSize="0" autoFill="0" autoLine="0" r:id="rId7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523875</xdr:colOff>
                <xdr:row>3</xdr:row>
                <xdr:rowOff>57150</xdr:rowOff>
              </to>
            </anchor>
          </controlPr>
        </control>
      </mc:Choice>
      <mc:Fallback>
        <control shapeId="25601" r:id="rId6" name="cmdGenerate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3" r:id="rId10" name="cmdMenu">
          <controlPr autoLine="0" r:id="rId11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561975</xdr:colOff>
                <xdr:row>5</xdr:row>
                <xdr:rowOff>123825</xdr:rowOff>
              </to>
            </anchor>
          </controlPr>
        </control>
      </mc:Choice>
      <mc:Fallback>
        <control shapeId="25603" r:id="rId10" name="cmdMenu"/>
      </mc:Fallback>
    </mc:AlternateContent>
    <mc:AlternateContent xmlns:mc="http://schemas.openxmlformats.org/markup-compatibility/2006">
      <mc:Choice Requires="x14">
        <control shapeId="25604" r:id="rId12" name="cbTemplate">
          <controlPr defaultSize="0" autoFill="0" autoLine="0" autoPict="0" r:id="rId13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12" name="cbTemplate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8"/>
  <dimension ref="A2:N50"/>
  <sheetViews>
    <sheetView showGridLines="0" zoomScaleNormal="100" workbookViewId="0">
      <selection activeCell="F9" sqref="F9"/>
    </sheetView>
  </sheetViews>
  <sheetFormatPr defaultRowHeight="18" customHeight="1" x14ac:dyDescent="0.25"/>
  <cols>
    <col min="1" max="1" width="34.28515625" style="122" customWidth="1"/>
    <col min="2" max="2" width="20" customWidth="1"/>
    <col min="3" max="4" width="15.42578125" bestFit="1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122" t="s">
        <v>0</v>
      </c>
      <c r="B2" s="100" t="s">
        <v>274</v>
      </c>
    </row>
    <row r="3" spans="1:10" ht="18" customHeight="1" x14ac:dyDescent="0.25">
      <c r="A3" s="122" t="s">
        <v>178</v>
      </c>
      <c r="B3" s="116">
        <v>3087</v>
      </c>
      <c r="J3" s="18"/>
    </row>
    <row r="4" spans="1:10" ht="18" customHeight="1" x14ac:dyDescent="0.25">
      <c r="A4" s="122" t="s">
        <v>207</v>
      </c>
      <c r="B4" s="101" t="s">
        <v>273</v>
      </c>
      <c r="E4" s="39"/>
      <c r="F4" s="39"/>
      <c r="H4" s="10"/>
      <c r="I4" s="18"/>
      <c r="J4" s="18"/>
    </row>
    <row r="5" spans="1:10" ht="18" customHeight="1" x14ac:dyDescent="0.25">
      <c r="A5" s="122" t="s">
        <v>16</v>
      </c>
      <c r="B5" s="100">
        <v>12</v>
      </c>
      <c r="F5" s="42"/>
      <c r="H5" s="10"/>
      <c r="I5" s="18"/>
      <c r="J5" s="18"/>
    </row>
    <row r="6" spans="1:10" ht="18" customHeight="1" x14ac:dyDescent="0.25">
      <c r="A6" s="122" t="s">
        <v>18</v>
      </c>
      <c r="B6" s="100">
        <v>6</v>
      </c>
      <c r="F6" s="40"/>
      <c r="H6" s="10"/>
    </row>
    <row r="7" spans="1:10" ht="18" customHeight="1" x14ac:dyDescent="0.25">
      <c r="A7" s="122" t="s">
        <v>176</v>
      </c>
      <c r="B7" s="103">
        <f>(3.14*(SubDiameter/2)^2)*(SubLength)*(1/12)^3</f>
        <v>0.39249999999999996</v>
      </c>
      <c r="E7" s="1"/>
      <c r="F7" s="40"/>
      <c r="H7" s="10"/>
      <c r="I7" s="18"/>
      <c r="J7" s="18"/>
    </row>
    <row r="8" spans="1:10" ht="18" customHeight="1" x14ac:dyDescent="0.25">
      <c r="A8" s="122" t="s">
        <v>177</v>
      </c>
      <c r="B8" s="104">
        <f>Volume*28.317</f>
        <v>11.114422499999998</v>
      </c>
      <c r="F8" s="40"/>
      <c r="H8" s="10"/>
      <c r="I8" s="18"/>
      <c r="J8" s="18"/>
    </row>
    <row r="9" spans="1:10" ht="18" customHeight="1" x14ac:dyDescent="0.25">
      <c r="E9" s="40"/>
      <c r="F9" s="40"/>
      <c r="H9" s="10"/>
      <c r="I9" s="18"/>
      <c r="J9" s="18"/>
    </row>
    <row r="10" spans="1:10" ht="18" customHeight="1" x14ac:dyDescent="0.25">
      <c r="A10" s="122" t="s">
        <v>199</v>
      </c>
      <c r="B10" s="1" t="s">
        <v>48</v>
      </c>
      <c r="C10" s="1" t="s">
        <v>49</v>
      </c>
      <c r="D10" s="1" t="s">
        <v>49</v>
      </c>
      <c r="G10" s="124" t="s">
        <v>203</v>
      </c>
      <c r="J10" s="18"/>
    </row>
    <row r="11" spans="1:10" ht="18" customHeight="1" x14ac:dyDescent="0.25">
      <c r="B11" s="122" t="s">
        <v>210</v>
      </c>
      <c r="C11" s="122" t="s">
        <v>209</v>
      </c>
      <c r="D11" s="122" t="s">
        <v>208</v>
      </c>
      <c r="E11" s="122" t="s">
        <v>166</v>
      </c>
      <c r="F11" s="40"/>
      <c r="G11" s="126" t="s">
        <v>187</v>
      </c>
      <c r="H11" s="125"/>
      <c r="J11" s="18"/>
    </row>
    <row r="12" spans="1:10" ht="18" customHeight="1" x14ac:dyDescent="0.25">
      <c r="A12" s="122" t="s">
        <v>50</v>
      </c>
      <c r="B12" s="43">
        <v>43.98</v>
      </c>
      <c r="C12" s="43"/>
      <c r="D12" s="43">
        <v>43.34</v>
      </c>
      <c r="E12" s="104">
        <f>B12-D12</f>
        <v>0.63999999999999346</v>
      </c>
      <c r="F12" s="130" t="s">
        <v>188</v>
      </c>
      <c r="G12" s="40"/>
      <c r="H12" s="10" t="s">
        <v>59</v>
      </c>
      <c r="I12" s="43"/>
    </row>
    <row r="13" spans="1:10" ht="18" customHeight="1" x14ac:dyDescent="0.25">
      <c r="B13" s="40"/>
      <c r="C13" s="40"/>
      <c r="D13" s="118"/>
      <c r="E13" s="19"/>
      <c r="F13" s="117"/>
      <c r="G13" s="41"/>
      <c r="H13" s="10" t="s">
        <v>58</v>
      </c>
      <c r="I13" s="43"/>
    </row>
    <row r="14" spans="1:10" ht="18" customHeight="1" x14ac:dyDescent="0.25">
      <c r="A14" s="124" t="s">
        <v>200</v>
      </c>
      <c r="B14" s="40"/>
      <c r="C14" s="40"/>
      <c r="D14" s="118"/>
      <c r="E14" s="19"/>
      <c r="F14" s="119"/>
      <c r="G14" s="126" t="s">
        <v>189</v>
      </c>
    </row>
    <row r="15" spans="1:10" ht="18" customHeight="1" x14ac:dyDescent="0.25">
      <c r="A15" s="123" t="s">
        <v>190</v>
      </c>
      <c r="B15" s="40"/>
      <c r="C15" s="40"/>
      <c r="D15" s="118"/>
      <c r="E15" s="19"/>
      <c r="F15" s="119"/>
      <c r="G15" s="41"/>
      <c r="H15" s="10" t="s">
        <v>149</v>
      </c>
      <c r="I15" s="43"/>
    </row>
    <row r="16" spans="1:10" ht="18" customHeight="1" x14ac:dyDescent="0.25">
      <c r="A16" s="122" t="s">
        <v>191</v>
      </c>
      <c r="B16" s="120" t="s">
        <v>137</v>
      </c>
      <c r="C16" s="40"/>
      <c r="D16" s="118"/>
      <c r="E16" s="19"/>
      <c r="F16" s="119"/>
      <c r="G16" s="41"/>
      <c r="H16" s="10" t="s">
        <v>150</v>
      </c>
      <c r="I16" s="43"/>
    </row>
    <row r="17" spans="1:14" ht="18" customHeight="1" x14ac:dyDescent="0.25">
      <c r="B17" s="120" t="s">
        <v>57</v>
      </c>
      <c r="C17" s="40"/>
      <c r="D17" s="118"/>
      <c r="E17" s="19"/>
      <c r="F17" s="119"/>
      <c r="G17" s="41"/>
      <c r="H17" s="10" t="s">
        <v>151</v>
      </c>
      <c r="I17" s="43"/>
    </row>
    <row r="18" spans="1:14" ht="18" customHeight="1" x14ac:dyDescent="0.25">
      <c r="B18" s="120" t="s">
        <v>138</v>
      </c>
      <c r="C18" s="40"/>
      <c r="E18" s="121"/>
      <c r="F18" s="119"/>
      <c r="G18" s="41"/>
      <c r="H18" s="10" t="s">
        <v>22</v>
      </c>
      <c r="I18" s="43"/>
    </row>
    <row r="19" spans="1:14" ht="18" customHeight="1" x14ac:dyDescent="0.25">
      <c r="C19" s="40"/>
      <c r="D19" s="118"/>
      <c r="E19" s="19"/>
      <c r="F19" s="119"/>
      <c r="G19" s="41"/>
    </row>
    <row r="20" spans="1:14" ht="18" customHeight="1" x14ac:dyDescent="0.25">
      <c r="A20" s="122" t="s">
        <v>192</v>
      </c>
      <c r="B20" s="120" t="s">
        <v>60</v>
      </c>
      <c r="C20" s="40"/>
      <c r="D20" s="118"/>
      <c r="E20" s="121"/>
      <c r="F20" s="119"/>
      <c r="G20" s="124" t="s">
        <v>204</v>
      </c>
    </row>
    <row r="21" spans="1:14" ht="18" customHeight="1" x14ac:dyDescent="0.25">
      <c r="A21" s="122" t="s">
        <v>7</v>
      </c>
      <c r="B21" s="40"/>
      <c r="C21" s="40"/>
      <c r="D21" s="118"/>
      <c r="E21" s="19"/>
      <c r="F21" s="119"/>
      <c r="G21" s="127" t="s">
        <v>193</v>
      </c>
    </row>
    <row r="22" spans="1:14" ht="18" customHeight="1" x14ac:dyDescent="0.25">
      <c r="A22" s="123" t="s">
        <v>194</v>
      </c>
      <c r="B22" s="40"/>
      <c r="C22" s="40"/>
      <c r="D22" s="118"/>
      <c r="E22" s="19"/>
      <c r="F22" s="119"/>
      <c r="H22" s="39" t="s">
        <v>152</v>
      </c>
    </row>
    <row r="23" spans="1:14" ht="18" customHeight="1" x14ac:dyDescent="0.25">
      <c r="B23" s="38" t="s">
        <v>51</v>
      </c>
      <c r="C23" s="43"/>
      <c r="D23" s="117"/>
      <c r="E23" s="19"/>
      <c r="F23" s="119"/>
      <c r="G23" s="18"/>
    </row>
    <row r="24" spans="1:14" ht="18" customHeight="1" x14ac:dyDescent="0.25">
      <c r="B24" s="40"/>
      <c r="C24" s="40"/>
      <c r="D24" s="118"/>
      <c r="E24" s="19"/>
      <c r="F24" s="119"/>
      <c r="G24" s="127" t="s">
        <v>195</v>
      </c>
      <c r="I24" s="138" t="s">
        <v>275</v>
      </c>
      <c r="J24" s="139"/>
      <c r="K24" s="139"/>
      <c r="L24" s="139"/>
      <c r="M24" s="139"/>
      <c r="N24" s="140"/>
    </row>
    <row r="25" spans="1:14" ht="18" customHeight="1" x14ac:dyDescent="0.25">
      <c r="A25" s="123" t="s">
        <v>196</v>
      </c>
      <c r="B25" s="118"/>
      <c r="C25" s="118"/>
      <c r="D25" s="118"/>
      <c r="E25" s="19"/>
      <c r="F25" s="119"/>
      <c r="H25" s="10"/>
      <c r="I25" s="141"/>
      <c r="J25" s="142"/>
      <c r="K25" s="142"/>
      <c r="L25" s="142"/>
      <c r="M25" s="142"/>
      <c r="N25" s="143"/>
    </row>
    <row r="26" spans="1:14" ht="18" customHeight="1" x14ac:dyDescent="0.25">
      <c r="A26" s="123"/>
      <c r="B26" s="131" t="s">
        <v>211</v>
      </c>
      <c r="C26" s="43">
        <v>0</v>
      </c>
      <c r="D26" s="132" t="s">
        <v>197</v>
      </c>
      <c r="E26" s="19"/>
      <c r="F26" s="119"/>
      <c r="I26" s="141"/>
      <c r="J26" s="142"/>
      <c r="K26" s="142"/>
      <c r="L26" s="142"/>
      <c r="M26" s="142"/>
      <c r="N26" s="143"/>
    </row>
    <row r="27" spans="1:14" ht="18" customHeight="1" x14ac:dyDescent="0.25">
      <c r="C27" s="19" t="s">
        <v>52</v>
      </c>
      <c r="D27" s="19" t="s">
        <v>53</v>
      </c>
      <c r="E27" s="19"/>
      <c r="F27" s="119"/>
      <c r="I27" s="141"/>
      <c r="J27" s="142"/>
      <c r="K27" s="142"/>
      <c r="L27" s="142"/>
      <c r="M27" s="142"/>
      <c r="N27" s="143"/>
    </row>
    <row r="28" spans="1:14" ht="18" customHeight="1" x14ac:dyDescent="0.25">
      <c r="A28" s="122" t="s">
        <v>205</v>
      </c>
      <c r="B28" s="120" t="s">
        <v>206</v>
      </c>
      <c r="C28" s="43"/>
      <c r="D28" s="43"/>
      <c r="E28" s="128"/>
      <c r="F28" s="119"/>
      <c r="I28" s="141"/>
      <c r="J28" s="142"/>
      <c r="K28" s="142"/>
      <c r="L28" s="142"/>
      <c r="M28" s="142"/>
      <c r="N28" s="143"/>
    </row>
    <row r="29" spans="1:14" ht="18" customHeight="1" x14ac:dyDescent="0.25">
      <c r="B29" s="120" t="s">
        <v>54</v>
      </c>
      <c r="C29" s="43"/>
      <c r="D29" s="43"/>
      <c r="E29" s="129"/>
      <c r="F29" s="41"/>
      <c r="I29" s="144"/>
      <c r="J29" s="145"/>
      <c r="K29" s="145"/>
      <c r="L29" s="145"/>
      <c r="M29" s="145"/>
      <c r="N29" s="146"/>
    </row>
    <row r="30" spans="1:14" ht="18" customHeight="1" x14ac:dyDescent="0.25">
      <c r="B30" s="120" t="s">
        <v>55</v>
      </c>
      <c r="C30" s="43"/>
      <c r="D30" s="43"/>
      <c r="E30" s="129"/>
      <c r="F30" s="19"/>
    </row>
    <row r="31" spans="1:14" ht="18" customHeight="1" x14ac:dyDescent="0.25">
      <c r="B31" s="120" t="s">
        <v>56</v>
      </c>
      <c r="C31" s="43"/>
      <c r="D31" s="43"/>
      <c r="E31" s="129"/>
      <c r="F31" s="19"/>
    </row>
    <row r="32" spans="1:14" ht="18" customHeight="1" x14ac:dyDescent="0.25">
      <c r="B32" s="37" t="s">
        <v>213</v>
      </c>
      <c r="C32" s="43"/>
      <c r="D32" s="43"/>
      <c r="E32" s="129"/>
      <c r="F32" s="19"/>
    </row>
    <row r="33" spans="1:10" ht="18" customHeight="1" x14ac:dyDescent="0.25">
      <c r="B33" s="37"/>
      <c r="C33" s="37"/>
      <c r="D33" s="37"/>
      <c r="E33" s="37"/>
      <c r="F33" s="19"/>
    </row>
    <row r="34" spans="1:10" ht="18" customHeight="1" x14ac:dyDescent="0.25">
      <c r="B34" s="38" t="s">
        <v>239</v>
      </c>
      <c r="C34" s="43"/>
      <c r="D34" s="37"/>
      <c r="E34" s="37"/>
      <c r="F34" s="19"/>
    </row>
    <row r="35" spans="1:10" ht="18" customHeight="1" x14ac:dyDescent="0.25">
      <c r="B35" s="37"/>
      <c r="C35" s="37"/>
      <c r="D35" s="37"/>
      <c r="E35" s="37"/>
      <c r="F35" s="19"/>
      <c r="H35" s="18"/>
    </row>
    <row r="36" spans="1:10" ht="18" customHeight="1" x14ac:dyDescent="0.25">
      <c r="A36" s="123" t="s">
        <v>198</v>
      </c>
      <c r="H36" s="18"/>
    </row>
    <row r="37" spans="1:10" ht="18" customHeight="1" x14ac:dyDescent="0.25">
      <c r="A37" s="122" t="s">
        <v>201</v>
      </c>
      <c r="H37" s="18"/>
      <c r="I37" s="18"/>
    </row>
    <row r="38" spans="1:10" ht="18" customHeight="1" x14ac:dyDescent="0.25">
      <c r="A38" s="122" t="s">
        <v>202</v>
      </c>
      <c r="E38" s="18"/>
      <c r="H38" s="18"/>
      <c r="I38" s="18"/>
    </row>
    <row r="39" spans="1:10" ht="18" customHeight="1" x14ac:dyDescent="0.25">
      <c r="E39" s="18"/>
    </row>
    <row r="40" spans="1:10" ht="18" customHeight="1" x14ac:dyDescent="0.25">
      <c r="F40" s="18"/>
    </row>
    <row r="41" spans="1:10" ht="18" customHeight="1" x14ac:dyDescent="0.25">
      <c r="F41" s="18"/>
    </row>
    <row r="42" spans="1:10" ht="18" customHeight="1" x14ac:dyDescent="0.25">
      <c r="B42" s="20" t="s">
        <v>7</v>
      </c>
      <c r="C42" s="18"/>
      <c r="D42" s="18"/>
      <c r="I42" s="18"/>
    </row>
    <row r="43" spans="1:10" ht="18" customHeight="1" x14ac:dyDescent="0.25">
      <c r="B43" t="s">
        <v>7</v>
      </c>
      <c r="C43" s="18"/>
      <c r="D43" s="18"/>
    </row>
    <row r="44" spans="1:10" ht="18" customHeight="1" x14ac:dyDescent="0.25">
      <c r="J44" s="18"/>
    </row>
    <row r="45" spans="1:10" ht="18" customHeight="1" x14ac:dyDescent="0.25">
      <c r="B45" s="4"/>
    </row>
    <row r="47" spans="1:10" ht="18" customHeight="1" x14ac:dyDescent="0.25">
      <c r="B47" s="4"/>
      <c r="C47" s="1"/>
    </row>
    <row r="48" spans="1:10" ht="18" customHeight="1" x14ac:dyDescent="0.25">
      <c r="B48" s="4"/>
      <c r="C48" s="1"/>
    </row>
    <row r="50" spans="2:2" ht="18" customHeight="1" x14ac:dyDescent="0.25">
      <c r="B50" s="4"/>
    </row>
  </sheetData>
  <dataConsolidate link="1"/>
  <mergeCells count="1">
    <mergeCell ref="I24:N2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817" r:id="rId4" name="chkCoolant">
          <controlPr autoLine="0" r:id="rId5">
            <anchor moveWithCells="1">
              <from>
                <xdr:col>8</xdr:col>
                <xdr:colOff>104775</xdr:colOff>
                <xdr:row>11</xdr:row>
                <xdr:rowOff>28575</xdr:rowOff>
              </from>
              <to>
                <xdr:col>8</xdr:col>
                <xdr:colOff>228600</xdr:colOff>
                <xdr:row>11</xdr:row>
                <xdr:rowOff>152400</xdr:rowOff>
              </to>
            </anchor>
          </controlPr>
        </control>
      </mc:Choice>
      <mc:Fallback>
        <control shapeId="34817" r:id="rId4" name="chkCoolant"/>
      </mc:Fallback>
    </mc:AlternateContent>
    <mc:AlternateContent xmlns:mc="http://schemas.openxmlformats.org/markup-compatibility/2006">
      <mc:Choice Requires="x14">
        <control shapeId="34818" r:id="rId6" name="chkUSignalReceived">
          <controlPr autoLine="0" r:id="rId7">
            <anchor moveWithCells="1">
              <from>
                <xdr:col>2</xdr:col>
                <xdr:colOff>152400</xdr:colOff>
                <xdr:row>22</xdr:row>
                <xdr:rowOff>28575</xdr:rowOff>
              </from>
              <to>
                <xdr:col>2</xdr:col>
                <xdr:colOff>323850</xdr:colOff>
                <xdr:row>22</xdr:row>
                <xdr:rowOff>190500</xdr:rowOff>
              </to>
            </anchor>
          </controlPr>
        </control>
      </mc:Choice>
      <mc:Fallback>
        <control shapeId="34818" r:id="rId6" name="chkUSignalReceived"/>
      </mc:Fallback>
    </mc:AlternateContent>
    <mc:AlternateContent xmlns:mc="http://schemas.openxmlformats.org/markup-compatibility/2006">
      <mc:Choice Requires="x14">
        <control shapeId="34820" r:id="rId8" name="cmdSave">
          <controlPr defaultSize="0" autoFill="0" autoLine="0" autoPict="0" r:id="rId9">
            <anchor moveWithCells="1">
              <from>
                <xdr:col>5</xdr:col>
                <xdr:colOff>9525</xdr:colOff>
                <xdr:row>2</xdr:row>
                <xdr:rowOff>57150</xdr:rowOff>
              </from>
              <to>
                <xdr:col>5</xdr:col>
                <xdr:colOff>1038225</xdr:colOff>
                <xdr:row>3</xdr:row>
                <xdr:rowOff>200025</xdr:rowOff>
              </to>
            </anchor>
          </controlPr>
        </control>
      </mc:Choice>
      <mc:Fallback>
        <control shapeId="34820" r:id="rId8" name="cmdSave"/>
      </mc:Fallback>
    </mc:AlternateContent>
    <mc:AlternateContent xmlns:mc="http://schemas.openxmlformats.org/markup-compatibility/2006">
      <mc:Choice Requires="x14">
        <control shapeId="34821" r:id="rId10" name="chkRedAsh">
          <controlPr autoLine="0" r:id="rId5">
            <anchor moveWithCells="1">
              <from>
                <xdr:col>8</xdr:col>
                <xdr:colOff>104775</xdr:colOff>
                <xdr:row>12</xdr:row>
                <xdr:rowOff>38100</xdr:rowOff>
              </from>
              <to>
                <xdr:col>8</xdr:col>
                <xdr:colOff>228600</xdr:colOff>
                <xdr:row>12</xdr:row>
                <xdr:rowOff>161925</xdr:rowOff>
              </to>
            </anchor>
          </controlPr>
        </control>
      </mc:Choice>
      <mc:Fallback>
        <control shapeId="34821" r:id="rId10" name="chkRedAsh"/>
      </mc:Fallback>
    </mc:AlternateContent>
    <mc:AlternateContent xmlns:mc="http://schemas.openxmlformats.org/markup-compatibility/2006">
      <mc:Choice Requires="x14">
        <control shapeId="34822" r:id="rId11" name="cbSoot">
          <controlPr defaultSize="0" autoFill="0" autoLine="0" r:id="rId12">
            <anchor moveWithCells="1">
              <from>
                <xdr:col>2</xdr:col>
                <xdr:colOff>9525</xdr:colOff>
                <xdr:row>15</xdr:row>
                <xdr:rowOff>9525</xdr:rowOff>
              </from>
              <to>
                <xdr:col>3</xdr:col>
                <xdr:colOff>123825</xdr:colOff>
                <xdr:row>16</xdr:row>
                <xdr:rowOff>0</xdr:rowOff>
              </to>
            </anchor>
          </controlPr>
        </control>
      </mc:Choice>
      <mc:Fallback>
        <control shapeId="34822" r:id="rId11" name="cbSoot"/>
      </mc:Fallback>
    </mc:AlternateContent>
    <mc:AlternateContent xmlns:mc="http://schemas.openxmlformats.org/markup-compatibility/2006">
      <mc:Choice Requires="x14">
        <control shapeId="34823" r:id="rId13" name="cbAsh">
          <controlPr defaultSize="0" autoFill="0" autoLine="0" r:id="rId14">
            <anchor moveWithCells="1">
              <from>
                <xdr:col>2</xdr:col>
                <xdr:colOff>9525</xdr:colOff>
                <xdr:row>16</xdr:row>
                <xdr:rowOff>9525</xdr:rowOff>
              </from>
              <to>
                <xdr:col>3</xdr:col>
                <xdr:colOff>123825</xdr:colOff>
                <xdr:row>17</xdr:row>
                <xdr:rowOff>0</xdr:rowOff>
              </to>
            </anchor>
          </controlPr>
        </control>
      </mc:Choice>
      <mc:Fallback>
        <control shapeId="34823" r:id="rId13" name="cbAsh"/>
      </mc:Fallback>
    </mc:AlternateContent>
    <mc:AlternateContent xmlns:mc="http://schemas.openxmlformats.org/markup-compatibility/2006">
      <mc:Choice Requires="x14">
        <control shapeId="34824" r:id="rId15" name="cbAshColor">
          <controlPr defaultSize="0" autoFill="0" autoLine="0" r:id="rId16">
            <anchor moveWithCells="1">
              <from>
                <xdr:col>2</xdr:col>
                <xdr:colOff>9525</xdr:colOff>
                <xdr:row>17</xdr:row>
                <xdr:rowOff>9525</xdr:rowOff>
              </from>
              <to>
                <xdr:col>3</xdr:col>
                <xdr:colOff>123825</xdr:colOff>
                <xdr:row>18</xdr:row>
                <xdr:rowOff>0</xdr:rowOff>
              </to>
            </anchor>
          </controlPr>
        </control>
      </mc:Choice>
      <mc:Fallback>
        <control shapeId="34824" r:id="rId15" name="cbAshColor"/>
      </mc:Fallback>
    </mc:AlternateContent>
    <mc:AlternateContent xmlns:mc="http://schemas.openxmlformats.org/markup-compatibility/2006">
      <mc:Choice Requires="x14">
        <control shapeId="34825" r:id="rId17" name="cbOutletColor">
          <controlPr defaultSize="0" autoFill="0" autoLine="0" r:id="rId18">
            <anchor moveWithCells="1">
              <from>
                <xdr:col>2</xdr:col>
                <xdr:colOff>9525</xdr:colOff>
                <xdr:row>19</xdr:row>
                <xdr:rowOff>9525</xdr:rowOff>
              </from>
              <to>
                <xdr:col>3</xdr:col>
                <xdr:colOff>123825</xdr:colOff>
                <xdr:row>20</xdr:row>
                <xdr:rowOff>0</xdr:rowOff>
              </to>
            </anchor>
          </controlPr>
        </control>
      </mc:Choice>
      <mc:Fallback>
        <control shapeId="34825" r:id="rId17" name="cbOutletColor"/>
      </mc:Fallback>
    </mc:AlternateContent>
    <mc:AlternateContent xmlns:mc="http://schemas.openxmlformats.org/markup-compatibility/2006">
      <mc:Choice Requires="x14">
        <control shapeId="34826" r:id="rId19" name="cbBreachChannels">
          <controlPr defaultSize="0" autoFill="0" autoLine="0" r:id="rId20">
            <anchor moveWithCells="1">
              <from>
                <xdr:col>1</xdr:col>
                <xdr:colOff>19050</xdr:colOff>
                <xdr:row>36</xdr:row>
                <xdr:rowOff>28575</xdr:rowOff>
              </from>
              <to>
                <xdr:col>1</xdr:col>
                <xdr:colOff>1162050</xdr:colOff>
                <xdr:row>37</xdr:row>
                <xdr:rowOff>19050</xdr:rowOff>
              </to>
            </anchor>
          </controlPr>
        </control>
      </mc:Choice>
      <mc:Fallback>
        <control shapeId="34826" r:id="rId19" name="cbBreachChannels"/>
      </mc:Fallback>
    </mc:AlternateContent>
    <mc:AlternateContent xmlns:mc="http://schemas.openxmlformats.org/markup-compatibility/2006">
      <mc:Choice Requires="x14">
        <control shapeId="34827" r:id="rId21" name="cbCracking">
          <controlPr defaultSize="0" autoFill="0" autoLine="0" r:id="rId22">
            <anchor moveWithCells="1">
              <from>
                <xdr:col>1</xdr:col>
                <xdr:colOff>19050</xdr:colOff>
                <xdr:row>37</xdr:row>
                <xdr:rowOff>47625</xdr:rowOff>
              </from>
              <to>
                <xdr:col>1</xdr:col>
                <xdr:colOff>1162050</xdr:colOff>
                <xdr:row>38</xdr:row>
                <xdr:rowOff>38100</xdr:rowOff>
              </to>
            </anchor>
          </controlPr>
        </control>
      </mc:Choice>
      <mc:Fallback>
        <control shapeId="34827" r:id="rId21" name="cbCracking"/>
      </mc:Fallback>
    </mc:AlternateContent>
    <mc:AlternateContent xmlns:mc="http://schemas.openxmlformats.org/markup-compatibility/2006">
      <mc:Choice Requires="x14">
        <control shapeId="34828" r:id="rId23" name="chkFuelOil">
          <controlPr autoLine="0" r:id="rId5">
            <anchor moveWithCells="1">
              <from>
                <xdr:col>8</xdr:col>
                <xdr:colOff>104775</xdr:colOff>
                <xdr:row>14</xdr:row>
                <xdr:rowOff>28575</xdr:rowOff>
              </from>
              <to>
                <xdr:col>8</xdr:col>
                <xdr:colOff>228600</xdr:colOff>
                <xdr:row>14</xdr:row>
                <xdr:rowOff>152400</xdr:rowOff>
              </to>
            </anchor>
          </controlPr>
        </control>
      </mc:Choice>
      <mc:Fallback>
        <control shapeId="34828" r:id="rId23" name="chkFuelOil"/>
      </mc:Fallback>
    </mc:AlternateContent>
    <mc:AlternateContent xmlns:mc="http://schemas.openxmlformats.org/markup-compatibility/2006">
      <mc:Choice Requires="x14">
        <control shapeId="34829" r:id="rId24" name="chkEngineEGRCoolant">
          <controlPr autoLine="0" r:id="rId5">
            <anchor moveWithCells="1">
              <from>
                <xdr:col>8</xdr:col>
                <xdr:colOff>104775</xdr:colOff>
                <xdr:row>15</xdr:row>
                <xdr:rowOff>38100</xdr:rowOff>
              </from>
              <to>
                <xdr:col>8</xdr:col>
                <xdr:colOff>228600</xdr:colOff>
                <xdr:row>15</xdr:row>
                <xdr:rowOff>161925</xdr:rowOff>
              </to>
            </anchor>
          </controlPr>
        </control>
      </mc:Choice>
      <mc:Fallback>
        <control shapeId="34829" r:id="rId24" name="chkEngineEGRCoolant"/>
      </mc:Fallback>
    </mc:AlternateContent>
    <mc:AlternateContent xmlns:mc="http://schemas.openxmlformats.org/markup-compatibility/2006">
      <mc:Choice Requires="x14">
        <control shapeId="34830" r:id="rId25" name="chkWearCorrosion">
          <controlPr autoLine="0" r:id="rId5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228600</xdr:colOff>
                <xdr:row>16</xdr:row>
                <xdr:rowOff>152400</xdr:rowOff>
              </to>
            </anchor>
          </controlPr>
        </control>
      </mc:Choice>
      <mc:Fallback>
        <control shapeId="34830" r:id="rId25" name="chkWearCorrosion"/>
      </mc:Fallback>
    </mc:AlternateContent>
    <mc:AlternateContent xmlns:mc="http://schemas.openxmlformats.org/markup-compatibility/2006">
      <mc:Choice Requires="x14">
        <control shapeId="34831" r:id="rId26" name="txtContaminantsOther">
          <controlPr autoLine="0" r:id="rId27">
            <anchor moveWithCells="1">
              <from>
                <xdr:col>8</xdr:col>
                <xdr:colOff>0</xdr:colOff>
                <xdr:row>17</xdr:row>
                <xdr:rowOff>0</xdr:rowOff>
              </from>
              <to>
                <xdr:col>10</xdr:col>
                <xdr:colOff>409575</xdr:colOff>
                <xdr:row>17</xdr:row>
                <xdr:rowOff>219075</xdr:rowOff>
              </to>
            </anchor>
          </controlPr>
        </control>
      </mc:Choice>
      <mc:Fallback>
        <control shapeId="34831" r:id="rId26" name="txtContaminantsOther"/>
      </mc:Fallback>
    </mc:AlternateContent>
    <mc:AlternateContent xmlns:mc="http://schemas.openxmlformats.org/markup-compatibility/2006">
      <mc:Choice Requires="x14">
        <control shapeId="34832" r:id="rId28" name="cbSubstrateOveralCondition">
          <controlPr defaultSize="0" autoFill="0" autoLine="0" r:id="rId29">
            <anchor moveWithCells="1">
              <from>
                <xdr:col>8</xdr:col>
                <xdr:colOff>9525</xdr:colOff>
                <xdr:row>21</xdr:row>
                <xdr:rowOff>0</xdr:rowOff>
              </from>
              <to>
                <xdr:col>9</xdr:col>
                <xdr:colOff>28575</xdr:colOff>
                <xdr:row>22</xdr:row>
                <xdr:rowOff>0</xdr:rowOff>
              </to>
            </anchor>
          </controlPr>
        </control>
      </mc:Choice>
      <mc:Fallback>
        <control shapeId="34832" r:id="rId28" name="cbSubstrateOveralCondition"/>
      </mc:Fallback>
    </mc:AlternateContent>
    <mc:AlternateContent xmlns:mc="http://schemas.openxmlformats.org/markup-compatibility/2006">
      <mc:Choice Requires="x14">
        <control shapeId="34833" r:id="rId30" name="cmdBack">
          <controlPr autoLine="0" autoPict="0" r:id="rId31">
            <anchor moveWithCells="1">
              <from>
                <xdr:col>5</xdr:col>
                <xdr:colOff>9525</xdr:colOff>
                <xdr:row>5</xdr:row>
                <xdr:rowOff>95250</xdr:rowOff>
              </from>
              <to>
                <xdr:col>5</xdr:col>
                <xdr:colOff>1047750</xdr:colOff>
                <xdr:row>6</xdr:row>
                <xdr:rowOff>171450</xdr:rowOff>
              </to>
            </anchor>
          </controlPr>
        </control>
      </mc:Choice>
      <mc:Fallback>
        <control shapeId="34833" r:id="rId30" name="cmdBack"/>
      </mc:Fallback>
    </mc:AlternateContent>
    <mc:AlternateContent xmlns:mc="http://schemas.openxmlformats.org/markup-compatibility/2006">
      <mc:Choice Requires="x14">
        <control shapeId="34834" r:id="rId32" name="chkPinTest">
          <controlPr autoLine="0" r:id="rId33">
            <anchor moveWithCells="1">
              <from>
                <xdr:col>2</xdr:col>
                <xdr:colOff>152400</xdr:colOff>
                <xdr:row>33</xdr:row>
                <xdr:rowOff>28575</xdr:rowOff>
              </from>
              <to>
                <xdr:col>2</xdr:col>
                <xdr:colOff>323850</xdr:colOff>
                <xdr:row>33</xdr:row>
                <xdr:rowOff>190500</xdr:rowOff>
              </to>
            </anchor>
          </controlPr>
        </control>
      </mc:Choice>
      <mc:Fallback>
        <control shapeId="34834" r:id="rId32" name="chkPinTes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3"/>
  <dimension ref="B3:I65"/>
  <sheetViews>
    <sheetView workbookViewId="0">
      <selection activeCell="K5" sqref="K5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85" t="s">
        <v>167</v>
      </c>
      <c r="C3" s="72">
        <v>3087</v>
      </c>
    </row>
    <row r="4" spans="2:9" ht="18.75" x14ac:dyDescent="0.3">
      <c r="I4" s="44"/>
    </row>
    <row r="5" spans="2:9" x14ac:dyDescent="0.25">
      <c r="B5" s="98" t="s">
        <v>16</v>
      </c>
      <c r="C5" s="99">
        <v>12</v>
      </c>
      <c r="D5" s="58"/>
      <c r="E5" s="58" t="s">
        <v>169</v>
      </c>
      <c r="F5" s="86">
        <v>110000</v>
      </c>
      <c r="G5" s="135" t="s">
        <v>81</v>
      </c>
      <c r="H5" s="61"/>
    </row>
    <row r="6" spans="2:9" x14ac:dyDescent="0.25">
      <c r="B6" s="87" t="s">
        <v>18</v>
      </c>
      <c r="C6" s="88">
        <v>6</v>
      </c>
      <c r="D6" s="61"/>
      <c r="E6" s="61" t="s">
        <v>168</v>
      </c>
      <c r="F6" s="89">
        <v>60</v>
      </c>
      <c r="G6" s="64" t="s">
        <v>82</v>
      </c>
      <c r="H6" s="61"/>
    </row>
    <row r="7" spans="2:9" x14ac:dyDescent="0.25">
      <c r="B7" s="90" t="s">
        <v>144</v>
      </c>
      <c r="C7" s="88">
        <f>(3.14*(SubDiameter/2)^2)*(SubLength)*(1/12)^3</f>
        <v>0.39249999999999996</v>
      </c>
      <c r="D7" s="91"/>
      <c r="E7" s="61" t="s">
        <v>170</v>
      </c>
      <c r="F7" s="89">
        <f>(Volume*MaxSpaceVelocity)*(1/60)*(61.7)/(2350*0.395)</f>
        <v>47.830101445372115</v>
      </c>
      <c r="G7" s="64" t="s">
        <v>82</v>
      </c>
      <c r="H7" s="61"/>
    </row>
    <row r="8" spans="2:9" x14ac:dyDescent="0.25">
      <c r="B8" s="92" t="s">
        <v>145</v>
      </c>
      <c r="C8" s="93">
        <f>Volume*28.317</f>
        <v>11.114422499999998</v>
      </c>
      <c r="D8" s="94"/>
      <c r="E8" s="95" t="s">
        <v>171</v>
      </c>
      <c r="F8" s="97">
        <f>IF(F7&gt;MaxHertz,"60",F7)</f>
        <v>47.830101445372115</v>
      </c>
      <c r="G8" s="96" t="s">
        <v>82</v>
      </c>
      <c r="H8" s="61"/>
    </row>
    <row r="9" spans="2:9" x14ac:dyDescent="0.25">
      <c r="H9" s="61"/>
    </row>
    <row r="11" spans="2:9" x14ac:dyDescent="0.25">
      <c r="B11" s="81" t="s">
        <v>61</v>
      </c>
      <c r="C11" s="58"/>
      <c r="D11" s="82"/>
      <c r="E11" s="58" t="s">
        <v>62</v>
      </c>
      <c r="F11" s="58"/>
      <c r="G11" s="59" t="s">
        <v>77</v>
      </c>
      <c r="H11" s="59" t="s">
        <v>78</v>
      </c>
      <c r="I11" s="83"/>
    </row>
    <row r="12" spans="2:9" x14ac:dyDescent="0.25">
      <c r="B12" s="60" t="s">
        <v>63</v>
      </c>
      <c r="C12" s="61"/>
      <c r="D12" s="62"/>
      <c r="E12" s="61" t="s">
        <v>64</v>
      </c>
      <c r="F12" s="61"/>
      <c r="G12" s="61"/>
      <c r="H12" s="63" t="s">
        <v>79</v>
      </c>
      <c r="I12" s="83"/>
    </row>
    <row r="13" spans="2:9" x14ac:dyDescent="0.25">
      <c r="B13" s="60" t="s">
        <v>65</v>
      </c>
      <c r="C13" s="61"/>
      <c r="D13" s="62"/>
      <c r="E13" s="61"/>
      <c r="F13" s="61"/>
      <c r="G13" s="61"/>
      <c r="H13" s="63" t="s">
        <v>80</v>
      </c>
      <c r="I13" s="83"/>
    </row>
    <row r="14" spans="2:9" x14ac:dyDescent="0.25">
      <c r="B14" s="66" t="s">
        <v>66</v>
      </c>
      <c r="C14" s="67" t="s">
        <v>67</v>
      </c>
      <c r="D14" s="67" t="s">
        <v>68</v>
      </c>
      <c r="E14" s="67" t="s">
        <v>69</v>
      </c>
      <c r="F14" s="61"/>
      <c r="G14" s="67" t="s">
        <v>70</v>
      </c>
      <c r="H14" s="67"/>
      <c r="I14" s="68"/>
    </row>
    <row r="15" spans="2:9" x14ac:dyDescent="0.25">
      <c r="B15" s="69" t="s">
        <v>71</v>
      </c>
      <c r="C15" s="70" t="s">
        <v>72</v>
      </c>
      <c r="D15" s="70" t="s">
        <v>73</v>
      </c>
      <c r="E15" s="70" t="s">
        <v>72</v>
      </c>
      <c r="F15" s="70" t="s">
        <v>74</v>
      </c>
      <c r="G15" s="67" t="s">
        <v>75</v>
      </c>
      <c r="H15" s="67" t="s">
        <v>72</v>
      </c>
      <c r="I15" s="68" t="s">
        <v>76</v>
      </c>
    </row>
    <row r="16" spans="2:9" x14ac:dyDescent="0.25">
      <c r="B16" s="71">
        <f>0.25*$F$8</f>
        <v>11.957525361343029</v>
      </c>
      <c r="C16" s="72">
        <f>(2350/61.7)*B16*0.395</f>
        <v>179.89583333333331</v>
      </c>
      <c r="D16" s="65"/>
      <c r="E16" s="72">
        <f t="shared" ref="E16:E26" si="0">C16-(34.4764881*D16-4.325744048*D16^2+0.369475446*D16^3-0.01733631*D16^4+0.000339472*D16^5)</f>
        <v>179.89583333333331</v>
      </c>
      <c r="F16" s="72">
        <f t="shared" ref="F16:F26" si="1">(E16*60)/Volume</f>
        <v>27499.999999999996</v>
      </c>
      <c r="G16" s="112">
        <v>20000</v>
      </c>
      <c r="H16" s="73">
        <f t="shared" ref="H16:H26" si="2">G16*Volume/60</f>
        <v>130.83333333333331</v>
      </c>
      <c r="I16" s="74">
        <f t="shared" ref="I16:I26" si="3">G16^2*P0a+G16*P0b+P0c</f>
        <v>0</v>
      </c>
    </row>
    <row r="17" spans="2:9" x14ac:dyDescent="0.25">
      <c r="B17" s="71">
        <f>0.4*$F$8</f>
        <v>19.132040578148846</v>
      </c>
      <c r="C17" s="72">
        <f t="shared" ref="C17:C26" si="4">(2350/61.7)*B17*0.395</f>
        <v>287.83333333333331</v>
      </c>
      <c r="D17" s="65"/>
      <c r="E17" s="72">
        <f t="shared" si="0"/>
        <v>287.83333333333331</v>
      </c>
      <c r="F17" s="72">
        <f t="shared" si="1"/>
        <v>44000.000000000007</v>
      </c>
      <c r="G17" s="112">
        <v>35000</v>
      </c>
      <c r="H17" s="73">
        <f t="shared" si="2"/>
        <v>228.95833333333331</v>
      </c>
      <c r="I17" s="74">
        <f t="shared" si="3"/>
        <v>0</v>
      </c>
    </row>
    <row r="18" spans="2:9" x14ac:dyDescent="0.25">
      <c r="B18" s="71">
        <f>0.5*$F$8</f>
        <v>23.915050722686058</v>
      </c>
      <c r="C18" s="72">
        <f t="shared" si="4"/>
        <v>359.79166666666663</v>
      </c>
      <c r="D18" s="65"/>
      <c r="E18" s="72">
        <f t="shared" si="0"/>
        <v>359.79166666666663</v>
      </c>
      <c r="F18" s="72">
        <f t="shared" si="1"/>
        <v>54999.999999999993</v>
      </c>
      <c r="G18" s="112">
        <v>50000</v>
      </c>
      <c r="H18" s="73">
        <f t="shared" si="2"/>
        <v>327.08333333333326</v>
      </c>
      <c r="I18" s="74">
        <f t="shared" si="3"/>
        <v>0</v>
      </c>
    </row>
    <row r="19" spans="2:9" x14ac:dyDescent="0.25">
      <c r="B19" s="71">
        <f>0.6*$F$8</f>
        <v>28.698060867223269</v>
      </c>
      <c r="C19" s="72">
        <f t="shared" si="4"/>
        <v>431.75</v>
      </c>
      <c r="D19" s="65"/>
      <c r="E19" s="72">
        <f t="shared" si="0"/>
        <v>431.75</v>
      </c>
      <c r="F19" s="72">
        <f t="shared" si="1"/>
        <v>66000</v>
      </c>
      <c r="G19" s="112">
        <v>60000</v>
      </c>
      <c r="H19" s="73">
        <f t="shared" si="2"/>
        <v>392.49999999999994</v>
      </c>
      <c r="I19" s="74">
        <f t="shared" si="3"/>
        <v>0</v>
      </c>
    </row>
    <row r="20" spans="2:9" x14ac:dyDescent="0.25">
      <c r="B20" s="71">
        <f>0.7*$F$8</f>
        <v>33.481071011760477</v>
      </c>
      <c r="C20" s="72">
        <f t="shared" si="4"/>
        <v>503.70833333333326</v>
      </c>
      <c r="D20" s="65"/>
      <c r="E20" s="72">
        <f t="shared" si="0"/>
        <v>503.70833333333326</v>
      </c>
      <c r="F20" s="72">
        <f t="shared" si="1"/>
        <v>77000</v>
      </c>
      <c r="G20" s="112">
        <v>70000</v>
      </c>
      <c r="H20" s="73">
        <f t="shared" si="2"/>
        <v>457.91666666666663</v>
      </c>
      <c r="I20" s="74">
        <f t="shared" si="3"/>
        <v>0</v>
      </c>
    </row>
    <row r="21" spans="2:9" x14ac:dyDescent="0.25">
      <c r="B21" s="71">
        <f>0.75*$F$8</f>
        <v>35.872576084029085</v>
      </c>
      <c r="C21" s="72">
        <f t="shared" si="4"/>
        <v>539.6875</v>
      </c>
      <c r="D21" s="65"/>
      <c r="E21" s="72">
        <f t="shared" si="0"/>
        <v>539.6875</v>
      </c>
      <c r="F21" s="72">
        <f t="shared" si="1"/>
        <v>82500.000000000015</v>
      </c>
      <c r="G21" s="112">
        <v>75000</v>
      </c>
      <c r="H21" s="73">
        <f t="shared" si="2"/>
        <v>490.62499999999994</v>
      </c>
      <c r="I21" s="74">
        <f t="shared" si="3"/>
        <v>0</v>
      </c>
    </row>
    <row r="22" spans="2:9" x14ac:dyDescent="0.25">
      <c r="B22" s="71">
        <f>0.8*$F$8</f>
        <v>38.264081156297692</v>
      </c>
      <c r="C22" s="72">
        <f t="shared" si="4"/>
        <v>575.66666666666663</v>
      </c>
      <c r="D22" s="65"/>
      <c r="E22" s="72">
        <f t="shared" si="0"/>
        <v>575.66666666666663</v>
      </c>
      <c r="F22" s="72">
        <f t="shared" si="1"/>
        <v>88000.000000000015</v>
      </c>
      <c r="G22" s="112">
        <v>80000</v>
      </c>
      <c r="H22" s="73">
        <f t="shared" si="2"/>
        <v>523.33333333333326</v>
      </c>
      <c r="I22" s="74">
        <f t="shared" si="3"/>
        <v>0</v>
      </c>
    </row>
    <row r="23" spans="2:9" x14ac:dyDescent="0.25">
      <c r="B23" s="71">
        <f>0.85*$F$8</f>
        <v>40.6555862285663</v>
      </c>
      <c r="C23" s="72">
        <f t="shared" si="4"/>
        <v>611.64583333333337</v>
      </c>
      <c r="D23" s="65"/>
      <c r="E23" s="72">
        <f t="shared" si="0"/>
        <v>611.64583333333337</v>
      </c>
      <c r="F23" s="72">
        <f t="shared" si="1"/>
        <v>93500.000000000015</v>
      </c>
      <c r="G23" s="112">
        <v>85000</v>
      </c>
      <c r="H23" s="73">
        <f t="shared" si="2"/>
        <v>556.04166666666663</v>
      </c>
      <c r="I23" s="74">
        <f t="shared" si="3"/>
        <v>0</v>
      </c>
    </row>
    <row r="24" spans="2:9" x14ac:dyDescent="0.25">
      <c r="B24" s="71">
        <f>0.9*$F$8</f>
        <v>43.047091300834907</v>
      </c>
      <c r="C24" s="72">
        <f t="shared" si="4"/>
        <v>647.625</v>
      </c>
      <c r="D24" s="65"/>
      <c r="E24" s="72">
        <f t="shared" si="0"/>
        <v>647.625</v>
      </c>
      <c r="F24" s="72">
        <f t="shared" si="1"/>
        <v>99000.000000000015</v>
      </c>
      <c r="G24" s="112">
        <v>90000</v>
      </c>
      <c r="H24" s="73">
        <f t="shared" si="2"/>
        <v>588.75</v>
      </c>
      <c r="I24" s="74">
        <f t="shared" si="3"/>
        <v>0</v>
      </c>
    </row>
    <row r="25" spans="2:9" x14ac:dyDescent="0.25">
      <c r="B25" s="71">
        <f>0.95*$F$8</f>
        <v>45.438596373103508</v>
      </c>
      <c r="C25" s="72">
        <f t="shared" si="4"/>
        <v>683.60416666666663</v>
      </c>
      <c r="D25" s="65"/>
      <c r="E25" s="72">
        <f t="shared" si="0"/>
        <v>683.60416666666663</v>
      </c>
      <c r="F25" s="72">
        <f t="shared" si="1"/>
        <v>104500.00000000001</v>
      </c>
      <c r="G25" s="112">
        <v>95000</v>
      </c>
      <c r="H25" s="73">
        <f t="shared" si="2"/>
        <v>621.45833333333326</v>
      </c>
      <c r="I25" s="74">
        <f t="shared" si="3"/>
        <v>0</v>
      </c>
    </row>
    <row r="26" spans="2:9" x14ac:dyDescent="0.25">
      <c r="B26" s="75">
        <f>1*$F$8</f>
        <v>47.830101445372115</v>
      </c>
      <c r="C26" s="76">
        <f t="shared" si="4"/>
        <v>719.58333333333326</v>
      </c>
      <c r="D26" s="65"/>
      <c r="E26" s="76">
        <f t="shared" si="0"/>
        <v>719.58333333333326</v>
      </c>
      <c r="F26" s="76">
        <f t="shared" si="1"/>
        <v>109999.99999999999</v>
      </c>
      <c r="G26" s="113">
        <v>100000</v>
      </c>
      <c r="H26" s="77">
        <f t="shared" si="2"/>
        <v>654.16666666666652</v>
      </c>
      <c r="I26" s="78">
        <f t="shared" si="3"/>
        <v>0</v>
      </c>
    </row>
    <row r="28" spans="2:9" x14ac:dyDescent="0.25">
      <c r="B28" s="81" t="s">
        <v>61</v>
      </c>
      <c r="C28" s="58"/>
      <c r="D28" s="82"/>
      <c r="E28" s="58" t="s">
        <v>62</v>
      </c>
      <c r="F28" s="58"/>
      <c r="G28" s="59" t="s">
        <v>77</v>
      </c>
      <c r="H28" s="59" t="s">
        <v>78</v>
      </c>
      <c r="I28" s="83"/>
    </row>
    <row r="29" spans="2:9" x14ac:dyDescent="0.25">
      <c r="B29" s="60" t="s">
        <v>63</v>
      </c>
      <c r="C29" s="61"/>
      <c r="D29" s="62"/>
      <c r="E29" s="61" t="s">
        <v>64</v>
      </c>
      <c r="F29" s="61"/>
      <c r="G29" s="61"/>
      <c r="H29" s="63" t="s">
        <v>79</v>
      </c>
      <c r="I29" s="83"/>
    </row>
    <row r="30" spans="2:9" x14ac:dyDescent="0.25">
      <c r="B30" s="60" t="s">
        <v>65</v>
      </c>
      <c r="C30" s="61"/>
      <c r="D30" s="62"/>
      <c r="E30" s="61"/>
      <c r="F30" s="61"/>
      <c r="G30" s="61"/>
      <c r="H30" s="63" t="s">
        <v>80</v>
      </c>
      <c r="I30" s="83"/>
    </row>
    <row r="31" spans="2:9" x14ac:dyDescent="0.25">
      <c r="B31" s="66" t="s">
        <v>66</v>
      </c>
      <c r="C31" s="67" t="s">
        <v>67</v>
      </c>
      <c r="D31" s="67" t="s">
        <v>68</v>
      </c>
      <c r="E31" s="67" t="s">
        <v>69</v>
      </c>
      <c r="F31" s="79"/>
      <c r="G31" s="67" t="s">
        <v>70</v>
      </c>
      <c r="H31" s="67"/>
      <c r="I31" s="68"/>
    </row>
    <row r="32" spans="2:9" x14ac:dyDescent="0.25">
      <c r="B32" s="80" t="s">
        <v>71</v>
      </c>
      <c r="C32" s="67" t="s">
        <v>72</v>
      </c>
      <c r="D32" s="67" t="s">
        <v>73</v>
      </c>
      <c r="E32" s="67" t="s">
        <v>72</v>
      </c>
      <c r="F32" s="67" t="s">
        <v>74</v>
      </c>
      <c r="G32" s="67" t="s">
        <v>75</v>
      </c>
      <c r="H32" s="67" t="s">
        <v>72</v>
      </c>
      <c r="I32" s="68" t="s">
        <v>76</v>
      </c>
    </row>
    <row r="33" spans="2:9" x14ac:dyDescent="0.25">
      <c r="B33" s="71">
        <f>0.25*$F$8</f>
        <v>11.957525361343029</v>
      </c>
      <c r="C33" s="72">
        <f>(2350/61.7)*B33*0.395</f>
        <v>179.89583333333331</v>
      </c>
      <c r="D33" s="65"/>
      <c r="E33" s="72">
        <f t="shared" ref="E33:E43" si="5">C33-(34.4764881*D33-4.325744048*D33^2+0.369475446*D33^3-0.01733631*D33^4+0.000339472*D33^5)</f>
        <v>179.89583333333331</v>
      </c>
      <c r="F33" s="72">
        <f t="shared" ref="F33:F43" si="6">(E33*60)/Volume</f>
        <v>27499.999999999996</v>
      </c>
      <c r="G33" s="112">
        <v>20000</v>
      </c>
      <c r="H33" s="73">
        <f t="shared" ref="H33:H43" si="7">G33*Volume/60</f>
        <v>130.83333333333331</v>
      </c>
      <c r="I33" s="74">
        <f t="shared" ref="I33:I43" si="8">G33^2*P1a+G33*P1b+P1c</f>
        <v>0</v>
      </c>
    </row>
    <row r="34" spans="2:9" x14ac:dyDescent="0.25">
      <c r="B34" s="71">
        <f>0.4*$F$8</f>
        <v>19.132040578148846</v>
      </c>
      <c r="C34" s="72">
        <f t="shared" ref="C34:C42" si="9">(2350/61.7)*B34*0.395</f>
        <v>287.83333333333331</v>
      </c>
      <c r="D34" s="65"/>
      <c r="E34" s="72">
        <f t="shared" si="5"/>
        <v>287.83333333333331</v>
      </c>
      <c r="F34" s="72">
        <f t="shared" si="6"/>
        <v>44000.000000000007</v>
      </c>
      <c r="G34" s="112">
        <v>35000</v>
      </c>
      <c r="H34" s="73">
        <f t="shared" si="7"/>
        <v>228.95833333333331</v>
      </c>
      <c r="I34" s="74">
        <f t="shared" si="8"/>
        <v>0</v>
      </c>
    </row>
    <row r="35" spans="2:9" x14ac:dyDescent="0.25">
      <c r="B35" s="71">
        <f>0.5*$F$8</f>
        <v>23.915050722686058</v>
      </c>
      <c r="C35" s="72">
        <f t="shared" si="9"/>
        <v>359.79166666666663</v>
      </c>
      <c r="D35" s="114"/>
      <c r="E35" s="72">
        <f t="shared" si="5"/>
        <v>359.79166666666663</v>
      </c>
      <c r="F35" s="72">
        <f t="shared" si="6"/>
        <v>54999.999999999993</v>
      </c>
      <c r="G35" s="112">
        <v>50000</v>
      </c>
      <c r="H35" s="73">
        <f t="shared" si="7"/>
        <v>327.08333333333326</v>
      </c>
      <c r="I35" s="74">
        <f t="shared" si="8"/>
        <v>0</v>
      </c>
    </row>
    <row r="36" spans="2:9" x14ac:dyDescent="0.25">
      <c r="B36" s="71">
        <f>0.6*$F$8</f>
        <v>28.698060867223269</v>
      </c>
      <c r="C36" s="72">
        <f t="shared" si="9"/>
        <v>431.75</v>
      </c>
      <c r="D36" s="114"/>
      <c r="E36" s="72">
        <f t="shared" si="5"/>
        <v>431.75</v>
      </c>
      <c r="F36" s="72">
        <f t="shared" si="6"/>
        <v>66000</v>
      </c>
      <c r="G36" s="112">
        <v>60000</v>
      </c>
      <c r="H36" s="73">
        <f t="shared" si="7"/>
        <v>392.49999999999994</v>
      </c>
      <c r="I36" s="74">
        <f t="shared" si="8"/>
        <v>0</v>
      </c>
    </row>
    <row r="37" spans="2:9" x14ac:dyDescent="0.25">
      <c r="B37" s="71">
        <f>0.7*$F$8</f>
        <v>33.481071011760477</v>
      </c>
      <c r="C37" s="72">
        <f t="shared" si="9"/>
        <v>503.70833333333326</v>
      </c>
      <c r="D37" s="114"/>
      <c r="E37" s="72">
        <f t="shared" si="5"/>
        <v>503.70833333333326</v>
      </c>
      <c r="F37" s="72">
        <f t="shared" si="6"/>
        <v>77000</v>
      </c>
      <c r="G37" s="112">
        <v>70000</v>
      </c>
      <c r="H37" s="73">
        <f t="shared" si="7"/>
        <v>457.91666666666663</v>
      </c>
      <c r="I37" s="74">
        <f t="shared" si="8"/>
        <v>0</v>
      </c>
    </row>
    <row r="38" spans="2:9" x14ac:dyDescent="0.25">
      <c r="B38" s="71">
        <f>0.75*$F$8</f>
        <v>35.872576084029085</v>
      </c>
      <c r="C38" s="72">
        <f t="shared" si="9"/>
        <v>539.6875</v>
      </c>
      <c r="D38" s="114"/>
      <c r="E38" s="72">
        <f t="shared" si="5"/>
        <v>539.6875</v>
      </c>
      <c r="F38" s="72">
        <f t="shared" si="6"/>
        <v>82500.000000000015</v>
      </c>
      <c r="G38" s="112">
        <v>75000</v>
      </c>
      <c r="H38" s="73">
        <f t="shared" si="7"/>
        <v>490.62499999999994</v>
      </c>
      <c r="I38" s="74">
        <f t="shared" si="8"/>
        <v>0</v>
      </c>
    </row>
    <row r="39" spans="2:9" x14ac:dyDescent="0.25">
      <c r="B39" s="71">
        <f>0.8*$F$8</f>
        <v>38.264081156297692</v>
      </c>
      <c r="C39" s="72">
        <f t="shared" si="9"/>
        <v>575.66666666666663</v>
      </c>
      <c r="D39" s="114"/>
      <c r="E39" s="72">
        <f t="shared" si="5"/>
        <v>575.66666666666663</v>
      </c>
      <c r="F39" s="72">
        <f t="shared" si="6"/>
        <v>88000.000000000015</v>
      </c>
      <c r="G39" s="112">
        <v>80000</v>
      </c>
      <c r="H39" s="73">
        <f t="shared" si="7"/>
        <v>523.33333333333326</v>
      </c>
      <c r="I39" s="74">
        <f t="shared" si="8"/>
        <v>0</v>
      </c>
    </row>
    <row r="40" spans="2:9" x14ac:dyDescent="0.25">
      <c r="B40" s="71">
        <f>0.85*$F$8</f>
        <v>40.6555862285663</v>
      </c>
      <c r="C40" s="72">
        <f t="shared" si="9"/>
        <v>611.64583333333337</v>
      </c>
      <c r="D40" s="114"/>
      <c r="E40" s="72">
        <f t="shared" si="5"/>
        <v>611.64583333333337</v>
      </c>
      <c r="F40" s="72">
        <f t="shared" si="6"/>
        <v>93500.000000000015</v>
      </c>
      <c r="G40" s="112">
        <v>85000</v>
      </c>
      <c r="H40" s="73">
        <f t="shared" si="7"/>
        <v>556.04166666666663</v>
      </c>
      <c r="I40" s="74">
        <f t="shared" si="8"/>
        <v>0</v>
      </c>
    </row>
    <row r="41" spans="2:9" x14ac:dyDescent="0.25">
      <c r="B41" s="71">
        <f>0.9*$F$8</f>
        <v>43.047091300834907</v>
      </c>
      <c r="C41" s="72">
        <f t="shared" si="9"/>
        <v>647.625</v>
      </c>
      <c r="D41" s="114"/>
      <c r="E41" s="72">
        <f t="shared" si="5"/>
        <v>647.625</v>
      </c>
      <c r="F41" s="72">
        <f t="shared" si="6"/>
        <v>99000.000000000015</v>
      </c>
      <c r="G41" s="112">
        <v>90000</v>
      </c>
      <c r="H41" s="73">
        <f t="shared" si="7"/>
        <v>588.75</v>
      </c>
      <c r="I41" s="74">
        <f t="shared" si="8"/>
        <v>0</v>
      </c>
    </row>
    <row r="42" spans="2:9" x14ac:dyDescent="0.25">
      <c r="B42" s="71">
        <f>0.95*$F$8</f>
        <v>45.438596373103508</v>
      </c>
      <c r="C42" s="72">
        <f t="shared" si="9"/>
        <v>683.60416666666663</v>
      </c>
      <c r="D42" s="114"/>
      <c r="E42" s="72">
        <f t="shared" si="5"/>
        <v>683.60416666666663</v>
      </c>
      <c r="F42" s="72">
        <f t="shared" si="6"/>
        <v>104500.00000000001</v>
      </c>
      <c r="G42" s="112">
        <v>95000</v>
      </c>
      <c r="H42" s="73">
        <f t="shared" si="7"/>
        <v>621.45833333333326</v>
      </c>
      <c r="I42" s="74">
        <f t="shared" si="8"/>
        <v>0</v>
      </c>
    </row>
    <row r="43" spans="2:9" x14ac:dyDescent="0.25">
      <c r="B43" s="75">
        <f>1*$F$8</f>
        <v>47.830101445372115</v>
      </c>
      <c r="C43" s="76">
        <f>(2350/61.7)*B43*0.395</f>
        <v>719.58333333333326</v>
      </c>
      <c r="D43" s="134"/>
      <c r="E43" s="76">
        <f t="shared" si="5"/>
        <v>719.58333333333326</v>
      </c>
      <c r="F43" s="76">
        <f t="shared" si="6"/>
        <v>109999.99999999999</v>
      </c>
      <c r="G43" s="113">
        <v>100000</v>
      </c>
      <c r="H43" s="77">
        <f t="shared" si="7"/>
        <v>654.16666666666652</v>
      </c>
      <c r="I43" s="78">
        <f t="shared" si="8"/>
        <v>0</v>
      </c>
    </row>
    <row r="45" spans="2:9" x14ac:dyDescent="0.25">
      <c r="B45" s="81" t="s">
        <v>61</v>
      </c>
      <c r="C45" s="58"/>
      <c r="D45" s="82"/>
      <c r="E45" s="58" t="s">
        <v>62</v>
      </c>
      <c r="F45" s="58"/>
      <c r="G45" s="59" t="s">
        <v>77</v>
      </c>
      <c r="H45" s="59" t="s">
        <v>78</v>
      </c>
      <c r="I45" s="83"/>
    </row>
    <row r="46" spans="2:9" x14ac:dyDescent="0.25">
      <c r="B46" s="60" t="s">
        <v>63</v>
      </c>
      <c r="C46" s="61"/>
      <c r="D46" s="62"/>
      <c r="E46" s="61" t="s">
        <v>64</v>
      </c>
      <c r="F46" s="61"/>
      <c r="G46" s="61"/>
      <c r="H46" s="63" t="s">
        <v>79</v>
      </c>
      <c r="I46" s="84"/>
    </row>
    <row r="47" spans="2:9" x14ac:dyDescent="0.25">
      <c r="B47" s="60" t="s">
        <v>65</v>
      </c>
      <c r="C47" s="61"/>
      <c r="D47" s="62"/>
      <c r="E47" s="61"/>
      <c r="F47" s="61"/>
      <c r="G47" s="61"/>
      <c r="H47" s="63" t="s">
        <v>80</v>
      </c>
      <c r="I47" s="84"/>
    </row>
    <row r="48" spans="2:9" x14ac:dyDescent="0.25">
      <c r="B48" s="66" t="s">
        <v>66</v>
      </c>
      <c r="C48" s="67" t="s">
        <v>67</v>
      </c>
      <c r="D48" s="67" t="s">
        <v>68</v>
      </c>
      <c r="E48" s="67" t="s">
        <v>69</v>
      </c>
      <c r="F48" s="79"/>
      <c r="G48" s="67" t="s">
        <v>70</v>
      </c>
      <c r="H48" s="67"/>
      <c r="I48" s="68"/>
    </row>
    <row r="49" spans="2:9" x14ac:dyDescent="0.25">
      <c r="B49" s="80" t="s">
        <v>71</v>
      </c>
      <c r="C49" s="67" t="s">
        <v>72</v>
      </c>
      <c r="D49" s="67" t="s">
        <v>73</v>
      </c>
      <c r="E49" s="67" t="s">
        <v>72</v>
      </c>
      <c r="F49" s="67" t="s">
        <v>74</v>
      </c>
      <c r="G49" s="67" t="s">
        <v>75</v>
      </c>
      <c r="H49" s="67" t="s">
        <v>72</v>
      </c>
      <c r="I49" s="68" t="s">
        <v>76</v>
      </c>
    </row>
    <row r="50" spans="2:9" x14ac:dyDescent="0.25">
      <c r="B50" s="71">
        <f>0.25*$F$8</f>
        <v>11.957525361343029</v>
      </c>
      <c r="C50" s="72">
        <f>(2350/61.7)*B50*0.395</f>
        <v>179.89583333333331</v>
      </c>
      <c r="D50" s="65"/>
      <c r="E50" s="72">
        <f t="shared" ref="E50:E60" si="10">C50-(34.4764881*D50-4.325744048*D50^2+0.369475446*D50^3-0.01733631*D50^4+0.000339472*D50^5)</f>
        <v>179.89583333333331</v>
      </c>
      <c r="F50" s="72">
        <f t="shared" ref="F50:F60" si="11">(E50*60)/Volume</f>
        <v>27499.999999999996</v>
      </c>
      <c r="G50" s="112">
        <v>20000</v>
      </c>
      <c r="H50" s="73">
        <f t="shared" ref="H50:H60" si="12">G50*Volume/60</f>
        <v>130.83333333333331</v>
      </c>
      <c r="I50" s="74">
        <f t="shared" ref="I50:I60" si="13">G50^2*P2a+G50*P2b+P2c</f>
        <v>0</v>
      </c>
    </row>
    <row r="51" spans="2:9" x14ac:dyDescent="0.25">
      <c r="B51" s="71">
        <f>0.4*$F$8</f>
        <v>19.132040578148846</v>
      </c>
      <c r="C51" s="72">
        <f t="shared" ref="C51:C60" si="14">(2350/61.7)*B51*0.395</f>
        <v>287.83333333333331</v>
      </c>
      <c r="D51" s="65"/>
      <c r="E51" s="72">
        <f t="shared" si="10"/>
        <v>287.83333333333331</v>
      </c>
      <c r="F51" s="72">
        <f t="shared" si="11"/>
        <v>44000.000000000007</v>
      </c>
      <c r="G51" s="112">
        <v>35000</v>
      </c>
      <c r="H51" s="73">
        <f t="shared" si="12"/>
        <v>228.95833333333331</v>
      </c>
      <c r="I51" s="74">
        <f t="shared" si="13"/>
        <v>0</v>
      </c>
    </row>
    <row r="52" spans="2:9" x14ac:dyDescent="0.25">
      <c r="B52" s="71">
        <f>0.5*$F$8</f>
        <v>23.915050722686058</v>
      </c>
      <c r="C52" s="72">
        <f t="shared" si="14"/>
        <v>359.79166666666663</v>
      </c>
      <c r="D52" s="114"/>
      <c r="E52" s="72">
        <f t="shared" si="10"/>
        <v>359.79166666666663</v>
      </c>
      <c r="F52" s="72">
        <f t="shared" si="11"/>
        <v>54999.999999999993</v>
      </c>
      <c r="G52" s="112">
        <v>50000</v>
      </c>
      <c r="H52" s="73">
        <f t="shared" si="12"/>
        <v>327.08333333333326</v>
      </c>
      <c r="I52" s="74">
        <f t="shared" si="13"/>
        <v>0</v>
      </c>
    </row>
    <row r="53" spans="2:9" x14ac:dyDescent="0.25">
      <c r="B53" s="71">
        <f>0.6*$F$8</f>
        <v>28.698060867223269</v>
      </c>
      <c r="C53" s="72">
        <f t="shared" si="14"/>
        <v>431.75</v>
      </c>
      <c r="D53" s="114"/>
      <c r="E53" s="72">
        <f t="shared" si="10"/>
        <v>431.75</v>
      </c>
      <c r="F53" s="72">
        <f t="shared" si="11"/>
        <v>66000</v>
      </c>
      <c r="G53" s="112">
        <v>60000</v>
      </c>
      <c r="H53" s="73">
        <f t="shared" si="12"/>
        <v>392.49999999999994</v>
      </c>
      <c r="I53" s="74">
        <f t="shared" si="13"/>
        <v>0</v>
      </c>
    </row>
    <row r="54" spans="2:9" x14ac:dyDescent="0.25">
      <c r="B54" s="71">
        <f>0.7*$F$8</f>
        <v>33.481071011760477</v>
      </c>
      <c r="C54" s="72">
        <f t="shared" si="14"/>
        <v>503.70833333333326</v>
      </c>
      <c r="D54" s="114"/>
      <c r="E54" s="72">
        <f t="shared" si="10"/>
        <v>503.70833333333326</v>
      </c>
      <c r="F54" s="72">
        <f t="shared" si="11"/>
        <v>77000</v>
      </c>
      <c r="G54" s="112">
        <v>70000</v>
      </c>
      <c r="H54" s="73">
        <f t="shared" si="12"/>
        <v>457.91666666666663</v>
      </c>
      <c r="I54" s="74">
        <f t="shared" si="13"/>
        <v>0</v>
      </c>
    </row>
    <row r="55" spans="2:9" x14ac:dyDescent="0.25">
      <c r="B55" s="71">
        <f>0.75*$F$8</f>
        <v>35.872576084029085</v>
      </c>
      <c r="C55" s="72">
        <f t="shared" si="14"/>
        <v>539.6875</v>
      </c>
      <c r="D55" s="114"/>
      <c r="E55" s="72">
        <f t="shared" si="10"/>
        <v>539.6875</v>
      </c>
      <c r="F55" s="72">
        <f t="shared" si="11"/>
        <v>82500.000000000015</v>
      </c>
      <c r="G55" s="112">
        <v>75000</v>
      </c>
      <c r="H55" s="73">
        <f t="shared" si="12"/>
        <v>490.62499999999994</v>
      </c>
      <c r="I55" s="74">
        <f t="shared" si="13"/>
        <v>0</v>
      </c>
    </row>
    <row r="56" spans="2:9" x14ac:dyDescent="0.25">
      <c r="B56" s="71">
        <f>0.8*$F$8</f>
        <v>38.264081156297692</v>
      </c>
      <c r="C56" s="72">
        <f t="shared" si="14"/>
        <v>575.66666666666663</v>
      </c>
      <c r="D56" s="114"/>
      <c r="E56" s="72">
        <f t="shared" si="10"/>
        <v>575.66666666666663</v>
      </c>
      <c r="F56" s="72">
        <f t="shared" si="11"/>
        <v>88000.000000000015</v>
      </c>
      <c r="G56" s="112">
        <v>80000</v>
      </c>
      <c r="H56" s="73">
        <f t="shared" si="12"/>
        <v>523.33333333333326</v>
      </c>
      <c r="I56" s="74">
        <f t="shared" si="13"/>
        <v>0</v>
      </c>
    </row>
    <row r="57" spans="2:9" x14ac:dyDescent="0.25">
      <c r="B57" s="71">
        <f>0.85*$F$8</f>
        <v>40.6555862285663</v>
      </c>
      <c r="C57" s="72">
        <f t="shared" si="14"/>
        <v>611.64583333333337</v>
      </c>
      <c r="D57" s="114"/>
      <c r="E57" s="72">
        <f t="shared" si="10"/>
        <v>611.64583333333337</v>
      </c>
      <c r="F57" s="72">
        <f t="shared" si="11"/>
        <v>93500.000000000015</v>
      </c>
      <c r="G57" s="112">
        <v>85000</v>
      </c>
      <c r="H57" s="73">
        <f t="shared" si="12"/>
        <v>556.04166666666663</v>
      </c>
      <c r="I57" s="74">
        <f t="shared" si="13"/>
        <v>0</v>
      </c>
    </row>
    <row r="58" spans="2:9" x14ac:dyDescent="0.25">
      <c r="B58" s="71">
        <f>0.9*$F$8</f>
        <v>43.047091300834907</v>
      </c>
      <c r="C58" s="72">
        <f t="shared" si="14"/>
        <v>647.625</v>
      </c>
      <c r="D58" s="114"/>
      <c r="E58" s="72">
        <f t="shared" si="10"/>
        <v>647.625</v>
      </c>
      <c r="F58" s="72">
        <f t="shared" si="11"/>
        <v>99000.000000000015</v>
      </c>
      <c r="G58" s="112">
        <v>90000</v>
      </c>
      <c r="H58" s="73">
        <f t="shared" si="12"/>
        <v>588.75</v>
      </c>
      <c r="I58" s="74">
        <f t="shared" si="13"/>
        <v>0</v>
      </c>
    </row>
    <row r="59" spans="2:9" x14ac:dyDescent="0.25">
      <c r="B59" s="71">
        <f>0.95*$F$8</f>
        <v>45.438596373103508</v>
      </c>
      <c r="C59" s="72">
        <f t="shared" si="14"/>
        <v>683.60416666666663</v>
      </c>
      <c r="D59" s="114"/>
      <c r="E59" s="72">
        <f t="shared" si="10"/>
        <v>683.60416666666663</v>
      </c>
      <c r="F59" s="72">
        <f t="shared" si="11"/>
        <v>104500.00000000001</v>
      </c>
      <c r="G59" s="112">
        <v>95000</v>
      </c>
      <c r="H59" s="73">
        <f t="shared" si="12"/>
        <v>621.45833333333326</v>
      </c>
      <c r="I59" s="74">
        <f t="shared" si="13"/>
        <v>0</v>
      </c>
    </row>
    <row r="60" spans="2:9" x14ac:dyDescent="0.25">
      <c r="B60" s="75">
        <f>1*$F$8</f>
        <v>47.830101445372115</v>
      </c>
      <c r="C60" s="76">
        <f t="shared" si="14"/>
        <v>719.58333333333326</v>
      </c>
      <c r="D60" s="134"/>
      <c r="E60" s="76">
        <f t="shared" si="10"/>
        <v>719.58333333333326</v>
      </c>
      <c r="F60" s="76">
        <f t="shared" si="11"/>
        <v>109999.99999999999</v>
      </c>
      <c r="G60" s="113">
        <v>100000</v>
      </c>
      <c r="H60" s="77">
        <f t="shared" si="12"/>
        <v>654.16666666666652</v>
      </c>
      <c r="I60" s="78">
        <f t="shared" si="13"/>
        <v>0</v>
      </c>
    </row>
    <row r="62" spans="2:9" x14ac:dyDescent="0.25">
      <c r="F62" s="26"/>
    </row>
    <row r="63" spans="2:9" x14ac:dyDescent="0.25">
      <c r="B63" s="25"/>
      <c r="C63" s="24"/>
      <c r="D63" s="24"/>
      <c r="F63" s="18"/>
    </row>
    <row r="64" spans="2:9" x14ac:dyDescent="0.25">
      <c r="B64" s="25"/>
      <c r="C64" s="24"/>
      <c r="D64" s="24"/>
      <c r="E64" s="22"/>
      <c r="F64" s="18"/>
    </row>
    <row r="65" spans="3:6" x14ac:dyDescent="0.25">
      <c r="C65" s="27"/>
      <c r="D65" s="23"/>
      <c r="F65" s="18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6" r:id="rId4" name="cmdBack">
          <controlPr autoLine="0" r:id="rId5">
            <anchor moveWithCells="1">
              <from>
                <xdr:col>7</xdr:col>
                <xdr:colOff>657225</xdr:colOff>
                <xdr:row>3</xdr:row>
                <xdr:rowOff>219075</xdr:rowOff>
              </from>
              <to>
                <xdr:col>8</xdr:col>
                <xdr:colOff>1238250</xdr:colOff>
                <xdr:row>5</xdr:row>
                <xdr:rowOff>152400</xdr:rowOff>
              </to>
            </anchor>
          </controlPr>
        </control>
      </mc:Choice>
      <mc:Fallback>
        <control shapeId="24586" r:id="rId4" name="cmdBack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7</xdr:col>
                <xdr:colOff>657225</xdr:colOff>
                <xdr:row>6</xdr:row>
                <xdr:rowOff>104775</xdr:rowOff>
              </from>
              <to>
                <xdr:col>8</xdr:col>
                <xdr:colOff>1238250</xdr:colOff>
                <xdr:row>8</xdr:row>
                <xdr:rowOff>85725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7</xdr:col>
                <xdr:colOff>657225</xdr:colOff>
                <xdr:row>1</xdr:row>
                <xdr:rowOff>95250</xdr:rowOff>
              </from>
              <to>
                <xdr:col>8</xdr:col>
                <xdr:colOff>1238250</xdr:colOff>
                <xdr:row>3</xdr:row>
                <xdr:rowOff>76200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67</vt:i4>
      </vt:variant>
    </vt:vector>
  </HeadingPairs>
  <TitlesOfParts>
    <vt:vector size="81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Search</vt:lpstr>
      <vt:lpstr>Report</vt:lpstr>
      <vt:lpstr>Quality</vt:lpstr>
      <vt:lpstr>QAProcess</vt:lpstr>
      <vt:lpstr>Quality!CleanChannels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LegacyJob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DPF!NoteDPF</vt:lpstr>
      <vt:lpstr>NoteECD</vt:lpstr>
      <vt:lpstr>NoteEngine</vt:lpstr>
      <vt:lpstr>Manufacturer!NoteManufacturer</vt:lpstr>
      <vt:lpstr>NoteQAProcess</vt:lpstr>
      <vt:lpstr>Quality!NoteQuality</vt:lpstr>
      <vt:lpstr>NoteReport</vt:lpstr>
      <vt:lpstr>NoteSearch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Search!Result</vt:lpstr>
      <vt:lpstr>SalesNo</vt:lpstr>
      <vt:lpstr>QAProcess!SubDiameter</vt:lpstr>
      <vt:lpstr>Quality!SubDiameter</vt:lpstr>
      <vt:lpstr>QAProcess!SubLength</vt:lpstr>
      <vt:lpstr>Quality!SubLength</vt:lpstr>
      <vt:lpstr>Summary</vt:lpstr>
      <vt:lpstr>Vehicle!vehicle</vt:lpstr>
      <vt:lpstr>QAProcess!Volume</vt:lpstr>
      <vt:lpstr>Quality!Volume</vt:lpstr>
      <vt:lpstr>WorkorderIDQAProcess</vt:lpstr>
      <vt:lpstr>Quality!WorkOrderIDQuality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cp:lastPrinted>2019-06-16T19:14:23Z</cp:lastPrinted>
  <dcterms:created xsi:type="dcterms:W3CDTF">2018-11-08T14:27:46Z</dcterms:created>
  <dcterms:modified xsi:type="dcterms:W3CDTF">2019-12-10T13:06:43Z</dcterms:modified>
</cp:coreProperties>
</file>