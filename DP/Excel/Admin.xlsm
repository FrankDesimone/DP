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269220F-C73E-42E4-B805-27B66874EEBD}" xr6:coauthVersionLast="43" xr6:coauthVersionMax="43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state="hidden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<sst xmlns="http://schemas.openxmlformats.org/spreadsheetml/2006/main" count="555" uniqueCount="300">
  <si>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</si>
  <si>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</si>
  <si>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</si>
  <si>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</si>
  <si>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</si>
  <si>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</si>
  <si>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</si>
  <si>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</si>
  <si>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</si>
  <si>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</si>
  <si>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</si>
  <si>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</si>
  <si>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</si>
  <si>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</si>
  <si>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</si>
  <si>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</si>
  <si>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</si>
  <si>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</si>
  <si>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</si>
  <si>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</si>
  <si>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</si>
  <si>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</si>
  <si>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</si>
  <si>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</si>
  <si>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</si>
  <si>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</si>
  <si>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</si>
  <si>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</si>
  <si>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</si>
  <si>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</si>
  <si>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</si>
  <si>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</si>
  <si>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</si>
  <si>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</si>
  <si>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</si>
  <si>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</si>
  <si>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</si>
  <si>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</si>
  <si>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</si>
  <si>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</si>
  <si>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</si>
  <si>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</si>
  <si>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</si>
  <si>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</si>
  <si>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</si>
  <si>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</si>
  <si>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</si>
  <si>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</si>
  <si>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</si>
  <si>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</si>
  <si>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</si>
  <si>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</si>
  <si>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</si>
  <si>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</si>
  <si>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</si>
  <si>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</si>
  <si>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</si>
  <si>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</si>
  <si>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</si>
  <si>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</si>
  <si>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</si>
  <si>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</si>
  <si>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</si>
  <si>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</si>
  <si>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</si>
  <si>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</si>
  <si>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</si>
  <si>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</si>
  <si>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</si>
  <si>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</si>
  <si>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</si>
  <si>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</si>
  <si>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</si>
  <si>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</si>
  <si>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</si>
  <si>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</si>
  <si>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</si>
  <si>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</si>
  <si>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</si>
  <si>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</si>
  <si>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</si>
  <si>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</si>
  <si>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</si>
  <si>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</si>
  <si>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</si>
  <si>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</si>
  <si>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</si>
  <si>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</si>
  <si>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</si>
  <si>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</si>
  <si>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</si>
  <si>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</si>
  <si>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</si>
  <si>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</si>
  <si>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</si>
  <si>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</si>
  <si>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</si>
  <si>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</si>
  <si>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</si>
  <si>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</si>
  <si>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</si>
  <si>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</si>
  <si>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</si>
  <si>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</si>
  <si>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</si>
  <si>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</si>
  <si>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</si>
  <si>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</si>
  <si>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</si>
  <si>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</si>
  <si>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</si>
  <si>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</si>
  <si>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</si>
  <si>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</si>
  <si>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</si>
  <si>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</si>
  <si>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</si>
  <si>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</si>
  <si>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</si>
  <si>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</si>
  <si>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</si>
  <si>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</si>
  <si>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</si>
  <si>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</si>
  <si>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</si>
  <si>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</si>
  <si>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</si>
  <si>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</si>
  <si>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</si>
  <si>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</si>
  <si>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</si>
  <si>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</si>
  <si>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</si>
  <si>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</si>
  <si>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</si>
  <si>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</si>
  <si>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</si>
  <si>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</si>
  <si>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</si>
  <si>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</si>
  <si>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</si>
  <si>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</si>
  <si>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</si>
  <si>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</si>
  <si>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</si>
  <si>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</si>
  <si>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</si>
  <si>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</si>
  <si>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</si>
  <si>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</si>
  <si>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</si>
  <si>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</si>
  <si>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</si>
  <si>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</si>
  <si>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</si>
  <si>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</si>
  <si>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</si>
  <si>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</si>
  <si>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</si>
  <si>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</si>
  <si>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</si>
  <si>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</si>
  <si>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</si>
  <si>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</si>
  <si>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</si>
  <si>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</si>
  <si>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</si>
  <si>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</si>
  <si>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</si>
  <si>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</si>
  <si>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</si>
  <si>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</si>
  <si>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</si>
  <si>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</si>
  <si>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</si>
  <si>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</si>
  <si>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</si>
  <si>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</si>
  <si>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</si>
  <si>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</si>
  <si>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</si>
  <si>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</si>
  <si>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</si>
  <si>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</si>
  <si>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</si>
  <si>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</si>
  <si>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</si>
  <si>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</si>
  <si>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</si>
  <si>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</si>
  <si>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</si>
  <si>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</si>
  <si>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</si>
  <si>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</si>
  <si>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</si>
  <si>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</si>
  <si>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</si>
  <si>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</si>
  <si>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</si>
  <si>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</si>
  <si>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</si>
  <si>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</si>
  <si>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</si>
  <si>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</si>
  <si>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</si>
  <si>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</si>
  <si>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</si>
  <si>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</si>
  <si>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</si>
  <si>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</si>
  <si>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</si>
  <si>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</si>
  <si>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</si>
  <si>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</si>
  <si>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</si>
  <si>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</si>
  <si>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</si>
  <si>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</si>
  <si>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</si>
  <si>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</si>
  <si>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</si>
  <si>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</si>
  <si>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</si>
  <si>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</si>
  <si>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</si>
  <si>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</si>
  <si>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</si>
  <si>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</si>
  <si>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</si>
  <si>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</si>
  <si>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</si>
  <si>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</si>
  <si>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</si>
  <si>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</si>
  <si>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</si>
  <si>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</si>
  <si>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</si>
  <si>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</si>
  <si>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</si>
  <si>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</si>
  <si>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</si>
  <si>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</si>
  <si>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</si>
  <si>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</si>
  <si>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</si>
  <si>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</si>
  <si>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</si>
  <si>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</si>
  <si>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</si>
  <si>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</si>
  <si>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</si>
  <si>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</si>
  <si>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</si>
  <si>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</si>
  <si>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</si>
  <si>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</si>
  <si>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36034125534 / CPN2871462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</si>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</sst>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3.emf"/><Relationship Id="rId18" Type="http://schemas.openxmlformats.org/officeDocument/2006/relationships/image" Target="../media/image68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8.emf"/><Relationship Id="rId12" Type="http://schemas.openxmlformats.org/officeDocument/2006/relationships/image" Target="../media/image51.emf"/><Relationship Id="rId17" Type="http://schemas.openxmlformats.org/officeDocument/2006/relationships/image" Target="../media/image67.emf"/><Relationship Id="rId2" Type="http://schemas.openxmlformats.org/officeDocument/2006/relationships/image" Target="../media/image53.emf"/><Relationship Id="rId16" Type="http://schemas.openxmlformats.org/officeDocument/2006/relationships/image" Target="../media/image66.emf"/><Relationship Id="rId20" Type="http://schemas.openxmlformats.org/officeDocument/2006/relationships/image" Target="../media/image50.emf"/><Relationship Id="rId1" Type="http://schemas.openxmlformats.org/officeDocument/2006/relationships/image" Target="../media/image54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5.emf"/><Relationship Id="rId10" Type="http://schemas.openxmlformats.org/officeDocument/2006/relationships/image" Target="../media/image61.emf"/><Relationship Id="rId19" Type="http://schemas.openxmlformats.org/officeDocument/2006/relationships/image" Target="../media/image69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88.emf"/><Relationship Id="rId7" Type="http://schemas.openxmlformats.org/officeDocument/2006/relationships/image" Target="../media/image84.emf"/><Relationship Id="rId2" Type="http://schemas.openxmlformats.org/officeDocument/2006/relationships/image" Target="../media/image89.emf"/><Relationship Id="rId1" Type="http://schemas.openxmlformats.org/officeDocument/2006/relationships/image" Target="../media/image82.emf"/><Relationship Id="rId6" Type="http://schemas.openxmlformats.org/officeDocument/2006/relationships/image" Target="../media/image85.emf"/><Relationship Id="rId11" Type="http://schemas.openxmlformats.org/officeDocument/2006/relationships/image" Target="../media/image79.emf"/><Relationship Id="rId5" Type="http://schemas.openxmlformats.org/officeDocument/2006/relationships/image" Target="../media/image86.emf"/><Relationship Id="rId10" Type="http://schemas.openxmlformats.org/officeDocument/2006/relationships/image" Target="../media/image80.emf"/><Relationship Id="rId4" Type="http://schemas.openxmlformats.org/officeDocument/2006/relationships/image" Target="../media/image87.emf"/><Relationship Id="rId9" Type="http://schemas.openxmlformats.org/officeDocument/2006/relationships/image" Target="../media/image8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49" Type="http://schemas.openxmlformats.org/officeDocument/2006/relationships/image" Target="../media/image70.emf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89.xml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6.emf"/><Relationship Id="rId7" Type="http://schemas.openxmlformats.org/officeDocument/2006/relationships/image" Target="../media/image80.emf"/><Relationship Id="rId12" Type="http://schemas.openxmlformats.org/officeDocument/2006/relationships/control" Target="../activeX/activeX88.xml"/><Relationship Id="rId17" Type="http://schemas.openxmlformats.org/officeDocument/2006/relationships/image" Target="../media/image84.emf"/><Relationship Id="rId25" Type="http://schemas.openxmlformats.org/officeDocument/2006/relationships/image" Target="../media/image88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2.emf"/><Relationship Id="rId24" Type="http://schemas.openxmlformats.org/officeDocument/2006/relationships/control" Target="../activeX/activeX95.xml"/><Relationship Id="rId5" Type="http://schemas.openxmlformats.org/officeDocument/2006/relationships/image" Target="../media/image79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28" Type="http://schemas.openxmlformats.org/officeDocument/2006/relationships/image" Target="../media/image89.emf"/><Relationship Id="rId10" Type="http://schemas.openxmlformats.org/officeDocument/2006/relationships/control" Target="../activeX/activeX87.xml"/><Relationship Id="rId19" Type="http://schemas.openxmlformats.org/officeDocument/2006/relationships/image" Target="../media/image85.emf"/><Relationship Id="rId31" Type="http://schemas.openxmlformats.org/officeDocument/2006/relationships/control" Target="../activeX/activeX100.xml"/><Relationship Id="rId4" Type="http://schemas.openxmlformats.org/officeDocument/2006/relationships/control" Target="../activeX/activeX84.xml"/><Relationship Id="rId9" Type="http://schemas.openxmlformats.org/officeDocument/2006/relationships/image" Target="../media/image81.emf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7.xml"/><Relationship Id="rId30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276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185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265</v>
      </c>
      <c r="D4" s="37"/>
    </row>
    <row r="5" spans="1:4" ht="30" customHeight="1" x14ac:dyDescent="0.25">
      <c r="A5" s="5" t="s">
        <v>1</v>
      </c>
      <c r="B5" s="14" t="s">
        <v>265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266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267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258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259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5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275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260</v>
      </c>
      <c r="E3" s="37"/>
    </row>
    <row r="4" spans="1:5" ht="30" customHeight="1" x14ac:dyDescent="0.25">
      <c r="A4" s="5" t="s">
        <v>36</v>
      </c>
      <c r="B4" s="58" t="s">
        <v>261</v>
      </c>
    </row>
    <row r="5" spans="1:5" ht="30" customHeight="1" x14ac:dyDescent="0.25">
      <c r="A5" s="5" t="s">
        <v>13</v>
      </c>
      <c r="B5" s="14" t="s">
        <v>262</v>
      </c>
    </row>
    <row r="6" spans="1:5" ht="30" customHeight="1" x14ac:dyDescent="0.25">
      <c r="A6" s="5" t="s">
        <v>34</v>
      </c>
      <c r="B6" s="14" t="s">
        <v>263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264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K7" sqref="K7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/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/>
    </row>
    <row r="15" spans="2:10" ht="18" customHeight="1" x14ac:dyDescent="0.25">
      <c r="B15" s="5" t="s">
        <v>214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49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6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9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7" t="s">
        <v>274</v>
      </c>
      <c r="C12" s="25" t="s">
        <v>269</v>
      </c>
      <c r="D12" s="117" t="s">
        <v>268</v>
      </c>
      <c r="E12" s="118" t="s">
        <v>270</v>
      </c>
      <c r="F12" s="120" t="s">
        <v>271</v>
      </c>
      <c r="G12" s="25" t="s">
        <v>272</v>
      </c>
      <c r="H12" s="25" t="s">
        <v>273</v>
      </c>
    </row>
    <row r="13" spans="2:8" x14ac:dyDescent="0.25">
      <c r="B13" s="19">
        <v>9</v>
      </c>
      <c r="C13" s="116" t="s">
        <v>277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6" t="s">
        <v>278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6" t="s">
        <v>279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6" t="s">
        <v>280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6" t="s">
        <v>281</v>
      </c>
      <c r="D17" s="19">
        <v>41</v>
      </c>
      <c r="F17" s="2">
        <v>43607.795680439813</v>
      </c>
      <c r="G17" t="s">
        <v>282</v>
      </c>
      <c r="H17" t="s">
        <v>283</v>
      </c>
    </row>
    <row r="18" spans="2:8" ht="15.95" customHeight="1" x14ac:dyDescent="0.25">
      <c r="B18" s="19">
        <v>35</v>
      </c>
      <c r="C18" s="116" t="s">
        <v>281</v>
      </c>
      <c r="D18" s="19">
        <v>42</v>
      </c>
      <c r="F18" s="2">
        <v>43607.808764930553</v>
      </c>
      <c r="G18" t="s">
        <v>282</v>
      </c>
      <c r="H18" t="s">
        <v>283</v>
      </c>
    </row>
    <row r="19" spans="2:8" x14ac:dyDescent="0.25">
      <c r="B19" s="19">
        <v>13</v>
      </c>
      <c r="C19" s="116" t="s">
        <v>284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6" t="s">
        <v>285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6" t="s">
        <v>286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6" t="s">
        <v>287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6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6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6" t="s">
        <v>288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6" t="s">
        <v>288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6" t="s">
        <v>289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6" t="s">
        <v>290</v>
      </c>
      <c r="D28" s="19">
        <v>40</v>
      </c>
      <c r="F28" s="2">
        <v>43607.790823958334</v>
      </c>
      <c r="G28" t="s">
        <v>291</v>
      </c>
      <c r="H28" t="s">
        <v>188</v>
      </c>
    </row>
    <row r="29" spans="2:8" x14ac:dyDescent="0.25">
      <c r="B29" s="19">
        <v>33</v>
      </c>
      <c r="C29" s="116" t="s">
        <v>292</v>
      </c>
      <c r="D29" s="19">
        <v>39</v>
      </c>
      <c r="F29" s="2">
        <v>43607.79031369213</v>
      </c>
      <c r="G29" t="s">
        <v>293</v>
      </c>
      <c r="H29" t="s">
        <v>188</v>
      </c>
    </row>
    <row r="30" spans="2:8" x14ac:dyDescent="0.25">
      <c r="B30" s="19">
        <v>32</v>
      </c>
      <c r="C30" s="116" t="s">
        <v>294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6" t="s">
        <v>294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6" t="s">
        <v>295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6" t="s">
        <v>295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6" t="s">
        <v>295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6" t="s">
        <v>296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6" t="s">
        <v>297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6" t="s">
        <v>297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6" t="s">
        <v>298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6" t="s">
        <v>299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6" t="s">
        <v>299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6" t="s">
        <v>299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256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257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50</v>
      </c>
    </row>
    <row r="4" spans="2:9" ht="18.75" x14ac:dyDescent="0.3">
      <c r="I4" s="45"/>
    </row>
    <row r="5" spans="2:9" x14ac:dyDescent="0.25">
      <c r="B5" s="107" t="s">
        <v>16</v>
      </c>
      <c r="C5" s="108">
        <v>9</v>
      </c>
      <c r="D5" s="61"/>
      <c r="E5" s="61" t="s">
        <v>207</v>
      </c>
      <c r="F5" s="94"/>
      <c r="G5" s="95" t="s">
        <v>91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206</v>
      </c>
      <c r="F6" s="98"/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0.40476562500000002</v>
      </c>
      <c r="D7" s="100"/>
      <c r="E7" s="64" t="s">
        <v>208</v>
      </c>
      <c r="F7" s="98">
        <f>(Volume*MaxSpaceVelocity)*(1/60)*(61.7)/(2350*0.395)</f>
        <v>0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11.461748203125001</v>
      </c>
      <c r="D8" s="103"/>
      <c r="E8" s="104" t="s">
        <v>209</v>
      </c>
      <c r="F8" s="106">
        <f>IF(F7&gt;MaxHertz,"60",F7)</f>
        <v>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8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134.921875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236.11328125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337.3046875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404.765625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472.2265625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505.95703125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539.6875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573.41796875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607.1484375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640.87890625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674.609375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8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134.921875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236.11328125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337.3046875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404.765625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472.2265625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505.95703125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539.6875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573.41796875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607.1484375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640.87890625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674.609375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D47" s="68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134.921875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236.11328125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337.3046875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404.765625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472.2265625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505.95703125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539.6875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573.41796875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607.1484375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640.87890625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674.609375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2019-07-08T11:11:17Z</dcterms:modified>
</cp:coreProperties>
</file>