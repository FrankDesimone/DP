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0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E73753F-A2B2-417C-A998-3A66EFE6E934}" xr6:coauthVersionLast="40" xr6:coauthVersionMax="40" xr10:uidLastSave="{00000000-0000-0000-0000-000000000000}"/>
  <bookViews>
    <workbookView xWindow="0" yWindow="0" windowWidth="17880" windowHeight="14325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Company!$F$4</definedName>
    <definedName name="NoteCompanyLocation">CompanyLocation!$E$4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<sst xmlns="http://schemas.openxmlformats.org/spreadsheetml/2006/main" count="305" uniqueCount="180">
  <si>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</si>
  <si>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</si>
  <si>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</si>
  <si>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</si>
  <si>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</si>
  <si>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</si>
  <si>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</si>
  <si>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</si>
  <si>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</si>
  <si>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</si>
  <si>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</si>
  <si>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</si>
  <si>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</si>
  <si>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</si>
  <si>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</si>
  <si>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</si>
  <si>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</si>
  <si>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</si>
  <si>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</si>
  <si>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</si>
  <si>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</si>
  <si>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</si>
  <si>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</si>
  <si>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</si>
  <si>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</si>
  <si>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</si>
  <si>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</si>
  <si>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</si>
  <si>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</si>
  <si>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</si>
  <si>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</si>
  <si>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</si>
  <si>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</si>
  <si>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</si>
  <si>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</si>
  <si>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</si>
  <si>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</si>
  <si>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</si>
  <si>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</si>
  <si>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</si>
  <si>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</si>
  <si>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</si>
  <si>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</si>
  <si>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</si>
  <si>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</si>
  <si>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</si>
  <si>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</si>
  <si>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</si>
  <si>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</si>
  <si>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</si>
  <si>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</si>
  <si>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</si>
  <si>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</si>
  <si>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</si>
  <si>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</si>
  <si>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</si>
  <si>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</si>
  <si>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</si>
  <si>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</si>
  <si>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</si>
  <si>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</si>
  <si>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</si>
  <si>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</si>
  <si>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</si>
  <si>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</si>
  <si>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</si>
  <si>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</si>
  <si>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</si>
  <si>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</si>
  <si>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</si>
  <si>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</si>
  <si>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</si>
  <si>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</si>
  <si>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</si>
  <si>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</si>
  <si>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</si>
  <si>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</si>
  <si>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</si>
  <si>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</si>
  <si>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</si>
  <si>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</si>
  <si>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</si>
  <si>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</si>
  <si>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</si>
  <si>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</si>
  <si>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</si>
  <si>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</si>
  <si>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</si>
  <si>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</si>
  <si>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</si>
  <si>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</si>
  <si>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</si>
  <si>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</si>
  <si>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</si>
  <si>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</si>
  <si>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</si>
  <si>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</si>
  <si>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</si>
  <si>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</si>
  <si>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</si>
  <si>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</si>
  <si>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</si>
  <si>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</si>
  <si>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</si>
  <si>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</si>
  <si>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</si>
  <si>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</si>
  <si>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</si>
  <si>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</si>
  <si>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</si>
  <si>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</si>
  <si>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</si>
  <si>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</si>
  <si>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</si>
  <si>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</si>
  <si>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</si>
  <si>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</si>
  <si>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</si>
  <si>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</si>
  <si>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</si>
  <si>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</si>
  <si>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</si>
  <si>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</si>
  <si>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</si>
  <si>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</si>
  <si>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</si>
  <si>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</si>
  <si>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</si>
  <si>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</si>
  <si>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</si>
  <si>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</si>
  <si>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</si>
  <si>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</si>
  <si>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</si>
  <si>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</si>
  <si>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</si>
  <si>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</si>
  <si>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</si>
  <si>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</si>
  <si>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</si>
  <si>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</si>
  <si>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</si>
  <si>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</si>
  <si>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</si>
  <si>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</si>
  <si>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</si>
  <si>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</si>
  <si>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</si>
  <si>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</si>
  <si>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</si>
  <si>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</si>
  <si>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</si>
  <si>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</si>
  <si>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</si>
  <si>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</si>
  <si>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</si>
  <si>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</si>
  <si>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</si>
  <si>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</si>
  <si>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</si>
  <si>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</si>
  <si>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</si>
  <si>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</si>
  <si>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</si>
  <si>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</si>
  <si>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</si>
  <si>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60 Schoolhouse &amp; Rd.</t>
  </si>
  <si>
    <t>Souderton</t>
  </si>
  <si>
    <t>18964</t>
  </si>
  <si>
    <t>Aqua Wastewater Management Inc.</t>
  </si>
  <si>
    <t>Record Saved</t>
  </si>
  <si>
    <t>Select Valid Company</t>
  </si>
  <si>
    <t>Chris</t>
  </si>
  <si>
    <t>N/A</t>
  </si>
  <si>
    <t>3123 Bethlehem Pike</t>
  </si>
  <si>
    <t/>
  </si>
  <si>
    <t>Hatfield</t>
  </si>
  <si>
    <t>19440</t>
  </si>
  <si>
    <t>Info@Opdykes.com</t>
  </si>
  <si>
    <t>2157214444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</si>
</sst>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5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4" fillId="0" borderId="0" xfId="0" applyFont="1"/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6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5" Type="http://schemas.openxmlformats.org/officeDocument/2006/relationships/image" Target="../media/image46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12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11" Type="http://schemas.openxmlformats.org/officeDocument/2006/relationships/image" Target="../media/image59.emf"/><Relationship Id="rId5" Type="http://schemas.openxmlformats.org/officeDocument/2006/relationships/image" Target="../media/image53.emf"/><Relationship Id="rId10" Type="http://schemas.openxmlformats.org/officeDocument/2006/relationships/image" Target="../media/image58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0" Type="http://schemas.openxmlformats.org/officeDocument/2006/relationships/image" Target="../media/image61.emf"/><Relationship Id="rId4" Type="http://schemas.openxmlformats.org/officeDocument/2006/relationships/image" Target="../media/image67.emf"/><Relationship Id="rId9" Type="http://schemas.openxmlformats.org/officeDocument/2006/relationships/image" Target="../media/image6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19050</xdr:rowOff>
        </xdr:from>
        <xdr:to>
          <xdr:col>5</xdr:col>
          <xdr:colOff>38100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85725</xdr:rowOff>
        </xdr:from>
        <xdr:to>
          <xdr:col>5</xdr:col>
          <xdr:colOff>38100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28575</xdr:rowOff>
        </xdr:from>
        <xdr:to>
          <xdr:col>4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3</xdr:row>
          <xdr:rowOff>66675</xdr:rowOff>
        </xdr:from>
        <xdr:to>
          <xdr:col>4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28574</xdr:rowOff>
        </xdr:from>
        <xdr:to>
          <xdr:col>5</xdr:col>
          <xdr:colOff>0</xdr:colOff>
          <xdr:row>1</xdr:row>
          <xdr:rowOff>348614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47624</xdr:rowOff>
        </xdr:from>
        <xdr:to>
          <xdr:col>5</xdr:col>
          <xdr:colOff>0</xdr:colOff>
          <xdr:row>3</xdr:row>
          <xdr:rowOff>367664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28575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7</xdr:col>
          <xdr:colOff>38100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7</xdr:col>
          <xdr:colOff>38100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342900</xdr:colOff>
          <xdr:row>7</xdr:row>
          <xdr:rowOff>47625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3.emf"/><Relationship Id="rId7" Type="http://schemas.openxmlformats.org/officeDocument/2006/relationships/image" Target="../media/image49.emf"/><Relationship Id="rId12" Type="http://schemas.openxmlformats.org/officeDocument/2006/relationships/control" Target="../activeX/activeX53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33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2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5" Type="http://schemas.openxmlformats.org/officeDocument/2006/relationships/image" Target="../media/image48.emf"/><Relationship Id="rId15" Type="http://schemas.openxmlformats.org/officeDocument/2006/relationships/control" Target="../activeX/activeX56.xml"/><Relationship Id="rId23" Type="http://schemas.openxmlformats.org/officeDocument/2006/relationships/image" Target="../media/image54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1.xml"/><Relationship Id="rId19" Type="http://schemas.openxmlformats.org/officeDocument/2006/relationships/image" Target="../media/image52.emf"/><Relationship Id="rId31" Type="http://schemas.openxmlformats.org/officeDocument/2006/relationships/image" Target="../media/image5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6.emf"/><Relationship Id="rId30" Type="http://schemas.openxmlformats.org/officeDocument/2006/relationships/control" Target="../activeX/activeX6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64.emf"/><Relationship Id="rId18" Type="http://schemas.openxmlformats.org/officeDocument/2006/relationships/control" Target="../activeX/activeX73.xml"/><Relationship Id="rId26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68.emf"/><Relationship Id="rId7" Type="http://schemas.openxmlformats.org/officeDocument/2006/relationships/image" Target="../media/image61.emf"/><Relationship Id="rId12" Type="http://schemas.openxmlformats.org/officeDocument/2006/relationships/control" Target="../activeX/activeX70.xml"/><Relationship Id="rId17" Type="http://schemas.openxmlformats.org/officeDocument/2006/relationships/image" Target="../media/image66.emf"/><Relationship Id="rId25" Type="http://schemas.openxmlformats.org/officeDocument/2006/relationships/image" Target="../media/image70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2.xml"/><Relationship Id="rId20" Type="http://schemas.openxmlformats.org/officeDocument/2006/relationships/control" Target="../activeX/activeX7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image" Target="../media/image63.emf"/><Relationship Id="rId24" Type="http://schemas.openxmlformats.org/officeDocument/2006/relationships/control" Target="../activeX/activeX76.xml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28" Type="http://schemas.openxmlformats.org/officeDocument/2006/relationships/control" Target="../activeX/activeX79.xml"/><Relationship Id="rId10" Type="http://schemas.openxmlformats.org/officeDocument/2006/relationships/control" Target="../activeX/activeX69.xml"/><Relationship Id="rId19" Type="http://schemas.openxmlformats.org/officeDocument/2006/relationships/image" Target="../media/image67.emf"/><Relationship Id="rId4" Type="http://schemas.openxmlformats.org/officeDocument/2006/relationships/control" Target="../activeX/activeX66.xml"/><Relationship Id="rId9" Type="http://schemas.openxmlformats.org/officeDocument/2006/relationships/image" Target="../media/image62.emf"/><Relationship Id="rId14" Type="http://schemas.openxmlformats.org/officeDocument/2006/relationships/control" Target="../activeX/activeX71.xml"/><Relationship Id="rId22" Type="http://schemas.openxmlformats.org/officeDocument/2006/relationships/control" Target="../activeX/activeX75.xml"/><Relationship Id="rId27" Type="http://schemas.openxmlformats.org/officeDocument/2006/relationships/control" Target="../activeX/activeX7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workbookViewId="0">
      <selection activeCell="D17" sqref="D17"/>
    </sheetView>
  </sheetViews>
  <sheetFormatPr defaultRowHeight="15" x14ac:dyDescent="0.25"/>
  <cols>
    <col min="2" max="2" width="4.140625" customWidth="1"/>
  </cols>
  <sheetData>
    <row r="3" spans="2:11" x14ac:dyDescent="0.2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2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2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2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2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2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2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2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2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2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2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2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11" sqref="C1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5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2" t="s">
        <v>92</v>
      </c>
      <c r="C3" s="26">
        <v>18</v>
      </c>
      <c r="F3" s="93"/>
    </row>
    <row r="4" spans="1:6" ht="30" customHeight="1" x14ac:dyDescent="0.25">
      <c r="B4" s="20" t="s">
        <v>93</v>
      </c>
      <c r="C4" s="24" t="s">
        <v>169</v>
      </c>
      <c r="F4" s="94" t="s">
        <v>170</v>
      </c>
    </row>
    <row r="5" spans="1:6" ht="30" customHeight="1" x14ac:dyDescent="0.25">
      <c r="B5" s="20" t="s">
        <v>94</v>
      </c>
      <c r="C5" s="24" t="s">
        <v>166</v>
      </c>
    </row>
    <row r="6" spans="1:6" ht="30" customHeight="1" x14ac:dyDescent="0.25">
      <c r="B6" s="20" t="s">
        <v>95</v>
      </c>
      <c r="C6" s="24" t="s">
        <v>175</v>
      </c>
    </row>
    <row r="7" spans="1:6" ht="30" customHeight="1" x14ac:dyDescent="0.25">
      <c r="B7" s="20" t="s">
        <v>96</v>
      </c>
      <c r="C7" s="24" t="s">
        <v>167</v>
      </c>
    </row>
    <row r="8" spans="1:6" ht="30" customHeight="1" x14ac:dyDescent="0.25">
      <c r="B8" s="20" t="s">
        <v>97</v>
      </c>
      <c r="C8" s="24"/>
    </row>
    <row r="9" spans="1:6" ht="30" customHeight="1" x14ac:dyDescent="0.25">
      <c r="B9" s="20" t="s">
        <v>98</v>
      </c>
      <c r="C9" s="24" t="s">
        <v>168</v>
      </c>
    </row>
    <row r="10" spans="1:6" ht="30" customHeight="1" x14ac:dyDescent="0.25">
      <c r="B10" s="20" t="s">
        <v>99</v>
      </c>
      <c r="C10" s="24"/>
    </row>
    <row r="11" spans="1:6" ht="30" customHeight="1" x14ac:dyDescent="0.25">
      <c r="B11" s="20" t="s">
        <v>100</v>
      </c>
      <c r="C11" s="24"/>
    </row>
  </sheetData>
  <sheetProtection sheet="1" selectLockedCells="1"/>
  <protectedRanges>
    <protectedRange sqref="F4" name="CompanyMsgLock"/>
    <protectedRange sqref="B2:C11" name="CompanyOpe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E12"/>
  <sheetViews>
    <sheetView showGridLines="0" workbookViewId="0">
      <selection activeCell="B10" sqref="B10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5" max="5" width="20.5703125" customWidth="1"/>
  </cols>
  <sheetData>
    <row r="2" spans="1:5" ht="30" customHeight="1" x14ac:dyDescent="0.25">
      <c r="A2" s="5" t="s">
        <v>78</v>
      </c>
      <c r="B2" s="21"/>
    </row>
    <row r="3" spans="1:5" ht="30" customHeight="1" x14ac:dyDescent="0.25">
      <c r="A3" s="5" t="s">
        <v>70</v>
      </c>
      <c r="B3" s="26">
        <v>28</v>
      </c>
    </row>
    <row r="4" spans="1:5" ht="30" customHeight="1" x14ac:dyDescent="0.25">
      <c r="A4" s="5" t="s">
        <v>72</v>
      </c>
      <c r="B4" s="23">
        <v>11</v>
      </c>
      <c r="E4" s="94"/>
    </row>
    <row r="5" spans="1:5" ht="30" customHeight="1" x14ac:dyDescent="0.25">
      <c r="A5" s="7" t="s">
        <v>71</v>
      </c>
      <c r="B5" s="24" t="s">
        <v>166</v>
      </c>
    </row>
    <row r="6" spans="1:5" ht="30" customHeight="1" x14ac:dyDescent="0.25">
      <c r="A6" s="7" t="s">
        <v>6</v>
      </c>
      <c r="B6" s="24" t="s">
        <v>166</v>
      </c>
    </row>
    <row r="7" spans="1:5" ht="30" customHeight="1" x14ac:dyDescent="0.25">
      <c r="A7" s="7" t="s">
        <v>69</v>
      </c>
      <c r="B7" s="24" t="s">
        <v>175</v>
      </c>
    </row>
    <row r="8" spans="1:5" ht="30" customHeight="1" x14ac:dyDescent="0.25">
      <c r="A8" s="7" t="s">
        <v>7</v>
      </c>
      <c r="B8" s="24" t="s">
        <v>167</v>
      </c>
    </row>
    <row r="9" spans="1:5" ht="30" customHeight="1" x14ac:dyDescent="0.25">
      <c r="A9" s="7" t="s">
        <v>8</v>
      </c>
      <c r="B9" s="24"/>
    </row>
    <row r="10" spans="1:5" ht="30" customHeight="1" x14ac:dyDescent="0.25">
      <c r="A10" s="7" t="s">
        <v>9</v>
      </c>
      <c r="B10" s="24" t="s">
        <v>168</v>
      </c>
    </row>
    <row r="11" spans="1:5" ht="30" customHeight="1" x14ac:dyDescent="0.25">
      <c r="A11" s="7"/>
      <c r="B11" s="17"/>
    </row>
    <row r="12" spans="1:5" ht="30" customHeight="1" x14ac:dyDescent="0.25">
      <c r="A12" s="7"/>
      <c r="B12" s="17"/>
    </row>
  </sheetData>
  <sheetProtection sheet="1" selectLockedCells="1"/>
  <protectedRanges>
    <protectedRange sqref="E4" name="CompanyLocationNoteLock"/>
    <protectedRange sqref="B2:B10" name="CompanyLocaitonLock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4</xdr:col>
                <xdr:colOff>38100</xdr:colOff>
                <xdr:row>4</xdr:row>
                <xdr:rowOff>85725</xdr:rowOff>
              </from>
              <to>
                <xdr:col>5</xdr:col>
                <xdr:colOff>38100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4</xdr:col>
                <xdr:colOff>38100</xdr:colOff>
                <xdr:row>2</xdr:row>
                <xdr:rowOff>19050</xdr:rowOff>
              </from>
              <to>
                <xdr:col>5</xdr:col>
                <xdr:colOff>38100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>
        <v>65</v>
      </c>
    </row>
    <row r="5" spans="1:8" ht="30" customHeight="1" x14ac:dyDescent="0.25">
      <c r="A5" s="7" t="s">
        <v>11</v>
      </c>
      <c r="B5" s="24" t="s">
        <v>172</v>
      </c>
    </row>
    <row r="6" spans="1:8" ht="30" customHeight="1" x14ac:dyDescent="0.25">
      <c r="A6" s="7" t="s">
        <v>12</v>
      </c>
      <c r="B6" s="24" t="s">
        <v>173</v>
      </c>
    </row>
    <row r="7" spans="1:8" ht="30" customHeight="1" x14ac:dyDescent="0.25">
      <c r="A7" s="7" t="s">
        <v>6</v>
      </c>
      <c r="B7" s="24" t="s">
        <v>174</v>
      </c>
    </row>
    <row r="8" spans="1:8" ht="30" customHeight="1" x14ac:dyDescent="0.25">
      <c r="A8" s="7" t="s">
        <v>69</v>
      </c>
      <c r="B8" s="24" t="s">
        <v>175</v>
      </c>
    </row>
    <row r="9" spans="1:8" ht="30" customHeight="1" x14ac:dyDescent="0.25">
      <c r="A9" s="7" t="s">
        <v>7</v>
      </c>
      <c r="B9" s="24" t="s">
        <v>176</v>
      </c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 t="s">
        <v>177</v>
      </c>
    </row>
    <row r="12" spans="1:8" ht="30" customHeight="1" x14ac:dyDescent="0.25">
      <c r="A12" s="7" t="s">
        <v>87</v>
      </c>
      <c r="B12" s="29" t="s">
        <v>178</v>
      </c>
    </row>
    <row r="13" spans="1:8" ht="30" customHeight="1" x14ac:dyDescent="0.25">
      <c r="A13" s="7" t="s">
        <v>88</v>
      </c>
      <c r="B13" s="24" t="s">
        <v>179</v>
      </c>
    </row>
    <row r="14" spans="1:8" ht="30" customHeight="1" x14ac:dyDescent="0.25">
      <c r="A14" s="7" t="s">
        <v>68</v>
      </c>
      <c r="B14" s="24"/>
    </row>
  </sheetData>
  <sheetProtection selectLockedCells="1"/>
  <protectedRanges>
    <protectedRange sqref="E3" name="Range3"/>
    <protectedRange sqref="B5:B9" name="Range1"/>
    <protectedRange sqref="B11:B14" name="Range2"/>
  </protectedRanges>
  <dataConsolidate/>
  <dataValidations disablePrompts="1"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4</xdr:col>
                <xdr:colOff>200025</xdr:colOff>
                <xdr:row>3</xdr:row>
                <xdr:rowOff>66675</xdr:rowOff>
              </from>
              <to>
                <xdr:col>4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4</xdr:col>
                <xdr:colOff>200025</xdr:colOff>
                <xdr:row>1</xdr:row>
                <xdr:rowOff>28575</xdr:rowOff>
              </from>
              <to>
                <xdr:col>4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tabSelected="1" workbookViewId="0">
      <selection activeCell="E3" sqref="E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20.140625" customWidth="1"/>
  </cols>
  <sheetData>
    <row r="1" spans="1:2" ht="30" customHeight="1" x14ac:dyDescent="0.25">
      <c r="A1" t="s">
        <v>171</v>
      </c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4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47625</xdr:rowOff>
              </from>
              <to>
                <xdr:col>5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2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2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109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110</v>
      </c>
      <c r="C30" s="2"/>
      <c r="D30" s="46"/>
      <c r="E30" s="45"/>
      <c r="F30" s="45"/>
      <c r="G30" s="45"/>
    </row>
    <row r="31" spans="2:9" x14ac:dyDescent="0.25">
      <c r="B31" s="6" t="s">
        <v>111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25">
      <c r="B34" s="47"/>
      <c r="C34" s="2" t="s">
        <v>115</v>
      </c>
      <c r="D34" s="48"/>
      <c r="E34" s="48"/>
      <c r="F34" s="44"/>
      <c r="G34" s="46"/>
    </row>
    <row r="35" spans="2:8" x14ac:dyDescent="0.25">
      <c r="B35" s="2"/>
      <c r="C35" s="2" t="s">
        <v>116</v>
      </c>
      <c r="D35" s="48"/>
      <c r="E35" s="48"/>
      <c r="F35" s="44"/>
      <c r="G35" s="46"/>
    </row>
    <row r="36" spans="2:8" x14ac:dyDescent="0.25">
      <c r="B36" s="2"/>
      <c r="C36" s="2" t="s">
        <v>117</v>
      </c>
      <c r="D36" s="48"/>
      <c r="E36" s="48"/>
      <c r="F36" s="44"/>
      <c r="G36" s="46"/>
    </row>
    <row r="37" spans="2:8" x14ac:dyDescent="0.25">
      <c r="B37" s="2"/>
      <c r="C37" s="2" t="s">
        <v>118</v>
      </c>
      <c r="D37" s="48"/>
      <c r="E37" s="48"/>
      <c r="F37" s="44"/>
      <c r="G37" s="46"/>
    </row>
    <row r="38" spans="2:8" x14ac:dyDescent="0.25">
      <c r="B38" s="2"/>
      <c r="C38" s="2" t="s">
        <v>119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9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123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126</v>
      </c>
      <c r="C48" s="2"/>
      <c r="D48" s="47"/>
      <c r="E48" s="47"/>
      <c r="F48" s="2"/>
    </row>
    <row r="49" spans="2:9" x14ac:dyDescent="0.25">
      <c r="B49" s="2"/>
      <c r="C49" s="2" t="s">
        <v>134</v>
      </c>
      <c r="D49" s="47"/>
      <c r="E49" s="47"/>
      <c r="F49" s="2"/>
    </row>
    <row r="50" spans="2:9" x14ac:dyDescent="0.25">
      <c r="B50" s="2"/>
      <c r="C50" s="2" t="s">
        <v>125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127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129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130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133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131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81"/>
    </row>
    <row r="10" spans="2:9" x14ac:dyDescent="0.25">
      <c r="B10" s="7" t="s">
        <v>47</v>
      </c>
      <c r="C10" s="81"/>
    </row>
    <row r="11" spans="2:9" x14ac:dyDescent="0.2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2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2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2">
        <f>IF(H13&gt;MaxHertz,"60",H13)</f>
        <v>0</v>
      </c>
      <c r="I14" t="s">
        <v>162</v>
      </c>
    </row>
    <row r="15" spans="2:9" x14ac:dyDescent="0.2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25">
      <c r="B16" s="57"/>
      <c r="C16" s="57"/>
      <c r="D16" s="57"/>
      <c r="E16" s="57"/>
      <c r="F16" s="57"/>
    </row>
    <row r="17" spans="2:9" x14ac:dyDescent="0.25">
      <c r="B17" s="58" t="s">
        <v>137</v>
      </c>
      <c r="D17" s="41"/>
      <c r="E17" t="s">
        <v>138</v>
      </c>
    </row>
    <row r="18" spans="2:9" x14ac:dyDescent="0.25">
      <c r="B18" s="58" t="s">
        <v>139</v>
      </c>
      <c r="D18" s="41"/>
      <c r="E18" t="s">
        <v>140</v>
      </c>
    </row>
    <row r="19" spans="2:9" x14ac:dyDescent="0.25">
      <c r="B19" s="58" t="s">
        <v>141</v>
      </c>
      <c r="D19" s="48"/>
    </row>
    <row r="20" spans="2:9" x14ac:dyDescent="0.2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2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2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2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2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2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2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2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2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2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2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2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2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25">
      <c r="B33" s="57"/>
      <c r="D33" s="57"/>
      <c r="E33" s="57"/>
      <c r="F33" s="57"/>
      <c r="G33" s="73" t="s">
        <v>154</v>
      </c>
    </row>
    <row r="34" spans="2:9" x14ac:dyDescent="0.25">
      <c r="C34" s="70"/>
      <c r="G34" s="73" t="s">
        <v>155</v>
      </c>
      <c r="H34" s="74"/>
    </row>
    <row r="35" spans="2:9" x14ac:dyDescent="0.25">
      <c r="B35" s="71"/>
      <c r="C35" s="71"/>
      <c r="D35" s="71"/>
      <c r="E35" s="71"/>
      <c r="F35" s="71"/>
      <c r="G35" s="73" t="s">
        <v>156</v>
      </c>
      <c r="H35" s="74"/>
    </row>
    <row r="36" spans="2:9" x14ac:dyDescent="0.25">
      <c r="B36" s="72"/>
      <c r="C36" s="72"/>
      <c r="D36" s="72"/>
      <c r="E36" s="72"/>
      <c r="F36" s="72"/>
      <c r="G36" s="73" t="s">
        <v>157</v>
      </c>
      <c r="H36" s="41"/>
    </row>
    <row r="37" spans="2:9" x14ac:dyDescent="0.25">
      <c r="B37" s="72"/>
      <c r="C37" s="72"/>
      <c r="D37" s="72"/>
      <c r="E37" s="72"/>
      <c r="F37" s="72"/>
      <c r="I37" t="s">
        <v>18</v>
      </c>
    </row>
    <row r="39" spans="2:9" x14ac:dyDescent="0.25">
      <c r="B39" s="58" t="s">
        <v>136</v>
      </c>
      <c r="D39" s="55" t="str">
        <f>B8</f>
        <v>DPF ID</v>
      </c>
    </row>
    <row r="41" spans="2:9" x14ac:dyDescent="0.25">
      <c r="B41" s="58" t="s">
        <v>137</v>
      </c>
      <c r="D41" s="41"/>
      <c r="E41" t="s">
        <v>138</v>
      </c>
    </row>
    <row r="42" spans="2:9" x14ac:dyDescent="0.25">
      <c r="B42" s="58" t="s">
        <v>139</v>
      </c>
      <c r="D42" s="41"/>
      <c r="E42" t="s">
        <v>140</v>
      </c>
      <c r="I42" s="70"/>
    </row>
    <row r="43" spans="2:9" x14ac:dyDescent="0.25">
      <c r="B43" s="58" t="s">
        <v>141</v>
      </c>
      <c r="D43" s="48"/>
    </row>
    <row r="44" spans="2:9" x14ac:dyDescent="0.2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2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2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2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2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2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2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2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2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2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2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2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2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25">
      <c r="G57" s="73" t="s">
        <v>154</v>
      </c>
    </row>
    <row r="58" spans="2:9" x14ac:dyDescent="0.25">
      <c r="B58" s="76"/>
      <c r="C58" s="76"/>
      <c r="D58" s="76"/>
      <c r="G58" s="73" t="s">
        <v>155</v>
      </c>
      <c r="H58" s="74"/>
    </row>
    <row r="59" spans="2:9" x14ac:dyDescent="0.25">
      <c r="B59" s="2"/>
      <c r="C59" s="76"/>
      <c r="D59" s="76"/>
      <c r="E59" s="75"/>
      <c r="F59" s="75"/>
      <c r="G59" s="73" t="s">
        <v>156</v>
      </c>
      <c r="H59" s="74"/>
    </row>
    <row r="60" spans="2:9" x14ac:dyDescent="0.25">
      <c r="B60" s="77"/>
      <c r="C60" s="76"/>
      <c r="D60" s="76"/>
      <c r="E60" s="75"/>
      <c r="F60" s="75"/>
      <c r="G60" s="73" t="s">
        <v>157</v>
      </c>
      <c r="H60" s="74"/>
    </row>
    <row r="61" spans="2:9" x14ac:dyDescent="0.25">
      <c r="B61" s="77"/>
      <c r="C61" s="76"/>
      <c r="D61" s="76"/>
      <c r="E61" s="76"/>
      <c r="F61" s="76"/>
    </row>
    <row r="62" spans="2:9" x14ac:dyDescent="0.25">
      <c r="B62" s="2"/>
      <c r="C62" s="76"/>
      <c r="D62" s="76"/>
      <c r="E62" s="76"/>
      <c r="F62" s="76"/>
    </row>
    <row r="64" spans="2:9" x14ac:dyDescent="0.25">
      <c r="B64" s="58" t="s">
        <v>136</v>
      </c>
      <c r="D64" s="55" t="str">
        <f>B9</f>
        <v>Substrate Diameter(inch)</v>
      </c>
    </row>
    <row r="66" spans="2:9" x14ac:dyDescent="0.25">
      <c r="B66" s="58" t="s">
        <v>137</v>
      </c>
      <c r="D66" s="41"/>
      <c r="E66" t="s">
        <v>138</v>
      </c>
      <c r="H66" s="57"/>
      <c r="I66" s="57"/>
    </row>
    <row r="67" spans="2:9" x14ac:dyDescent="0.2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25">
      <c r="B68" s="58" t="s">
        <v>141</v>
      </c>
      <c r="D68" s="48"/>
      <c r="H68" s="78"/>
      <c r="I68" s="78"/>
    </row>
    <row r="69" spans="2:9" x14ac:dyDescent="0.2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2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2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2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2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2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2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2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2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2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2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2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2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25">
      <c r="G82" s="73" t="s">
        <v>154</v>
      </c>
    </row>
    <row r="83" spans="2:9" x14ac:dyDescent="0.25">
      <c r="F83" s="79"/>
      <c r="G83" s="73" t="s">
        <v>155</v>
      </c>
      <c r="H83" s="74"/>
    </row>
    <row r="84" spans="2:9" x14ac:dyDescent="0.25">
      <c r="B84" s="77"/>
      <c r="C84" s="75"/>
      <c r="D84" s="75"/>
      <c r="F84" s="69"/>
      <c r="G84" s="73" t="s">
        <v>156</v>
      </c>
      <c r="H84" s="74"/>
    </row>
    <row r="85" spans="2:9" x14ac:dyDescent="0.25">
      <c r="B85" s="77"/>
      <c r="C85" s="75"/>
      <c r="D85" s="75"/>
      <c r="E85" s="70"/>
      <c r="F85" s="69"/>
      <c r="G85" s="73" t="s">
        <v>157</v>
      </c>
      <c r="H85" s="41"/>
    </row>
    <row r="86" spans="2:9" x14ac:dyDescent="0.2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Vehicle!Note</vt:lpstr>
      <vt:lpstr>NoteCompany</vt:lpstr>
      <vt:lpstr>NoteCompanyLocation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2019-01-29T13:12:21Z</dcterms:modified>
</cp:coreProperties>
</file>