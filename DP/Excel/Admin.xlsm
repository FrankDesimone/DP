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89AABC9-B170-4900-BC98-7C43AE57B9BF}" xr6:coauthVersionLast="40" xr6:coauthVersionMax="40" xr10:uidLastSave="{00000000-0000-0000-0000-000000000000}"/>
  <bookViews>
    <workbookView xWindow="19080" yWindow="-120" windowWidth="19440" windowHeight="1515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Quality!$D$17</definedName>
    <definedName name="company" localSheetId="1">Company!$C$3:$C$9</definedName>
    <definedName name="company" localSheetId="8">DPF!$F$9:$F$18</definedName>
    <definedName name="company" localSheetId="9">OutData!#REF!</definedName>
    <definedName name="companylocation" localSheetId="2">CompanyLocation!$B$4:$B$10</definedName>
    <definedName name="companylocation" localSheetId="8">DPF!$F$33:$F$36</definedName>
    <definedName name="companylocation" localSheetId="9">OutData!#REF!</definedName>
    <definedName name="contacts" localSheetId="3">Contacts!$B$4:$B$13</definedName>
    <definedName name="contacts" localSheetId="8">DPF!$F$21:$F$30</definedName>
    <definedName name="contacts" localSheetId="9">OutData!#REF!</definedName>
    <definedName name="data" localSheetId="9">OutData!#REF!</definedName>
    <definedName name="dpf" localSheetId="8">DPF!$F$5:$F$95</definedName>
    <definedName name="dpf" localSheetId="9">OutData!#REF!</definedName>
    <definedName name="dpf" localSheetId="12">QAProcess!$C$5:$C$13</definedName>
    <definedName name="dpf" localSheetId="11">Quality!$C$5:$C$8</definedName>
    <definedName name="ecd" localSheetId="8">DPF!$F$57:$F$68</definedName>
    <definedName name="ecd" localSheetId="7">ECD!$B$4:$B$14</definedName>
    <definedName name="ecd" localSheetId="9">OutData!#REF!</definedName>
    <definedName name="ecd" localSheetId="12">QAProcess!$C$8:$C$10</definedName>
    <definedName name="ecd" localSheetId="11">Quality!$C$5:$C$7</definedName>
    <definedName name="engine" localSheetId="8">DPF!$F$51:$F$54</definedName>
    <definedName name="engine" localSheetId="5">Engine!$B$5:$B$8</definedName>
    <definedName name="engine" localSheetId="9">OutData!#REF!</definedName>
    <definedName name="InletCells" localSheetId="11">Quality!$D$20:$F$24</definedName>
    <definedName name="manufacturer" localSheetId="6">Manufacturer!$B$3:$B$4</definedName>
    <definedName name="Mass0" localSheetId="11">Quality!$E$12</definedName>
    <definedName name="Mass1" localSheetId="11">Quality!$F$12</definedName>
    <definedName name="Mass2" localSheetId="11">Quality!$G$12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OutData!#REF!</definedName>
    <definedName name="vehicle" localSheetId="4">Vehicle!$B$5:$B$9</definedName>
    <definedName name="Volume" localSheetId="12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<sst xmlns="http://schemas.openxmlformats.org/spreadsheetml/2006/main" count="482" uniqueCount="274">
  <si>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</si>
  <si>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</si>
  <si>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</si>
  <si>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</si>
  <si>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</si>
  <si>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</si>
  <si>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</si>
  <si>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</si>
  <si>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</si>
  <si>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</si>
  <si>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</si>
  <si>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</si>
  <si>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</si>
  <si>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</si>
  <si>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</si>
  <si>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</si>
  <si>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</si>
  <si>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</si>
  <si>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</si>
  <si>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</si>
  <si>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</si>
  <si>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</si>
  <si>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</si>
  <si>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</si>
  <si>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</si>
  <si>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</si>
  <si>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</si>
  <si>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</si>
  <si>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</si>
  <si>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</si>
  <si>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</si>
  <si>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</si>
  <si>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</si>
  <si>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</si>
  <si>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</si>
  <si>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</si>
  <si>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</si>
  <si>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</si>
  <si>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</si>
  <si>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</si>
  <si>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</si>
  <si>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</si>
  <si>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</si>
  <si>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</si>
  <si>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</si>
  <si>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</si>
  <si>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</si>
  <si>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</si>
  <si>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</si>
  <si>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</si>
  <si>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</si>
  <si>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</si>
  <si>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</si>
  <si>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</si>
  <si>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</si>
  <si>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</si>
  <si>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</si>
  <si>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</si>
  <si>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</si>
  <si>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</si>
  <si>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</si>
  <si>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</si>
  <si>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</si>
  <si>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</si>
  <si>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</si>
  <si>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</si>
  <si>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</si>
  <si>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</si>
  <si>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</si>
  <si>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</si>
  <si>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</si>
  <si>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</si>
  <si>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</si>
  <si>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</si>
  <si>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</si>
  <si>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</si>
  <si>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</si>
  <si>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</si>
  <si>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</si>
  <si>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</si>
  <si>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</si>
  <si>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</si>
  <si>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</si>
  <si>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</si>
  <si>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</si>
  <si>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</si>
  <si>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</si>
  <si>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</si>
  <si>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</si>
  <si>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</si>
  <si>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</si>
  <si>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</si>
  <si>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</si>
  <si>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</si>
  <si>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</si>
  <si>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</si>
  <si>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</si>
  <si>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</si>
  <si>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</si>
  <si>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</si>
  <si>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</si>
  <si>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</si>
  <si>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</si>
  <si>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</si>
  <si>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</si>
  <si>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</si>
  <si>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</si>
  <si>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</si>
  <si>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</si>
  <si>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</si>
  <si>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</si>
  <si>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</si>
  <si>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</si>
  <si>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</si>
  <si>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</si>
  <si>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</si>
  <si>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</si>
  <si>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</si>
  <si>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</si>
  <si>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</si>
  <si>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</si>
  <si>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</si>
  <si>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</si>
  <si>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</si>
  <si>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</si>
  <si>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</si>
  <si>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</si>
  <si>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</si>
  <si>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</si>
  <si>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</si>
  <si>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</si>
  <si>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</si>
  <si>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</si>
  <si>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</si>
  <si>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</si>
  <si>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</si>
  <si>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</si>
  <si>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</si>
  <si>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</si>
  <si>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</si>
  <si>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</si>
  <si>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</si>
  <si>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</si>
  <si>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</si>
  <si>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</si>
  <si>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</si>
  <si>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</si>
  <si>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</si>
  <si>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</si>
  <si>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</si>
  <si>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</si>
  <si>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</si>
  <si>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</si>
  <si>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</si>
  <si>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</si>
  <si>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</si>
  <si>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</si>
  <si>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</si>
  <si>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</si>
  <si>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</si>
  <si>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</si>
  <si>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</si>
  <si>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</si>
  <si>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</si>
  <si>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</si>
  <si>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</si>
  <si>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</si>
  <si>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</si>
  <si>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</si>
  <si>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</si>
  <si>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</si>
  <si>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</si>
  <si>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</si>
  <si>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</si>
  <si>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</si>
  <si>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</si>
  <si>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</si>
  <si>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</si>
  <si>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</si>
  <si>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</si>
  <si>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</si>
  <si>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</si>
  <si>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</si>
  <si>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</si>
  <si>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</si>
  <si>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</si>
  <si>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</si>
  <si>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</si>
  <si>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</si>
  <si>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</si>
  <si>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</si>
  <si>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</si>
  <si>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</si>
  <si>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</si>
  <si>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</si>
  <si>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</si>
  <si>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</si>
  <si>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</si>
  <si>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</si>
  <si>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</si>
  <si>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</si>
  <si>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</si>
  <si>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</si>
  <si>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</si>
  <si>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</si>
  <si>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</si>
  <si>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</si>
  <si>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</si>
  <si>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</si>
  <si>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</si>
  <si>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</si>
  <si>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</si>
  <si>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</si>
  <si>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</si>
  <si>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</si>
  <si>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</si>
  <si>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</si>
  <si>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</si>
  <si>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</si>
  <si>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</si>
  <si>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</si>
  <si>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333</t>
  </si>
  <si>
    <t>122</t>
  </si>
  <si>
    <t>444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</si>
  <si>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</si>
  <si>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</si>
  <si>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</si>
  <si>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</si>
  <si>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</si>
  <si>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</si>
  <si>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</si>
  <si>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</si>
  <si>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</si>
  <si>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</si>
  <si>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</si>
  <si>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</si>
  <si>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</si>
  <si>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</si>
  <si>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</si>
  <si>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</si>
  <si>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</si>
  <si>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</si>
  <si>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</si>
  <si>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</si>
  <si>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</si>
  <si>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</si>
  <si>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</si>
  <si>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</si>
  <si>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</si>
  <si>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</si>
  <si>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</si>
  <si>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</si>
  <si>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</si>
  <si>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</si>
  <si>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</si>
  <si>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</si>
  <si>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</si>
  <si>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</si>
  <si>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</si>
  <si>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</si>
  <si>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</si>
  <si>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</si>
  <si>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</si>
  <si>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</si>
  <si>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</si>
  <si>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</si>
  <si>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</si>
  <si>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</si>
  <si>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</si>
  <si>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</si>
  <si>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</si>
  <si>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</si>
  <si>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Report Generated: C:\Clients\GitHub\DP\Excel\Report2.xlsm</t>
  </si>
  <si>
    <t>Serial # 123 / part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</si>
</sst>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28575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161925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142875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1</xdr:col>
          <xdr:colOff>3086100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657225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1</xdr:col>
          <xdr:colOff>1543050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657225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9525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43</xdr:row>
          <xdr:rowOff>9525</xdr:rowOff>
        </xdr:from>
        <xdr:to>
          <xdr:col>3</xdr:col>
          <xdr:colOff>361950</xdr:colOff>
          <xdr:row>43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13</xdr:row>
          <xdr:rowOff>57150</xdr:rowOff>
        </xdr:from>
        <xdr:to>
          <xdr:col>3</xdr:col>
          <xdr:colOff>333375</xdr:colOff>
          <xdr:row>14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14</xdr:row>
          <xdr:rowOff>161925</xdr:rowOff>
        </xdr:from>
        <xdr:to>
          <xdr:col>3</xdr:col>
          <xdr:colOff>333375</xdr:colOff>
          <xdr:row>15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45</xdr:row>
          <xdr:rowOff>38100</xdr:rowOff>
        </xdr:from>
        <xdr:to>
          <xdr:col>3</xdr:col>
          <xdr:colOff>352425</xdr:colOff>
          <xdr:row>46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27</xdr:row>
          <xdr:rowOff>161925</xdr:rowOff>
        </xdr:from>
        <xdr:to>
          <xdr:col>6</xdr:col>
          <xdr:colOff>561975</xdr:colOff>
          <xdr:row>29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29</xdr:row>
          <xdr:rowOff>161925</xdr:rowOff>
        </xdr:from>
        <xdr:to>
          <xdr:col>6</xdr:col>
          <xdr:colOff>561975</xdr:colOff>
          <xdr:row>31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9525</xdr:rowOff>
        </xdr:from>
        <xdr:to>
          <xdr:col>6</xdr:col>
          <xdr:colOff>542925</xdr:colOff>
          <xdr:row>32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6</xdr:col>
          <xdr:colOff>542925</xdr:colOff>
          <xdr:row>35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0</xdr:rowOff>
        </xdr:from>
        <xdr:to>
          <xdr:col>6</xdr:col>
          <xdr:colOff>581025</xdr:colOff>
          <xdr:row>39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0</xdr:rowOff>
        </xdr:from>
        <xdr:to>
          <xdr:col>6</xdr:col>
          <xdr:colOff>581025</xdr:colOff>
          <xdr:row>41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238125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552450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2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2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2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2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2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2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2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2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2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2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2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0"/>
    </row>
    <row r="4" spans="1:6" ht="30" customHeight="1" x14ac:dyDescent="0.25">
      <c r="B4" s="20" t="s">
        <v>93</v>
      </c>
      <c r="C4" s="23"/>
      <c r="F4" s="91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1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1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11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91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 t="s">
        <v>224</v>
      </c>
    </row>
    <row r="7" spans="1:4" ht="30" customHeight="1" x14ac:dyDescent="0.25">
      <c r="A7" s="7" t="s">
        <v>28</v>
      </c>
      <c r="B7" s="23" t="s">
        <v>225</v>
      </c>
    </row>
    <row r="8" spans="1:4" ht="30" customHeight="1" x14ac:dyDescent="0.25">
      <c r="A8" s="7" t="s">
        <v>29</v>
      </c>
      <c r="B8" s="92">
        <v>2017</v>
      </c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BW7"/>
  <sheetViews>
    <sheetView workbookViewId="0">
      <selection sqref="A1:XFD1048576"/>
    </sheetView>
  </sheetViews>
  <sheetFormatPr defaultRowHeight="15" x14ac:dyDescent="0.25"/>
  <sheetData>
    <row r="1" spans="1:75" x14ac:dyDescent="0.2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8</v>
      </c>
      <c r="X1" t="s">
        <v>168</v>
      </c>
      <c r="Y1" t="s">
        <v>68</v>
      </c>
      <c r="Z1" t="s">
        <v>189</v>
      </c>
      <c r="AA1" t="s">
        <v>70</v>
      </c>
      <c r="AB1" t="s">
        <v>190</v>
      </c>
      <c r="AC1" t="s">
        <v>69</v>
      </c>
      <c r="AD1" t="s">
        <v>7</v>
      </c>
      <c r="AE1" t="s">
        <v>9</v>
      </c>
      <c r="AF1" t="s">
        <v>188</v>
      </c>
      <c r="AG1" t="s">
        <v>8</v>
      </c>
      <c r="AH1" t="s">
        <v>191</v>
      </c>
      <c r="AI1" t="s">
        <v>182</v>
      </c>
      <c r="AJ1" t="s">
        <v>192</v>
      </c>
      <c r="AK1" t="s">
        <v>193</v>
      </c>
      <c r="AL1" t="s">
        <v>194</v>
      </c>
      <c r="AM1" t="s">
        <v>42</v>
      </c>
      <c r="AN1" t="s">
        <v>28</v>
      </c>
      <c r="AO1" t="s">
        <v>29</v>
      </c>
      <c r="AP1" t="s">
        <v>195</v>
      </c>
      <c r="AQ1" t="s">
        <v>182</v>
      </c>
      <c r="AR1" t="s">
        <v>194</v>
      </c>
      <c r="AS1" t="s">
        <v>42</v>
      </c>
      <c r="AT1" t="s">
        <v>192</v>
      </c>
      <c r="AU1" t="s">
        <v>28</v>
      </c>
      <c r="AV1" t="s">
        <v>29</v>
      </c>
      <c r="AW1" t="s">
        <v>196</v>
      </c>
      <c r="AX1" t="s">
        <v>182</v>
      </c>
      <c r="AY1" t="s">
        <v>197</v>
      </c>
      <c r="AZ1" t="s">
        <v>198</v>
      </c>
      <c r="BA1" t="s">
        <v>199</v>
      </c>
      <c r="BB1" t="s">
        <v>42</v>
      </c>
      <c r="BC1" t="s">
        <v>200</v>
      </c>
      <c r="BD1" t="s">
        <v>201</v>
      </c>
      <c r="BE1" t="s">
        <v>202</v>
      </c>
      <c r="BF1" t="s">
        <v>203</v>
      </c>
      <c r="BG1" t="s">
        <v>192</v>
      </c>
      <c r="BH1" t="s">
        <v>204</v>
      </c>
      <c r="BI1" t="s">
        <v>205</v>
      </c>
      <c r="BJ1" t="s">
        <v>206</v>
      </c>
      <c r="BK1" t="s">
        <v>207</v>
      </c>
      <c r="BL1" t="s">
        <v>208</v>
      </c>
      <c r="BM1" t="s">
        <v>226</v>
      </c>
      <c r="BN1" t="s">
        <v>227</v>
      </c>
      <c r="BO1" t="s">
        <v>228</v>
      </c>
      <c r="BP1" t="s">
        <v>229</v>
      </c>
      <c r="BQ1" t="s">
        <v>230</v>
      </c>
      <c r="BR1" t="s">
        <v>231</v>
      </c>
      <c r="BS1" t="s">
        <v>232</v>
      </c>
      <c r="BT1" t="s">
        <v>233</v>
      </c>
      <c r="BU1" t="s">
        <v>234</v>
      </c>
      <c r="BV1" t="s">
        <v>235</v>
      </c>
      <c r="BW1" t="s">
        <v>236</v>
      </c>
    </row>
    <row r="2" spans="1:75" x14ac:dyDescent="0.25">
      <c r="A2">
        <v>2</v>
      </c>
      <c r="B2">
        <v>79</v>
      </c>
      <c r="C2">
        <v>1</v>
      </c>
      <c r="D2" t="b">
        <v>1</v>
      </c>
      <c r="E2" t="b">
        <v>1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>
        <v>43433.019609722222</v>
      </c>
      <c r="P2">
        <v>8</v>
      </c>
      <c r="Q2" t="s">
        <v>214</v>
      </c>
      <c r="R2" t="s">
        <v>215</v>
      </c>
      <c r="T2" t="s">
        <v>216</v>
      </c>
      <c r="U2" t="s">
        <v>217</v>
      </c>
      <c r="V2">
        <v>2</v>
      </c>
      <c r="W2" t="s">
        <v>209</v>
      </c>
      <c r="X2">
        <v>67</v>
      </c>
      <c r="Y2" t="b">
        <v>1</v>
      </c>
      <c r="Z2">
        <v>1</v>
      </c>
      <c r="AA2" t="s">
        <v>215</v>
      </c>
      <c r="AB2" t="s">
        <v>215</v>
      </c>
      <c r="AD2" t="s">
        <v>216</v>
      </c>
      <c r="AE2" t="s">
        <v>217</v>
      </c>
      <c r="AF2">
        <v>2</v>
      </c>
      <c r="AG2" t="s">
        <v>209</v>
      </c>
      <c r="AH2">
        <v>2</v>
      </c>
      <c r="AI2">
        <v>8</v>
      </c>
      <c r="AJ2" t="s">
        <v>218</v>
      </c>
      <c r="AK2" t="s">
        <v>210</v>
      </c>
      <c r="AL2">
        <v>4</v>
      </c>
      <c r="AM2" t="s">
        <v>219</v>
      </c>
      <c r="AN2" t="s">
        <v>220</v>
      </c>
      <c r="AO2">
        <v>2018</v>
      </c>
      <c r="AW2">
        <v>4</v>
      </c>
      <c r="AX2">
        <v>8</v>
      </c>
      <c r="AY2">
        <v>1</v>
      </c>
      <c r="AZ2" t="s">
        <v>211</v>
      </c>
      <c r="BA2">
        <v>1</v>
      </c>
      <c r="BB2" t="s">
        <v>212</v>
      </c>
      <c r="BC2">
        <v>1</v>
      </c>
      <c r="BD2" t="s">
        <v>213</v>
      </c>
      <c r="BE2">
        <v>0</v>
      </c>
      <c r="BF2" t="s">
        <v>221</v>
      </c>
      <c r="BG2" t="s">
        <v>222</v>
      </c>
      <c r="BH2" t="s">
        <v>223</v>
      </c>
      <c r="BI2">
        <v>12</v>
      </c>
      <c r="BJ2">
        <v>11</v>
      </c>
      <c r="BK2">
        <v>14</v>
      </c>
      <c r="BL2">
        <v>15</v>
      </c>
    </row>
    <row r="3" spans="1:75" x14ac:dyDescent="0.25">
      <c r="A3" t="s">
        <v>167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253</v>
      </c>
      <c r="S3" t="s">
        <v>254</v>
      </c>
      <c r="T3" t="s">
        <v>255</v>
      </c>
      <c r="U3" t="s">
        <v>256</v>
      </c>
      <c r="V3" t="s">
        <v>257</v>
      </c>
      <c r="W3" t="s">
        <v>258</v>
      </c>
      <c r="X3" t="s">
        <v>259</v>
      </c>
      <c r="Y3" t="s">
        <v>260</v>
      </c>
      <c r="Z3" t="s">
        <v>261</v>
      </c>
      <c r="AA3" t="s">
        <v>262</v>
      </c>
      <c r="AB3" t="s">
        <v>263</v>
      </c>
      <c r="AC3" t="s">
        <v>264</v>
      </c>
      <c r="AD3" t="s">
        <v>265</v>
      </c>
      <c r="AE3" t="s">
        <v>266</v>
      </c>
      <c r="AF3" t="s">
        <v>267</v>
      </c>
      <c r="AG3" t="s">
        <v>268</v>
      </c>
      <c r="AH3" t="s">
        <v>269</v>
      </c>
      <c r="AI3" t="s">
        <v>270</v>
      </c>
      <c r="AJ3" t="s">
        <v>271</v>
      </c>
    </row>
    <row r="5" spans="1:75" x14ac:dyDescent="0.25">
      <c r="A5" t="s">
        <v>167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  <c r="G5" t="s">
        <v>242</v>
      </c>
      <c r="H5" t="s">
        <v>243</v>
      </c>
      <c r="I5" t="s">
        <v>244</v>
      </c>
      <c r="J5" t="s">
        <v>245</v>
      </c>
      <c r="K5" t="s">
        <v>246</v>
      </c>
      <c r="L5" t="s">
        <v>247</v>
      </c>
      <c r="M5" t="s">
        <v>248</v>
      </c>
      <c r="N5" t="s">
        <v>249</v>
      </c>
      <c r="O5" t="s">
        <v>250</v>
      </c>
      <c r="P5" t="s">
        <v>251</v>
      </c>
      <c r="Q5" t="s">
        <v>252</v>
      </c>
      <c r="R5" t="s">
        <v>253</v>
      </c>
      <c r="S5" t="s">
        <v>254</v>
      </c>
      <c r="T5" t="s">
        <v>255</v>
      </c>
      <c r="U5" t="s">
        <v>256</v>
      </c>
      <c r="V5" t="s">
        <v>257</v>
      </c>
      <c r="W5" t="s">
        <v>258</v>
      </c>
      <c r="X5" t="s">
        <v>259</v>
      </c>
      <c r="Y5" t="s">
        <v>260</v>
      </c>
      <c r="Z5" t="s">
        <v>261</v>
      </c>
      <c r="AA5" t="s">
        <v>262</v>
      </c>
      <c r="AB5" t="s">
        <v>263</v>
      </c>
      <c r="AC5" t="s">
        <v>264</v>
      </c>
      <c r="AD5" t="s">
        <v>265</v>
      </c>
      <c r="AE5" t="s">
        <v>266</v>
      </c>
      <c r="AF5" t="s">
        <v>267</v>
      </c>
      <c r="AG5" t="s">
        <v>268</v>
      </c>
      <c r="AH5" t="s">
        <v>269</v>
      </c>
      <c r="AI5" t="s">
        <v>270</v>
      </c>
      <c r="AJ5" t="s">
        <v>271</v>
      </c>
    </row>
    <row r="7" spans="1:75" x14ac:dyDescent="0.25">
      <c r="A7" t="s">
        <v>167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  <c r="G7" t="s">
        <v>242</v>
      </c>
      <c r="H7" t="s">
        <v>243</v>
      </c>
      <c r="I7" t="s">
        <v>244</v>
      </c>
      <c r="J7" t="s">
        <v>245</v>
      </c>
      <c r="K7" t="s">
        <v>246</v>
      </c>
      <c r="L7" t="s">
        <v>247</v>
      </c>
      <c r="M7" t="s">
        <v>248</v>
      </c>
      <c r="N7" t="s">
        <v>249</v>
      </c>
      <c r="O7" t="s">
        <v>250</v>
      </c>
      <c r="P7" t="s">
        <v>251</v>
      </c>
      <c r="Q7" t="s">
        <v>252</v>
      </c>
      <c r="R7" t="s">
        <v>253</v>
      </c>
      <c r="S7" t="s">
        <v>254</v>
      </c>
      <c r="T7" t="s">
        <v>255</v>
      </c>
      <c r="U7" t="s">
        <v>256</v>
      </c>
      <c r="V7" t="s">
        <v>257</v>
      </c>
      <c r="W7" t="s">
        <v>258</v>
      </c>
      <c r="X7" t="s">
        <v>259</v>
      </c>
      <c r="Y7" t="s">
        <v>260</v>
      </c>
      <c r="Z7" t="s">
        <v>261</v>
      </c>
      <c r="AA7" t="s">
        <v>262</v>
      </c>
      <c r="AB7" t="s">
        <v>263</v>
      </c>
      <c r="AC7" t="s">
        <v>264</v>
      </c>
      <c r="AD7" t="s">
        <v>265</v>
      </c>
      <c r="AE7" t="s">
        <v>266</v>
      </c>
      <c r="AF7" t="s">
        <v>267</v>
      </c>
      <c r="AG7" t="s">
        <v>268</v>
      </c>
      <c r="AH7" t="s">
        <v>269</v>
      </c>
      <c r="AI7" t="s">
        <v>270</v>
      </c>
      <c r="AJ7" t="s">
        <v>271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D8" sqref="D8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272</v>
      </c>
    </row>
    <row r="2" spans="1:3" x14ac:dyDescent="0.25">
      <c r="B2" t="s">
        <v>165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4"/>
      <c r="E20" s="44"/>
      <c r="F20" s="2"/>
    </row>
    <row r="21" spans="2:8" x14ac:dyDescent="0.25">
      <c r="B21" s="2"/>
      <c r="C21" s="2"/>
      <c r="D21" s="44"/>
      <c r="E21" s="44"/>
      <c r="F21" s="2"/>
    </row>
    <row r="22" spans="2:8" x14ac:dyDescent="0.25">
      <c r="B22" s="47"/>
      <c r="C22" s="2"/>
      <c r="D22" s="44"/>
      <c r="E22" s="44"/>
      <c r="F22" s="2"/>
    </row>
    <row r="23" spans="2:8" x14ac:dyDescent="0.25">
      <c r="B23" s="2"/>
      <c r="C23" s="2"/>
      <c r="D23" s="44"/>
      <c r="E23" s="44"/>
      <c r="F23" s="2"/>
    </row>
    <row r="24" spans="2:8" x14ac:dyDescent="0.25">
      <c r="B24" s="2"/>
      <c r="C24" s="2"/>
      <c r="D24" s="44"/>
      <c r="E24" s="44"/>
      <c r="F24" s="2"/>
    </row>
    <row r="25" spans="2:8" x14ac:dyDescent="0.25">
      <c r="B25" s="2"/>
      <c r="C25" s="48"/>
      <c r="D25" s="44"/>
      <c r="E25" s="44"/>
      <c r="F25" s="2"/>
    </row>
    <row r="26" spans="2:8" x14ac:dyDescent="0.25">
      <c r="B26" s="2"/>
      <c r="C26" s="2"/>
      <c r="D26" s="44"/>
      <c r="E26" s="44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9"/>
      <c r="D28" s="2"/>
      <c r="E28" s="2"/>
      <c r="F28" s="2"/>
      <c r="G28" s="44"/>
    </row>
    <row r="29" spans="2:8" x14ac:dyDescent="0.25">
      <c r="B29" s="2"/>
      <c r="C29" s="49"/>
      <c r="D29" s="2"/>
      <c r="E29" s="2"/>
      <c r="F29" s="2"/>
      <c r="G29" s="44"/>
    </row>
    <row r="30" spans="2:8" x14ac:dyDescent="0.25">
      <c r="B30" s="2"/>
      <c r="C30" s="49"/>
      <c r="D30" s="8"/>
      <c r="E30" s="2"/>
      <c r="F30" s="2"/>
      <c r="G30" s="2"/>
      <c r="H30" s="44"/>
    </row>
    <row r="31" spans="2:8" x14ac:dyDescent="0.25">
      <c r="B31" s="2"/>
      <c r="C31" s="49"/>
      <c r="D31" s="8"/>
      <c r="E31" s="2"/>
      <c r="F31" s="2"/>
      <c r="G31" s="2"/>
      <c r="H31" s="44"/>
    </row>
    <row r="32" spans="2:8" x14ac:dyDescent="0.25">
      <c r="B32" s="2"/>
      <c r="C32" s="49"/>
      <c r="D32" s="2"/>
      <c r="E32" s="2"/>
      <c r="F32" s="2"/>
      <c r="G32" s="44"/>
    </row>
    <row r="33" spans="2:9" x14ac:dyDescent="0.25">
      <c r="B33" s="2"/>
      <c r="C33" s="49"/>
      <c r="D33" s="2"/>
      <c r="E33" s="2"/>
      <c r="F33" s="2"/>
      <c r="G33" s="44"/>
    </row>
    <row r="34" spans="2:9" x14ac:dyDescent="0.25">
      <c r="B34" s="2"/>
      <c r="C34" s="49"/>
      <c r="D34" s="2"/>
      <c r="E34" s="2"/>
      <c r="F34" s="2"/>
      <c r="G34" s="44"/>
    </row>
    <row r="35" spans="2:9" x14ac:dyDescent="0.2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51"/>
  <sheetViews>
    <sheetView tabSelected="1" workbookViewId="0">
      <selection activeCell="J22" sqref="J22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81</v>
      </c>
      <c r="C5" s="8" t="s">
        <v>273</v>
      </c>
    </row>
    <row r="6" spans="2:9" x14ac:dyDescent="0.25">
      <c r="B6" s="7" t="s">
        <v>45</v>
      </c>
      <c r="C6" s="8">
        <v>2</v>
      </c>
    </row>
    <row r="7" spans="2:9" x14ac:dyDescent="0.25">
      <c r="B7" s="7" t="s">
        <v>47</v>
      </c>
      <c r="C7" s="8">
        <v>4</v>
      </c>
    </row>
    <row r="8" spans="2:9" x14ac:dyDescent="0.25">
      <c r="B8" s="7"/>
      <c r="C8" s="8"/>
    </row>
    <row r="9" spans="2:9" x14ac:dyDescent="0.25">
      <c r="B9" s="2"/>
      <c r="C9" s="2"/>
    </row>
    <row r="10" spans="2:9" x14ac:dyDescent="0.25">
      <c r="B10" s="30"/>
      <c r="C10" s="30"/>
      <c r="D10" s="30"/>
      <c r="E10" s="31" t="s">
        <v>102</v>
      </c>
      <c r="F10" s="31" t="s">
        <v>103</v>
      </c>
      <c r="G10" s="8" t="s">
        <v>103</v>
      </c>
    </row>
    <row r="11" spans="2:9" x14ac:dyDescent="0.25">
      <c r="B11" s="33"/>
      <c r="C11" s="33"/>
      <c r="D11" s="33"/>
      <c r="E11" s="34" t="s">
        <v>104</v>
      </c>
      <c r="F11" s="34" t="s">
        <v>105</v>
      </c>
      <c r="G11" s="8" t="s">
        <v>106</v>
      </c>
    </row>
    <row r="12" spans="2:9" x14ac:dyDescent="0.25">
      <c r="B12" s="33" t="s">
        <v>107</v>
      </c>
      <c r="C12" s="2"/>
      <c r="D12" s="31" t="s">
        <v>108</v>
      </c>
      <c r="E12" s="36"/>
      <c r="F12" s="37"/>
      <c r="G12" s="38"/>
    </row>
    <row r="13" spans="2:9" x14ac:dyDescent="0.25">
      <c r="B13" s="6"/>
      <c r="C13" s="2"/>
      <c r="D13" s="41"/>
      <c r="E13" s="42"/>
      <c r="F13" s="42"/>
      <c r="G13" s="42"/>
    </row>
    <row r="14" spans="2:9" x14ac:dyDescent="0.25">
      <c r="B14" s="6" t="s">
        <v>109</v>
      </c>
      <c r="C14" s="2"/>
      <c r="D14" s="42"/>
      <c r="E14" s="42"/>
      <c r="F14" s="42"/>
      <c r="G14" s="42"/>
      <c r="H14" s="32"/>
      <c r="I14" s="32"/>
    </row>
    <row r="15" spans="2:9" x14ac:dyDescent="0.25">
      <c r="B15" s="6"/>
      <c r="C15" s="2"/>
      <c r="D15" s="42"/>
      <c r="E15" s="42"/>
      <c r="F15" s="42"/>
      <c r="G15" s="42"/>
      <c r="H15" s="35"/>
      <c r="I15" s="35"/>
    </row>
    <row r="16" spans="2:9" x14ac:dyDescent="0.25">
      <c r="B16" s="6" t="s">
        <v>110</v>
      </c>
      <c r="C16" s="2"/>
      <c r="D16" s="43"/>
      <c r="E16" s="42"/>
      <c r="F16" s="42"/>
      <c r="G16" s="42"/>
      <c r="H16" s="39"/>
      <c r="I16" s="40"/>
    </row>
    <row r="17" spans="2:9" x14ac:dyDescent="0.25">
      <c r="B17" s="6" t="s">
        <v>111</v>
      </c>
      <c r="C17" s="2"/>
      <c r="D17" s="41"/>
      <c r="E17" s="43"/>
      <c r="F17" s="43"/>
      <c r="G17" s="43"/>
      <c r="H17" s="42"/>
      <c r="I17" s="42"/>
    </row>
    <row r="18" spans="2:9" x14ac:dyDescent="0.25">
      <c r="B18" s="6"/>
      <c r="C18" s="2"/>
      <c r="D18" s="41"/>
      <c r="E18" s="43"/>
      <c r="F18" s="43"/>
      <c r="G18" s="43"/>
    </row>
    <row r="19" spans="2:9" x14ac:dyDescent="0.25">
      <c r="B19" s="44" t="s">
        <v>112</v>
      </c>
      <c r="C19" s="2"/>
      <c r="D19" s="41" t="s">
        <v>113</v>
      </c>
      <c r="E19" s="41" t="s">
        <v>114</v>
      </c>
      <c r="F19" s="43"/>
      <c r="G19" s="43"/>
    </row>
    <row r="20" spans="2:9" x14ac:dyDescent="0.25">
      <c r="B20" s="44"/>
      <c r="C20" s="2" t="s">
        <v>115</v>
      </c>
      <c r="D20" s="45"/>
      <c r="E20" s="45"/>
      <c r="F20" s="41"/>
      <c r="G20" s="43"/>
    </row>
    <row r="21" spans="2:9" x14ac:dyDescent="0.25">
      <c r="B21" s="2"/>
      <c r="C21" s="2" t="s">
        <v>116</v>
      </c>
      <c r="D21" s="45"/>
      <c r="E21" s="45"/>
      <c r="F21" s="41"/>
      <c r="G21" s="43"/>
    </row>
    <row r="22" spans="2:9" x14ac:dyDescent="0.25">
      <c r="B22" s="2"/>
      <c r="C22" s="2" t="s">
        <v>117</v>
      </c>
      <c r="D22" s="45"/>
      <c r="E22" s="45"/>
      <c r="F22" s="41"/>
      <c r="G22" s="43"/>
    </row>
    <row r="23" spans="2:9" x14ac:dyDescent="0.25">
      <c r="B23" s="2"/>
      <c r="C23" s="2" t="s">
        <v>118</v>
      </c>
      <c r="D23" s="45"/>
      <c r="E23" s="45"/>
      <c r="F23" s="41"/>
      <c r="G23" s="43"/>
    </row>
    <row r="24" spans="2:9" x14ac:dyDescent="0.25">
      <c r="B24" s="2"/>
      <c r="C24" s="2" t="s">
        <v>119</v>
      </c>
      <c r="D24" s="45"/>
      <c r="E24" s="45"/>
      <c r="F24" s="2"/>
      <c r="G24" s="43"/>
    </row>
    <row r="25" spans="2:9" x14ac:dyDescent="0.25">
      <c r="B25" s="2"/>
      <c r="C25" s="2"/>
      <c r="D25" s="46"/>
      <c r="E25" s="2"/>
      <c r="F25" s="2"/>
      <c r="G25" s="2"/>
    </row>
    <row r="26" spans="2:9" x14ac:dyDescent="0.25">
      <c r="B26" s="2" t="s">
        <v>120</v>
      </c>
      <c r="C26" s="2"/>
      <c r="D26" s="8"/>
      <c r="E26" s="2"/>
      <c r="F26" s="2"/>
      <c r="G26" s="2"/>
    </row>
    <row r="27" spans="2:9" x14ac:dyDescent="0.25">
      <c r="B27" s="8" t="s">
        <v>121</v>
      </c>
      <c r="C27" s="2"/>
      <c r="D27" s="8"/>
      <c r="E27" s="2"/>
      <c r="F27" s="2"/>
      <c r="G27" s="2"/>
    </row>
    <row r="28" spans="2:9" x14ac:dyDescent="0.25">
      <c r="B28" s="47" t="s">
        <v>122</v>
      </c>
      <c r="C28" s="2" t="s">
        <v>18</v>
      </c>
      <c r="D28" s="8" t="s">
        <v>18</v>
      </c>
      <c r="E28" s="44"/>
      <c r="F28" s="44"/>
      <c r="G28" s="2"/>
    </row>
    <row r="29" spans="2:9" x14ac:dyDescent="0.25">
      <c r="B29" s="2"/>
      <c r="C29" s="2" t="s">
        <v>123</v>
      </c>
      <c r="D29" s="44"/>
      <c r="E29" s="44"/>
      <c r="F29" s="2"/>
      <c r="G29" s="2"/>
      <c r="H29" s="2"/>
    </row>
    <row r="30" spans="2:9" x14ac:dyDescent="0.25">
      <c r="B30" s="2"/>
      <c r="C30" s="2"/>
      <c r="D30" s="44"/>
      <c r="E30" s="44"/>
      <c r="F30" s="2"/>
      <c r="H30" s="2"/>
    </row>
    <row r="31" spans="2:9" x14ac:dyDescent="0.25">
      <c r="B31" s="2"/>
      <c r="C31" s="2" t="s">
        <v>124</v>
      </c>
      <c r="D31" s="2"/>
      <c r="E31" s="2"/>
      <c r="F31" s="2"/>
      <c r="H31" s="8"/>
    </row>
    <row r="32" spans="2:9" x14ac:dyDescent="0.25">
      <c r="B32" s="2"/>
      <c r="C32" s="2" t="s">
        <v>125</v>
      </c>
      <c r="D32" s="44"/>
      <c r="E32" s="44"/>
      <c r="F32" s="2"/>
    </row>
    <row r="33" spans="2:8" x14ac:dyDescent="0.25">
      <c r="B33" s="2"/>
      <c r="C33" s="2"/>
      <c r="D33" s="44"/>
      <c r="E33" s="44"/>
      <c r="F33" s="2"/>
    </row>
    <row r="34" spans="2:8" x14ac:dyDescent="0.25">
      <c r="B34" s="47" t="s">
        <v>126</v>
      </c>
      <c r="C34" s="2"/>
      <c r="D34" s="44"/>
      <c r="E34" s="44"/>
      <c r="F34" s="2"/>
    </row>
    <row r="35" spans="2:8" x14ac:dyDescent="0.25">
      <c r="B35" s="2"/>
      <c r="C35" s="2" t="s">
        <v>134</v>
      </c>
      <c r="D35" s="44"/>
      <c r="E35" s="44"/>
      <c r="F35" s="2"/>
    </row>
    <row r="36" spans="2:8" x14ac:dyDescent="0.25">
      <c r="B36" s="2"/>
      <c r="C36" s="2" t="s">
        <v>125</v>
      </c>
      <c r="D36" s="44"/>
      <c r="E36" s="44"/>
      <c r="F36" s="2"/>
    </row>
    <row r="37" spans="2:8" x14ac:dyDescent="0.25">
      <c r="B37" s="2"/>
      <c r="C37" s="48" t="s">
        <v>18</v>
      </c>
      <c r="D37" s="44"/>
      <c r="E37" s="44"/>
      <c r="F37" s="2"/>
    </row>
    <row r="38" spans="2:8" x14ac:dyDescent="0.25">
      <c r="B38" s="2" t="s">
        <v>127</v>
      </c>
      <c r="C38" s="2" t="s">
        <v>18</v>
      </c>
      <c r="D38" s="44"/>
      <c r="E38" s="44"/>
      <c r="F38" s="2"/>
    </row>
    <row r="39" spans="2:8" x14ac:dyDescent="0.25">
      <c r="B39" s="2"/>
      <c r="C39" s="2" t="s">
        <v>128</v>
      </c>
      <c r="D39" s="2"/>
      <c r="E39" s="2"/>
      <c r="F39" s="2"/>
    </row>
    <row r="40" spans="2:8" x14ac:dyDescent="0.25">
      <c r="B40" s="2"/>
      <c r="C40" s="49"/>
      <c r="D40" s="2"/>
      <c r="E40" s="2"/>
      <c r="F40" s="2"/>
    </row>
    <row r="41" spans="2:8" x14ac:dyDescent="0.25">
      <c r="B41" s="2"/>
      <c r="C41" s="49" t="s">
        <v>129</v>
      </c>
      <c r="D41" s="2"/>
      <c r="E41" s="2"/>
      <c r="F41" s="2"/>
      <c r="G41" s="44"/>
    </row>
    <row r="42" spans="2:8" x14ac:dyDescent="0.25">
      <c r="B42" s="2"/>
      <c r="C42" s="49"/>
      <c r="D42" s="8"/>
      <c r="E42" s="2"/>
      <c r="F42" s="2"/>
      <c r="G42" s="44"/>
    </row>
    <row r="43" spans="2:8" x14ac:dyDescent="0.25">
      <c r="B43" s="2" t="s">
        <v>130</v>
      </c>
      <c r="C43" s="49"/>
      <c r="D43" s="8"/>
      <c r="E43" s="2"/>
      <c r="F43" s="2"/>
      <c r="G43" s="2"/>
    </row>
    <row r="44" spans="2:8" x14ac:dyDescent="0.25">
      <c r="B44" s="2"/>
      <c r="C44" s="49" t="s">
        <v>133</v>
      </c>
      <c r="D44" s="2"/>
      <c r="E44" s="2"/>
      <c r="F44" s="2"/>
      <c r="G44" s="2"/>
    </row>
    <row r="45" spans="2:8" x14ac:dyDescent="0.25">
      <c r="B45" s="2"/>
      <c r="C45" s="49"/>
      <c r="D45" s="2"/>
      <c r="E45" s="2"/>
      <c r="F45" s="2"/>
      <c r="G45" s="44"/>
    </row>
    <row r="46" spans="2:8" x14ac:dyDescent="0.25">
      <c r="B46" s="2"/>
      <c r="C46" s="49" t="s">
        <v>131</v>
      </c>
      <c r="D46" s="2"/>
      <c r="E46" s="2"/>
      <c r="F46" s="2"/>
      <c r="G46" s="44"/>
      <c r="H46" s="44"/>
    </row>
    <row r="47" spans="2:8" x14ac:dyDescent="0.25">
      <c r="B47" s="11"/>
      <c r="C47" s="2"/>
      <c r="D47" s="2"/>
      <c r="E47" s="2"/>
      <c r="F47" s="2"/>
      <c r="G47" s="44"/>
      <c r="H47" s="44"/>
    </row>
    <row r="48" spans="2:8" x14ac:dyDescent="0.25">
      <c r="G48" s="2"/>
    </row>
    <row r="51" spans="8:9" x14ac:dyDescent="0.25">
      <c r="H51" s="44"/>
      <c r="I5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47625</xdr:colOff>
                <xdr:row>40</xdr:row>
                <xdr:rowOff>0</xdr:rowOff>
              </from>
              <to>
                <xdr:col>7</xdr:col>
                <xdr:colOff>38100</xdr:colOff>
                <xdr:row>41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47625</xdr:colOff>
                <xdr:row>38</xdr:row>
                <xdr:rowOff>0</xdr:rowOff>
              </from>
              <to>
                <xdr:col>7</xdr:col>
                <xdr:colOff>38100</xdr:colOff>
                <xdr:row>39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9525</xdr:colOff>
                <xdr:row>34</xdr:row>
                <xdr:rowOff>9525</xdr:rowOff>
              </from>
              <to>
                <xdr:col>7</xdr:col>
                <xdr:colOff>0</xdr:colOff>
                <xdr:row>35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9525</xdr:colOff>
                <xdr:row>31</xdr:row>
                <xdr:rowOff>9525</xdr:rowOff>
              </from>
              <to>
                <xdr:col>7</xdr:col>
                <xdr:colOff>0</xdr:colOff>
                <xdr:row>32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28575</xdr:colOff>
                <xdr:row>29</xdr:row>
                <xdr:rowOff>161925</xdr:rowOff>
              </from>
              <to>
                <xdr:col>7</xdr:col>
                <xdr:colOff>19050</xdr:colOff>
                <xdr:row>31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28575</xdr:colOff>
                <xdr:row>27</xdr:row>
                <xdr:rowOff>161925</xdr:rowOff>
              </from>
              <to>
                <xdr:col>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180975</xdr:colOff>
                <xdr:row>45</xdr:row>
                <xdr:rowOff>38100</xdr:rowOff>
              </from>
              <to>
                <xdr:col>3</xdr:col>
                <xdr:colOff>352425</xdr:colOff>
                <xdr:row>46</xdr:row>
                <xdr:rowOff>9525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161925</xdr:colOff>
                <xdr:row>14</xdr:row>
                <xdr:rowOff>161925</xdr:rowOff>
              </from>
              <to>
                <xdr:col>3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3</xdr:col>
                <xdr:colOff>161925</xdr:colOff>
                <xdr:row>13</xdr:row>
                <xdr:rowOff>57150</xdr:rowOff>
              </from>
              <to>
                <xdr:col>3</xdr:col>
                <xdr:colOff>333375</xdr:colOff>
                <xdr:row>14</xdr:row>
                <xdr:rowOff>28575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3</xdr:col>
                <xdr:colOff>190500</xdr:colOff>
                <xdr:row>43</xdr:row>
                <xdr:rowOff>9525</xdr:rowOff>
              </from>
              <to>
                <xdr:col>3</xdr:col>
                <xdr:colOff>361950</xdr:colOff>
                <xdr:row>43</xdr:row>
                <xdr:rowOff>171450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78"/>
    </row>
    <row r="10" spans="2:9" x14ac:dyDescent="0.25">
      <c r="B10" s="7" t="s">
        <v>47</v>
      </c>
      <c r="C10" s="78"/>
    </row>
    <row r="11" spans="2:9" x14ac:dyDescent="0.25">
      <c r="B11" t="s">
        <v>158</v>
      </c>
      <c r="C11" s="45"/>
      <c r="D11" s="72" t="s">
        <v>159</v>
      </c>
      <c r="G11" s="72" t="s">
        <v>157</v>
      </c>
      <c r="H11" s="78">
        <f>(3.14*(SubDiameter/2)^2)*(SubLength)*(1/12)^3</f>
        <v>0</v>
      </c>
      <c r="I11" s="80" t="s">
        <v>152</v>
      </c>
    </row>
    <row r="12" spans="2:9" x14ac:dyDescent="0.25">
      <c r="B12" t="s">
        <v>162</v>
      </c>
      <c r="C12" s="45"/>
      <c r="D12" t="s">
        <v>161</v>
      </c>
      <c r="G12" s="72"/>
      <c r="H12" s="78">
        <f>Volume*28.317</f>
        <v>0</v>
      </c>
      <c r="I12" s="80" t="s">
        <v>164</v>
      </c>
    </row>
    <row r="13" spans="2:9" x14ac:dyDescent="0.25">
      <c r="B13" s="7"/>
      <c r="C13" s="8"/>
      <c r="G13" t="s">
        <v>160</v>
      </c>
      <c r="H13" s="78">
        <f>(Volume*MaxSpaceVelocity)*(1/60)*(61.7)/(2350*0.395)</f>
        <v>0</v>
      </c>
      <c r="I13" t="s">
        <v>161</v>
      </c>
    </row>
    <row r="14" spans="2:9" x14ac:dyDescent="0.25">
      <c r="G14" t="s">
        <v>163</v>
      </c>
      <c r="H14" s="79">
        <f>IF(H13&gt;MaxHertz,"60",H13)</f>
        <v>0</v>
      </c>
      <c r="I14" t="s">
        <v>161</v>
      </c>
    </row>
    <row r="15" spans="2:9" x14ac:dyDescent="0.25">
      <c r="B15" s="50" t="s">
        <v>135</v>
      </c>
      <c r="C15" s="51"/>
      <c r="D15" s="52" t="str">
        <f>B7</f>
        <v>DPF Information</v>
      </c>
      <c r="E15" s="53"/>
      <c r="F15" s="53"/>
    </row>
    <row r="16" spans="2:9" x14ac:dyDescent="0.25">
      <c r="B16" s="54"/>
      <c r="C16" s="54"/>
      <c r="D16" s="54"/>
      <c r="E16" s="54"/>
      <c r="F16" s="54"/>
    </row>
    <row r="17" spans="2:9" x14ac:dyDescent="0.25">
      <c r="B17" s="55" t="s">
        <v>136</v>
      </c>
      <c r="D17" s="38"/>
      <c r="E17" t="s">
        <v>137</v>
      </c>
    </row>
    <row r="18" spans="2:9" x14ac:dyDescent="0.25">
      <c r="B18" s="55" t="s">
        <v>138</v>
      </c>
      <c r="D18" s="38"/>
      <c r="E18" t="s">
        <v>139</v>
      </c>
    </row>
    <row r="19" spans="2:9" x14ac:dyDescent="0.25">
      <c r="B19" s="55" t="s">
        <v>140</v>
      </c>
      <c r="D19" s="45"/>
    </row>
    <row r="20" spans="2:9" x14ac:dyDescent="0.25">
      <c r="B20" s="56" t="s">
        <v>141</v>
      </c>
      <c r="C20" s="57" t="s">
        <v>142</v>
      </c>
      <c r="D20" s="58" t="s">
        <v>143</v>
      </c>
      <c r="E20" s="58" t="s">
        <v>144</v>
      </c>
      <c r="G20" s="59" t="s">
        <v>145</v>
      </c>
      <c r="H20" s="58"/>
      <c r="I20" s="58"/>
    </row>
    <row r="21" spans="2:9" x14ac:dyDescent="0.25">
      <c r="B21" s="60" t="s">
        <v>146</v>
      </c>
      <c r="C21" s="60" t="s">
        <v>147</v>
      </c>
      <c r="D21" s="60" t="s">
        <v>148</v>
      </c>
      <c r="E21" s="60" t="s">
        <v>147</v>
      </c>
      <c r="F21" s="60" t="s">
        <v>149</v>
      </c>
      <c r="G21" s="59" t="s">
        <v>150</v>
      </c>
      <c r="H21" s="58" t="s">
        <v>147</v>
      </c>
      <c r="I21" s="58" t="s">
        <v>151</v>
      </c>
    </row>
    <row r="22" spans="2:9" x14ac:dyDescent="0.25">
      <c r="B22" s="61">
        <f>0.25*$H$14</f>
        <v>0</v>
      </c>
      <c r="C22" s="62">
        <f>(2350/61.7)*B22*0.395</f>
        <v>0</v>
      </c>
      <c r="D22" s="45"/>
      <c r="E22" s="62">
        <f t="shared" ref="E22:E31" si="0">C22-(34.4764881*D22-4.325744048*D22^2+0.369475446*D22^3-0.01733631*D22^4+0.000339472*D22^5)</f>
        <v>0</v>
      </c>
      <c r="F22" s="63" t="e">
        <f t="shared" ref="F22:F32" si="1">(E22*60)/Volume</f>
        <v>#DIV/0!</v>
      </c>
      <c r="G22" s="45"/>
      <c r="H22" s="64">
        <f t="shared" ref="H22:H32" si="2">G22*Volume/60</f>
        <v>0</v>
      </c>
      <c r="I22" s="65">
        <f t="shared" ref="I22:I32" si="3">G22^2*P0a+G22*P0b+P0c</f>
        <v>0</v>
      </c>
    </row>
    <row r="23" spans="2:9" x14ac:dyDescent="0.25">
      <c r="B23" s="61">
        <f>0.4*$H$14</f>
        <v>0</v>
      </c>
      <c r="C23" s="62">
        <f t="shared" ref="C23:C32" si="4">(2350/61.7)*B23*0.395</f>
        <v>0</v>
      </c>
      <c r="D23" s="45"/>
      <c r="E23" s="62">
        <f t="shared" si="0"/>
        <v>0</v>
      </c>
      <c r="F23" s="63" t="e">
        <f t="shared" si="1"/>
        <v>#DIV/0!</v>
      </c>
      <c r="G23" s="45"/>
      <c r="H23" s="64">
        <f t="shared" si="2"/>
        <v>0</v>
      </c>
      <c r="I23" s="65">
        <f t="shared" si="3"/>
        <v>0</v>
      </c>
    </row>
    <row r="24" spans="2:9" x14ac:dyDescent="0.25">
      <c r="B24" s="61">
        <f>0.5*$H$14</f>
        <v>0</v>
      </c>
      <c r="C24" s="62">
        <f t="shared" si="4"/>
        <v>0</v>
      </c>
      <c r="D24" s="45"/>
      <c r="E24" s="62">
        <f t="shared" si="0"/>
        <v>0</v>
      </c>
      <c r="F24" s="63" t="e">
        <f t="shared" si="1"/>
        <v>#DIV/0!</v>
      </c>
      <c r="G24" s="45"/>
      <c r="H24" s="64">
        <f t="shared" si="2"/>
        <v>0</v>
      </c>
      <c r="I24" s="65">
        <f t="shared" si="3"/>
        <v>0</v>
      </c>
    </row>
    <row r="25" spans="2:9" x14ac:dyDescent="0.25">
      <c r="B25" s="61">
        <f>0.6*$H$14</f>
        <v>0</v>
      </c>
      <c r="C25" s="62">
        <f t="shared" si="4"/>
        <v>0</v>
      </c>
      <c r="D25" s="45"/>
      <c r="E25" s="62">
        <f t="shared" si="0"/>
        <v>0</v>
      </c>
      <c r="F25" s="63" t="e">
        <f t="shared" si="1"/>
        <v>#DIV/0!</v>
      </c>
      <c r="G25" s="45"/>
      <c r="H25" s="64">
        <f t="shared" si="2"/>
        <v>0</v>
      </c>
      <c r="I25" s="65">
        <f t="shared" si="3"/>
        <v>0</v>
      </c>
    </row>
    <row r="26" spans="2:9" x14ac:dyDescent="0.25">
      <c r="B26" s="61">
        <f>0.7*$H$14</f>
        <v>0</v>
      </c>
      <c r="C26" s="62">
        <f t="shared" si="4"/>
        <v>0</v>
      </c>
      <c r="D26" s="45"/>
      <c r="E26" s="62">
        <f t="shared" si="0"/>
        <v>0</v>
      </c>
      <c r="F26" s="63" t="e">
        <f t="shared" si="1"/>
        <v>#DIV/0!</v>
      </c>
      <c r="G26" s="45"/>
      <c r="H26" s="64">
        <f t="shared" si="2"/>
        <v>0</v>
      </c>
      <c r="I26" s="65">
        <f t="shared" si="3"/>
        <v>0</v>
      </c>
    </row>
    <row r="27" spans="2:9" x14ac:dyDescent="0.25">
      <c r="B27" s="61">
        <f>0.75*$H$14</f>
        <v>0</v>
      </c>
      <c r="C27" s="62">
        <f t="shared" si="4"/>
        <v>0</v>
      </c>
      <c r="D27" s="45"/>
      <c r="E27" s="62">
        <f t="shared" si="0"/>
        <v>0</v>
      </c>
      <c r="F27" s="63" t="e">
        <f t="shared" si="1"/>
        <v>#DIV/0!</v>
      </c>
      <c r="G27" s="45"/>
      <c r="H27" s="64">
        <f t="shared" si="2"/>
        <v>0</v>
      </c>
      <c r="I27" s="65">
        <f t="shared" si="3"/>
        <v>0</v>
      </c>
    </row>
    <row r="28" spans="2:9" x14ac:dyDescent="0.25">
      <c r="B28" s="61">
        <f>0.8*$H$14</f>
        <v>0</v>
      </c>
      <c r="C28" s="62">
        <f t="shared" si="4"/>
        <v>0</v>
      </c>
      <c r="D28" s="45"/>
      <c r="E28" s="62">
        <f t="shared" si="0"/>
        <v>0</v>
      </c>
      <c r="F28" s="63" t="e">
        <f t="shared" si="1"/>
        <v>#DIV/0!</v>
      </c>
      <c r="G28" s="45"/>
      <c r="H28" s="64">
        <f t="shared" si="2"/>
        <v>0</v>
      </c>
      <c r="I28" s="65">
        <f t="shared" si="3"/>
        <v>0</v>
      </c>
    </row>
    <row r="29" spans="2:9" x14ac:dyDescent="0.25">
      <c r="B29" s="61">
        <f>0.85*$H$14</f>
        <v>0</v>
      </c>
      <c r="C29" s="62">
        <f t="shared" si="4"/>
        <v>0</v>
      </c>
      <c r="D29" s="45"/>
      <c r="E29" s="62">
        <f t="shared" si="0"/>
        <v>0</v>
      </c>
      <c r="F29" s="63" t="e">
        <f t="shared" si="1"/>
        <v>#DIV/0!</v>
      </c>
      <c r="G29" s="45"/>
      <c r="H29" s="64">
        <f t="shared" si="2"/>
        <v>0</v>
      </c>
      <c r="I29" s="65">
        <f t="shared" si="3"/>
        <v>0</v>
      </c>
    </row>
    <row r="30" spans="2:9" x14ac:dyDescent="0.25">
      <c r="B30" s="61">
        <f>0.9*$H$14</f>
        <v>0</v>
      </c>
      <c r="C30" s="62">
        <f t="shared" si="4"/>
        <v>0</v>
      </c>
      <c r="D30" s="45"/>
      <c r="E30" s="62">
        <f t="shared" si="0"/>
        <v>0</v>
      </c>
      <c r="F30" s="63" t="e">
        <f t="shared" si="1"/>
        <v>#DIV/0!</v>
      </c>
      <c r="G30" s="45"/>
      <c r="H30" s="64">
        <f t="shared" si="2"/>
        <v>0</v>
      </c>
      <c r="I30" s="65">
        <f t="shared" si="3"/>
        <v>0</v>
      </c>
    </row>
    <row r="31" spans="2:9" x14ac:dyDescent="0.25">
      <c r="B31" s="61">
        <f>0.95*$H$14</f>
        <v>0</v>
      </c>
      <c r="C31" s="62">
        <f t="shared" si="4"/>
        <v>0</v>
      </c>
      <c r="D31" s="45"/>
      <c r="E31" s="62">
        <f t="shared" si="0"/>
        <v>0</v>
      </c>
      <c r="F31" s="63" t="e">
        <f t="shared" si="1"/>
        <v>#DIV/0!</v>
      </c>
      <c r="G31" s="45"/>
      <c r="H31" s="64">
        <f t="shared" si="2"/>
        <v>0</v>
      </c>
      <c r="I31" s="65">
        <f t="shared" si="3"/>
        <v>0</v>
      </c>
    </row>
    <row r="32" spans="2:9" x14ac:dyDescent="0.25">
      <c r="B32" s="61">
        <f>1*$H$14</f>
        <v>0</v>
      </c>
      <c r="C32" s="62">
        <f t="shared" si="4"/>
        <v>0</v>
      </c>
      <c r="D32" s="45"/>
      <c r="E32" s="62">
        <f>C32-(34.4764881*D32-4.325744048*D32^2+0.369475446*D32^3-0.01733631*D32^4+0.000339472*D32^5)</f>
        <v>0</v>
      </c>
      <c r="F32" s="63" t="e">
        <f t="shared" si="1"/>
        <v>#DIV/0!</v>
      </c>
      <c r="G32" s="45"/>
      <c r="H32" s="64">
        <f t="shared" si="2"/>
        <v>0</v>
      </c>
      <c r="I32" s="65">
        <f t="shared" si="3"/>
        <v>0</v>
      </c>
    </row>
    <row r="33" spans="2:9" x14ac:dyDescent="0.25">
      <c r="B33" s="54"/>
      <c r="D33" s="54"/>
      <c r="E33" s="54"/>
      <c r="F33" s="54"/>
      <c r="G33" s="70" t="s">
        <v>153</v>
      </c>
    </row>
    <row r="34" spans="2:9" x14ac:dyDescent="0.25">
      <c r="C34" s="67"/>
      <c r="G34" s="70" t="s">
        <v>154</v>
      </c>
      <c r="H34" s="71"/>
    </row>
    <row r="35" spans="2:9" x14ac:dyDescent="0.25">
      <c r="B35" s="68"/>
      <c r="C35" s="68"/>
      <c r="D35" s="68"/>
      <c r="E35" s="68"/>
      <c r="F35" s="68"/>
      <c r="G35" s="70" t="s">
        <v>155</v>
      </c>
      <c r="H35" s="71"/>
    </row>
    <row r="36" spans="2:9" x14ac:dyDescent="0.25">
      <c r="B36" s="69"/>
      <c r="C36" s="69"/>
      <c r="D36" s="69"/>
      <c r="E36" s="69"/>
      <c r="F36" s="69"/>
      <c r="G36" s="70" t="s">
        <v>156</v>
      </c>
      <c r="H36" s="38"/>
    </row>
    <row r="37" spans="2:9" x14ac:dyDescent="0.25">
      <c r="B37" s="69"/>
      <c r="C37" s="69"/>
      <c r="D37" s="69"/>
      <c r="E37" s="69"/>
      <c r="F37" s="69"/>
      <c r="I37" t="s">
        <v>18</v>
      </c>
    </row>
    <row r="39" spans="2:9" x14ac:dyDescent="0.25">
      <c r="B39" s="55" t="s">
        <v>135</v>
      </c>
      <c r="D39" s="52" t="str">
        <f>B8</f>
        <v>DPF ID</v>
      </c>
    </row>
    <row r="41" spans="2:9" x14ac:dyDescent="0.25">
      <c r="B41" s="55" t="s">
        <v>136</v>
      </c>
      <c r="D41" s="38"/>
      <c r="E41" t="s">
        <v>137</v>
      </c>
    </row>
    <row r="42" spans="2:9" x14ac:dyDescent="0.25">
      <c r="B42" s="55" t="s">
        <v>138</v>
      </c>
      <c r="D42" s="38"/>
      <c r="E42" t="s">
        <v>139</v>
      </c>
      <c r="I42" s="67"/>
    </row>
    <row r="43" spans="2:9" x14ac:dyDescent="0.25">
      <c r="B43" s="55" t="s">
        <v>140</v>
      </c>
      <c r="D43" s="45"/>
    </row>
    <row r="44" spans="2:9" x14ac:dyDescent="0.25">
      <c r="B44" s="56" t="s">
        <v>141</v>
      </c>
      <c r="C44" s="57" t="s">
        <v>142</v>
      </c>
      <c r="D44" s="58" t="s">
        <v>143</v>
      </c>
      <c r="E44" s="58" t="s">
        <v>144</v>
      </c>
      <c r="F44" s="72"/>
      <c r="G44" s="59" t="s">
        <v>145</v>
      </c>
      <c r="H44" s="58"/>
      <c r="I44" s="58"/>
    </row>
    <row r="45" spans="2:9" x14ac:dyDescent="0.25">
      <c r="B45" s="58" t="s">
        <v>146</v>
      </c>
      <c r="C45" s="58" t="s">
        <v>147</v>
      </c>
      <c r="D45" s="58" t="s">
        <v>148</v>
      </c>
      <c r="E45" s="58" t="s">
        <v>147</v>
      </c>
      <c r="F45" s="58" t="s">
        <v>149</v>
      </c>
      <c r="G45" s="59" t="s">
        <v>150</v>
      </c>
      <c r="H45" s="58" t="s">
        <v>147</v>
      </c>
      <c r="I45" s="58" t="s">
        <v>151</v>
      </c>
    </row>
    <row r="46" spans="2:9" x14ac:dyDescent="0.25">
      <c r="B46" s="61">
        <f>0.25*$H$14</f>
        <v>0</v>
      </c>
      <c r="C46" s="62">
        <f>(2350/61.7)*B46*0.395</f>
        <v>0</v>
      </c>
      <c r="D46" s="45">
        <v>3.1E-2</v>
      </c>
      <c r="E46" s="62">
        <f t="shared" ref="E46:E56" si="5">C46-(34.4764881*D46-4.325744048*D46^2+0.369475446*D46^3-0.01733631*D46^4+0.000339472*D46^5)</f>
        <v>-1.0646250821121561</v>
      </c>
      <c r="F46" s="63" t="e">
        <f t="shared" ref="F46:F56" si="6">(E46*60)/Volume</f>
        <v>#DIV/0!</v>
      </c>
      <c r="G46" s="45">
        <v>20000</v>
      </c>
      <c r="H46" s="64">
        <f t="shared" ref="H46:H56" si="7">G46*Volume/60</f>
        <v>0</v>
      </c>
      <c r="I46" s="65">
        <f t="shared" ref="I46:I56" si="8">G46^2*P1a+G46*P1b+P1c</f>
        <v>0</v>
      </c>
    </row>
    <row r="47" spans="2:9" x14ac:dyDescent="0.25">
      <c r="B47" s="61">
        <f>0.4*$H$14</f>
        <v>0</v>
      </c>
      <c r="C47" s="62">
        <f t="shared" ref="C47:C55" si="9">(2350/61.7)*B47*0.395</f>
        <v>0</v>
      </c>
      <c r="D47" s="45">
        <v>5.1999999999999998E-2</v>
      </c>
      <c r="E47" s="62">
        <f t="shared" si="5"/>
        <v>-1.7811323938703458</v>
      </c>
      <c r="F47" s="63" t="e">
        <f t="shared" si="6"/>
        <v>#DIV/0!</v>
      </c>
      <c r="G47" s="45">
        <v>35000</v>
      </c>
      <c r="H47" s="64">
        <f t="shared" si="7"/>
        <v>0</v>
      </c>
      <c r="I47" s="65">
        <f t="shared" si="8"/>
        <v>0</v>
      </c>
    </row>
    <row r="48" spans="2:9" x14ac:dyDescent="0.25">
      <c r="B48" s="61">
        <f>0.5*$H$14</f>
        <v>0</v>
      </c>
      <c r="C48" s="62">
        <f t="shared" si="9"/>
        <v>0</v>
      </c>
      <c r="D48" s="45">
        <v>6.6000000000000003E-2</v>
      </c>
      <c r="E48" s="62">
        <f t="shared" si="5"/>
        <v>-2.2567111677129614</v>
      </c>
      <c r="F48" s="63" t="e">
        <f t="shared" si="6"/>
        <v>#DIV/0!</v>
      </c>
      <c r="G48" s="45">
        <v>50000</v>
      </c>
      <c r="H48" s="64">
        <f t="shared" si="7"/>
        <v>0</v>
      </c>
      <c r="I48" s="65">
        <f t="shared" si="8"/>
        <v>0</v>
      </c>
    </row>
    <row r="49" spans="2:9" x14ac:dyDescent="0.25">
      <c r="B49" s="61">
        <f>0.6*$H$14</f>
        <v>0</v>
      </c>
      <c r="C49" s="62">
        <f t="shared" si="9"/>
        <v>0</v>
      </c>
      <c r="D49" s="45">
        <v>8.3000000000000004E-2</v>
      </c>
      <c r="E49" s="62">
        <f t="shared" si="5"/>
        <v>-2.8319589013951987</v>
      </c>
      <c r="F49" s="63" t="e">
        <f t="shared" si="6"/>
        <v>#DIV/0!</v>
      </c>
      <c r="G49" s="45">
        <v>60000</v>
      </c>
      <c r="H49" s="64">
        <f t="shared" si="7"/>
        <v>0</v>
      </c>
      <c r="I49" s="65">
        <f t="shared" si="8"/>
        <v>0</v>
      </c>
    </row>
    <row r="50" spans="2:9" x14ac:dyDescent="0.25">
      <c r="B50" s="61">
        <f>0.7*$H$14</f>
        <v>0</v>
      </c>
      <c r="C50" s="62">
        <f t="shared" si="9"/>
        <v>0</v>
      </c>
      <c r="D50" s="45">
        <v>0.1</v>
      </c>
      <c r="E50" s="62">
        <f t="shared" si="5"/>
        <v>-3.4047591147297198</v>
      </c>
      <c r="F50" s="63" t="e">
        <f t="shared" si="6"/>
        <v>#DIV/0!</v>
      </c>
      <c r="G50" s="45">
        <v>70000</v>
      </c>
      <c r="H50" s="64">
        <f t="shared" si="7"/>
        <v>0</v>
      </c>
      <c r="I50" s="65">
        <f t="shared" si="8"/>
        <v>0</v>
      </c>
    </row>
    <row r="51" spans="2:9" x14ac:dyDescent="0.25">
      <c r="B51" s="61">
        <f>0.75*$H$14</f>
        <v>0</v>
      </c>
      <c r="C51" s="62">
        <f t="shared" si="9"/>
        <v>0</v>
      </c>
      <c r="D51" s="45">
        <v>0.109</v>
      </c>
      <c r="E51" s="62">
        <f t="shared" si="5"/>
        <v>-3.7070190773446283</v>
      </c>
      <c r="F51" s="63" t="e">
        <f t="shared" si="6"/>
        <v>#DIV/0!</v>
      </c>
      <c r="G51" s="45">
        <v>75000</v>
      </c>
      <c r="H51" s="64">
        <f t="shared" si="7"/>
        <v>0</v>
      </c>
      <c r="I51" s="65">
        <f t="shared" si="8"/>
        <v>0</v>
      </c>
    </row>
    <row r="52" spans="2:9" x14ac:dyDescent="0.25">
      <c r="B52" s="61">
        <f>0.8*$H$14</f>
        <v>0</v>
      </c>
      <c r="C52" s="62">
        <f t="shared" si="9"/>
        <v>0</v>
      </c>
      <c r="D52" s="45">
        <v>0.11899999999999999</v>
      </c>
      <c r="E52" s="62">
        <f t="shared" si="5"/>
        <v>-4.0420643788921602</v>
      </c>
      <c r="F52" s="63" t="e">
        <f t="shared" si="6"/>
        <v>#DIV/0!</v>
      </c>
      <c r="G52" s="45">
        <v>80000</v>
      </c>
      <c r="H52" s="64">
        <f t="shared" si="7"/>
        <v>0</v>
      </c>
      <c r="I52" s="65">
        <f t="shared" si="8"/>
        <v>0</v>
      </c>
    </row>
    <row r="53" spans="2:9" x14ac:dyDescent="0.25">
      <c r="B53" s="61">
        <f>0.85*$H$14</f>
        <v>0</v>
      </c>
      <c r="C53" s="62">
        <f t="shared" si="9"/>
        <v>0</v>
      </c>
      <c r="D53" s="45">
        <v>0.129</v>
      </c>
      <c r="E53" s="62">
        <f t="shared" si="5"/>
        <v>-4.3762706183789941</v>
      </c>
      <c r="F53" s="63" t="e">
        <f t="shared" si="6"/>
        <v>#DIV/0!</v>
      </c>
      <c r="G53" s="45">
        <v>85000</v>
      </c>
      <c r="H53" s="64">
        <f t="shared" si="7"/>
        <v>0</v>
      </c>
      <c r="I53" s="65">
        <f t="shared" si="8"/>
        <v>0</v>
      </c>
    </row>
    <row r="54" spans="2:9" x14ac:dyDescent="0.25">
      <c r="B54" s="61">
        <f>0.9*$H$14</f>
        <v>0</v>
      </c>
      <c r="C54" s="62">
        <f t="shared" si="9"/>
        <v>0</v>
      </c>
      <c r="D54" s="45">
        <v>0.14000000000000001</v>
      </c>
      <c r="E54" s="62">
        <f t="shared" si="5"/>
        <v>-4.7429309496237932</v>
      </c>
      <c r="F54" s="63" t="e">
        <f t="shared" si="6"/>
        <v>#DIV/0!</v>
      </c>
      <c r="G54" s="45">
        <v>90000</v>
      </c>
      <c r="H54" s="64">
        <f t="shared" si="7"/>
        <v>0</v>
      </c>
      <c r="I54" s="65">
        <f t="shared" si="8"/>
        <v>0</v>
      </c>
    </row>
    <row r="55" spans="2:9" x14ac:dyDescent="0.25">
      <c r="B55" s="61">
        <f>0.95*$H$14</f>
        <v>0</v>
      </c>
      <c r="C55" s="62">
        <f t="shared" si="9"/>
        <v>0</v>
      </c>
      <c r="D55" s="45">
        <v>0.152</v>
      </c>
      <c r="E55" s="62">
        <f t="shared" si="5"/>
        <v>-5.1417725010533433</v>
      </c>
      <c r="F55" s="63" t="e">
        <f t="shared" si="6"/>
        <v>#DIV/0!</v>
      </c>
      <c r="G55" s="45">
        <v>95000</v>
      </c>
      <c r="H55" s="64">
        <f t="shared" si="7"/>
        <v>0</v>
      </c>
      <c r="I55" s="65">
        <f t="shared" si="8"/>
        <v>0</v>
      </c>
    </row>
    <row r="56" spans="2:9" x14ac:dyDescent="0.25">
      <c r="B56" s="61">
        <f>1*$H$14</f>
        <v>0</v>
      </c>
      <c r="C56" s="62">
        <f>(2350/61.7)*B56*0.395</f>
        <v>0</v>
      </c>
      <c r="D56" s="45"/>
      <c r="E56" s="62">
        <f t="shared" si="5"/>
        <v>0</v>
      </c>
      <c r="F56" s="63" t="e">
        <f t="shared" si="6"/>
        <v>#DIV/0!</v>
      </c>
      <c r="G56" s="45">
        <v>100000</v>
      </c>
      <c r="H56" s="64">
        <f t="shared" si="7"/>
        <v>0</v>
      </c>
      <c r="I56" s="65">
        <f t="shared" si="8"/>
        <v>0</v>
      </c>
    </row>
    <row r="57" spans="2:9" x14ac:dyDescent="0.25">
      <c r="G57" s="70" t="s">
        <v>153</v>
      </c>
    </row>
    <row r="58" spans="2:9" x14ac:dyDescent="0.25">
      <c r="B58" s="73"/>
      <c r="C58" s="73"/>
      <c r="D58" s="73"/>
      <c r="G58" s="70" t="s">
        <v>154</v>
      </c>
      <c r="H58" s="71"/>
    </row>
    <row r="59" spans="2:9" x14ac:dyDescent="0.25">
      <c r="B59" s="2"/>
      <c r="C59" s="73"/>
      <c r="D59" s="73"/>
      <c r="E59" s="72"/>
      <c r="F59" s="72"/>
      <c r="G59" s="70" t="s">
        <v>155</v>
      </c>
      <c r="H59" s="71"/>
    </row>
    <row r="60" spans="2:9" x14ac:dyDescent="0.25">
      <c r="B60" s="74"/>
      <c r="C60" s="73"/>
      <c r="D60" s="73"/>
      <c r="E60" s="72"/>
      <c r="F60" s="72"/>
      <c r="G60" s="70" t="s">
        <v>156</v>
      </c>
      <c r="H60" s="71"/>
    </row>
    <row r="61" spans="2:9" x14ac:dyDescent="0.25">
      <c r="B61" s="74"/>
      <c r="C61" s="73"/>
      <c r="D61" s="73"/>
      <c r="E61" s="73"/>
      <c r="F61" s="73"/>
    </row>
    <row r="62" spans="2:9" x14ac:dyDescent="0.25">
      <c r="B62" s="2"/>
      <c r="C62" s="73"/>
      <c r="D62" s="73"/>
      <c r="E62" s="73"/>
      <c r="F62" s="73"/>
    </row>
    <row r="64" spans="2:9" x14ac:dyDescent="0.25">
      <c r="B64" s="55" t="s">
        <v>135</v>
      </c>
      <c r="D64" s="52" t="str">
        <f>B9</f>
        <v>Substrate Diameter(inch)</v>
      </c>
    </row>
    <row r="66" spans="2:9" x14ac:dyDescent="0.25">
      <c r="B66" s="55" t="s">
        <v>136</v>
      </c>
      <c r="D66" s="38"/>
      <c r="E66" t="s">
        <v>137</v>
      </c>
      <c r="H66" s="54"/>
      <c r="I66" s="54"/>
    </row>
    <row r="67" spans="2:9" x14ac:dyDescent="0.25">
      <c r="B67" s="55" t="s">
        <v>138</v>
      </c>
      <c r="D67" s="38">
        <v>14.696</v>
      </c>
      <c r="E67" t="s">
        <v>139</v>
      </c>
      <c r="H67" s="54"/>
      <c r="I67" s="54"/>
    </row>
    <row r="68" spans="2:9" x14ac:dyDescent="0.25">
      <c r="B68" s="55" t="s">
        <v>140</v>
      </c>
      <c r="D68" s="45"/>
      <c r="H68" s="75"/>
      <c r="I68" s="75"/>
    </row>
    <row r="69" spans="2:9" x14ac:dyDescent="0.25">
      <c r="B69" s="56" t="s">
        <v>141</v>
      </c>
      <c r="C69" s="57" t="s">
        <v>142</v>
      </c>
      <c r="D69" s="58" t="s">
        <v>143</v>
      </c>
      <c r="E69" s="58" t="s">
        <v>144</v>
      </c>
      <c r="F69" s="72"/>
      <c r="G69" s="59" t="s">
        <v>145</v>
      </c>
      <c r="H69" s="58"/>
      <c r="I69" s="58"/>
    </row>
    <row r="70" spans="2:9" x14ac:dyDescent="0.25">
      <c r="B70" s="58" t="s">
        <v>146</v>
      </c>
      <c r="C70" s="58" t="s">
        <v>147</v>
      </c>
      <c r="D70" s="58" t="s">
        <v>148</v>
      </c>
      <c r="E70" s="58" t="s">
        <v>147</v>
      </c>
      <c r="F70" s="58" t="s">
        <v>149</v>
      </c>
      <c r="G70" s="59" t="s">
        <v>150</v>
      </c>
      <c r="H70" s="58" t="s">
        <v>147</v>
      </c>
      <c r="I70" s="58" t="s">
        <v>151</v>
      </c>
    </row>
    <row r="71" spans="2:9" x14ac:dyDescent="0.25">
      <c r="B71" s="61">
        <f>0.25*$H$14</f>
        <v>0</v>
      </c>
      <c r="C71" s="62">
        <f>(2350/61.7)*B71*0.395</f>
        <v>0</v>
      </c>
      <c r="D71" s="45"/>
      <c r="E71" s="62">
        <f t="shared" ref="E71:E81" si="10">C71-(34.4764881*D71-4.325744048*D71^2+0.369475446*D71^3-0.01733631*D71^4+0.000339472*D71^5)</f>
        <v>0</v>
      </c>
      <c r="F71" s="62" t="e">
        <f t="shared" ref="F71:F81" si="11">(E71*60)/Volume</f>
        <v>#DIV/0!</v>
      </c>
      <c r="G71" s="45">
        <v>20000</v>
      </c>
      <c r="H71" s="64">
        <f t="shared" ref="H71:H81" si="12">G71*Volume/60</f>
        <v>0</v>
      </c>
      <c r="I71" s="65">
        <f t="shared" ref="I71:I81" si="13">G71^2*P2a+G71*P2b+P2c</f>
        <v>0</v>
      </c>
    </row>
    <row r="72" spans="2:9" x14ac:dyDescent="0.25">
      <c r="B72" s="61">
        <f>0.4*$H$14</f>
        <v>0</v>
      </c>
      <c r="C72" s="62">
        <f t="shared" ref="C72:C81" si="14">(2350/61.7)*B72*0.395</f>
        <v>0</v>
      </c>
      <c r="D72" s="45"/>
      <c r="E72" s="62">
        <f t="shared" si="10"/>
        <v>0</v>
      </c>
      <c r="F72" s="62" t="e">
        <f t="shared" si="11"/>
        <v>#DIV/0!</v>
      </c>
      <c r="G72" s="45">
        <v>35000</v>
      </c>
      <c r="H72" s="64">
        <f t="shared" si="12"/>
        <v>0</v>
      </c>
      <c r="I72" s="65">
        <f t="shared" si="13"/>
        <v>0</v>
      </c>
    </row>
    <row r="73" spans="2:9" x14ac:dyDescent="0.25">
      <c r="B73" s="61">
        <f>0.5*$H$14</f>
        <v>0</v>
      </c>
      <c r="C73" s="62">
        <f t="shared" si="14"/>
        <v>0</v>
      </c>
      <c r="D73" s="45"/>
      <c r="E73" s="62">
        <f t="shared" si="10"/>
        <v>0</v>
      </c>
      <c r="F73" s="62" t="e">
        <f t="shared" si="11"/>
        <v>#DIV/0!</v>
      </c>
      <c r="G73" s="45">
        <v>50000</v>
      </c>
      <c r="H73" s="64">
        <f t="shared" si="12"/>
        <v>0</v>
      </c>
      <c r="I73" s="65">
        <f t="shared" si="13"/>
        <v>0</v>
      </c>
    </row>
    <row r="74" spans="2:9" x14ac:dyDescent="0.25">
      <c r="B74" s="61">
        <f>0.6*$H$14</f>
        <v>0</v>
      </c>
      <c r="C74" s="62">
        <f t="shared" si="14"/>
        <v>0</v>
      </c>
      <c r="D74" s="45"/>
      <c r="E74" s="62">
        <f t="shared" si="10"/>
        <v>0</v>
      </c>
      <c r="F74" s="62" t="e">
        <f t="shared" si="11"/>
        <v>#DIV/0!</v>
      </c>
      <c r="G74" s="45">
        <v>60000</v>
      </c>
      <c r="H74" s="64">
        <f t="shared" si="12"/>
        <v>0</v>
      </c>
      <c r="I74" s="65">
        <f t="shared" si="13"/>
        <v>0</v>
      </c>
    </row>
    <row r="75" spans="2:9" x14ac:dyDescent="0.25">
      <c r="B75" s="61">
        <f>0.7*$H$14</f>
        <v>0</v>
      </c>
      <c r="C75" s="62">
        <f t="shared" si="14"/>
        <v>0</v>
      </c>
      <c r="D75" s="45"/>
      <c r="E75" s="62">
        <f t="shared" si="10"/>
        <v>0</v>
      </c>
      <c r="F75" s="62" t="e">
        <f t="shared" si="11"/>
        <v>#DIV/0!</v>
      </c>
      <c r="G75" s="45">
        <v>70000</v>
      </c>
      <c r="H75" s="64">
        <f t="shared" si="12"/>
        <v>0</v>
      </c>
      <c r="I75" s="65">
        <f t="shared" si="13"/>
        <v>0</v>
      </c>
    </row>
    <row r="76" spans="2:9" x14ac:dyDescent="0.25">
      <c r="B76" s="61">
        <f>0.75*$H$14</f>
        <v>0</v>
      </c>
      <c r="C76" s="62">
        <f t="shared" si="14"/>
        <v>0</v>
      </c>
      <c r="D76" s="45"/>
      <c r="E76" s="62">
        <f t="shared" si="10"/>
        <v>0</v>
      </c>
      <c r="F76" s="62" t="e">
        <f t="shared" si="11"/>
        <v>#DIV/0!</v>
      </c>
      <c r="G76" s="45">
        <v>75000</v>
      </c>
      <c r="H76" s="64">
        <f t="shared" si="12"/>
        <v>0</v>
      </c>
      <c r="I76" s="65">
        <f t="shared" si="13"/>
        <v>0</v>
      </c>
    </row>
    <row r="77" spans="2:9" x14ac:dyDescent="0.25">
      <c r="B77" s="61">
        <f>0.8*$H$14</f>
        <v>0</v>
      </c>
      <c r="C77" s="62">
        <f t="shared" si="14"/>
        <v>0</v>
      </c>
      <c r="D77" s="45"/>
      <c r="E77" s="62">
        <f t="shared" si="10"/>
        <v>0</v>
      </c>
      <c r="F77" s="62" t="e">
        <f t="shared" si="11"/>
        <v>#DIV/0!</v>
      </c>
      <c r="G77" s="45">
        <v>80000</v>
      </c>
      <c r="H77" s="64">
        <f t="shared" si="12"/>
        <v>0</v>
      </c>
      <c r="I77" s="65">
        <f t="shared" si="13"/>
        <v>0</v>
      </c>
    </row>
    <row r="78" spans="2:9" x14ac:dyDescent="0.25">
      <c r="B78" s="61">
        <f>0.85*$H$14</f>
        <v>0</v>
      </c>
      <c r="C78" s="62">
        <f t="shared" si="14"/>
        <v>0</v>
      </c>
      <c r="D78" s="45"/>
      <c r="E78" s="62">
        <f t="shared" si="10"/>
        <v>0</v>
      </c>
      <c r="F78" s="62" t="e">
        <f t="shared" si="11"/>
        <v>#DIV/0!</v>
      </c>
      <c r="G78" s="45">
        <v>85000</v>
      </c>
      <c r="H78" s="64">
        <f t="shared" si="12"/>
        <v>0</v>
      </c>
      <c r="I78" s="65">
        <f t="shared" si="13"/>
        <v>0</v>
      </c>
    </row>
    <row r="79" spans="2:9" x14ac:dyDescent="0.25">
      <c r="B79" s="61">
        <f>0.9*$H$14</f>
        <v>0</v>
      </c>
      <c r="C79" s="62">
        <f t="shared" si="14"/>
        <v>0</v>
      </c>
      <c r="D79" s="45"/>
      <c r="E79" s="62">
        <f t="shared" si="10"/>
        <v>0</v>
      </c>
      <c r="F79" s="62" t="e">
        <f t="shared" si="11"/>
        <v>#DIV/0!</v>
      </c>
      <c r="G79" s="45">
        <v>90000</v>
      </c>
      <c r="H79" s="64">
        <f t="shared" si="12"/>
        <v>0</v>
      </c>
      <c r="I79" s="65">
        <f t="shared" si="13"/>
        <v>0</v>
      </c>
    </row>
    <row r="80" spans="2:9" x14ac:dyDescent="0.25">
      <c r="B80" s="61">
        <f>0.95*$H$14</f>
        <v>0</v>
      </c>
      <c r="C80" s="62">
        <f t="shared" si="14"/>
        <v>0</v>
      </c>
      <c r="D80" s="45"/>
      <c r="E80" s="62">
        <f t="shared" si="10"/>
        <v>0</v>
      </c>
      <c r="F80" s="62" t="e">
        <f t="shared" si="11"/>
        <v>#DIV/0!</v>
      </c>
      <c r="G80" s="45">
        <v>95000</v>
      </c>
      <c r="H80" s="64">
        <f t="shared" si="12"/>
        <v>0</v>
      </c>
      <c r="I80" s="65">
        <f t="shared" si="13"/>
        <v>0</v>
      </c>
    </row>
    <row r="81" spans="2:9" x14ac:dyDescent="0.25">
      <c r="B81" s="61">
        <f>1*$H$14</f>
        <v>0</v>
      </c>
      <c r="C81" s="62">
        <f t="shared" si="14"/>
        <v>0</v>
      </c>
      <c r="D81" s="45"/>
      <c r="E81" s="62">
        <f t="shared" si="10"/>
        <v>0</v>
      </c>
      <c r="F81" s="62" t="e">
        <f t="shared" si="11"/>
        <v>#DIV/0!</v>
      </c>
      <c r="G81" s="45">
        <v>100000</v>
      </c>
      <c r="H81" s="64">
        <f t="shared" si="12"/>
        <v>0</v>
      </c>
      <c r="I81" s="65">
        <f t="shared" si="13"/>
        <v>0</v>
      </c>
    </row>
    <row r="82" spans="2:9" x14ac:dyDescent="0.25">
      <c r="G82" s="70" t="s">
        <v>153</v>
      </c>
    </row>
    <row r="83" spans="2:9" x14ac:dyDescent="0.25">
      <c r="F83" s="76"/>
      <c r="G83" s="70" t="s">
        <v>154</v>
      </c>
      <c r="H83" s="71"/>
    </row>
    <row r="84" spans="2:9" x14ac:dyDescent="0.25">
      <c r="B84" s="74"/>
      <c r="C84" s="72"/>
      <c r="D84" s="72"/>
      <c r="F84" s="66"/>
      <c r="G84" s="70" t="s">
        <v>155</v>
      </c>
      <c r="H84" s="71"/>
    </row>
    <row r="85" spans="2:9" x14ac:dyDescent="0.25">
      <c r="B85" s="74"/>
      <c r="C85" s="72"/>
      <c r="D85" s="72"/>
      <c r="E85" s="67"/>
      <c r="F85" s="66"/>
      <c r="G85" s="70" t="s">
        <v>156</v>
      </c>
      <c r="H85" s="38"/>
    </row>
    <row r="86" spans="2:9" x14ac:dyDescent="0.25">
      <c r="B86" s="2"/>
      <c r="C86" s="77"/>
      <c r="D86" s="73"/>
      <c r="F86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2019-02-06T13:05:58Z</dcterms:modified>
</cp:coreProperties>
</file>