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7DDF64DA-8787-4DF2-A8B5-4603125D6727}" xr6:coauthVersionLast="40" xr6:coauthVersionMax="40" xr10:uidLastSave="{00000000-0000-0000-0000-000000000000}"/>
  <bookViews>
    <workbookView xWindow="-120" yWindow="-120" windowWidth="29040" windowHeight="15990" activeTab="1" xr2:uid="{00000000-000D-0000-FFFF-FFFF00000000}"/>
  </bookViews>
  <sheets>
    <sheet name="Menu" sheetId="8" r:id="rId1"/>
    <sheet name="Company" sheetId="2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Engine!$B$5:$B$8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Vehicle!$B$5:$B$9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<sst xmlns="http://schemas.openxmlformats.org/spreadsheetml/2006/main" count="470" uniqueCount="278">
  <si>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</si>
  <si>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</si>
  <si>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</si>
  <si>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</si>
  <si>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</si>
  <si>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</si>
  <si>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</si>
  <si>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</si>
  <si>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</si>
  <si>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</si>
  <si>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</si>
  <si>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</si>
  <si>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</si>
  <si>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</si>
  <si>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</si>
  <si>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</si>
  <si>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</si>
  <si>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</si>
  <si>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</si>
  <si>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</si>
  <si>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</si>
  <si>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</si>
  <si>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</si>
  <si>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</si>
  <si>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</si>
  <si>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</si>
  <si>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</si>
  <si>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</si>
  <si>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</si>
  <si>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</si>
  <si>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</si>
  <si>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</si>
  <si>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</si>
  <si>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</si>
  <si>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</si>
  <si>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</si>
  <si>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</si>
  <si>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</si>
  <si>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</si>
  <si>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</si>
  <si>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</si>
  <si>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</si>
  <si>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</si>
  <si>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</si>
  <si>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</si>
  <si>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</si>
  <si>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</si>
  <si>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</si>
  <si>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</si>
  <si>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</si>
  <si>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</si>
  <si>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</si>
  <si>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</si>
  <si>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</si>
  <si>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</si>
  <si>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</si>
  <si>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</si>
  <si>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</si>
  <si>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</si>
  <si>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</si>
  <si>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</si>
  <si>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</si>
  <si>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</si>
  <si>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</si>
  <si>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</si>
  <si>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</si>
  <si>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</si>
  <si>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</si>
  <si>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</si>
  <si>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</si>
  <si>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</si>
  <si>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</si>
  <si>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</si>
  <si>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</si>
  <si>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</si>
  <si>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</si>
  <si>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</si>
  <si>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</si>
  <si>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</si>
  <si>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</si>
  <si>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</si>
  <si>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</si>
  <si>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</si>
  <si>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</si>
  <si>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</si>
  <si>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</si>
  <si>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</si>
  <si>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</si>
  <si>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</si>
  <si>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</si>
  <si>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</si>
  <si>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</si>
  <si>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</si>
  <si>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</si>
  <si>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</si>
  <si>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</si>
  <si>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</si>
  <si>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</si>
  <si>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</si>
  <si>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</si>
  <si>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</si>
  <si>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</si>
  <si>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</si>
  <si>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</si>
  <si>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</si>
  <si>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</si>
  <si>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</si>
  <si>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</si>
  <si>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</si>
  <si>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</si>
  <si>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</si>
  <si>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</si>
  <si>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</si>
  <si>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</si>
  <si>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</si>
  <si>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</si>
  <si>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</si>
  <si>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</si>
  <si>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</si>
  <si>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</si>
  <si>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</si>
  <si>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</si>
  <si>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</si>
  <si>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</si>
  <si>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</si>
  <si>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</si>
  <si>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</si>
  <si>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</si>
  <si>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</si>
  <si>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</si>
  <si>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</si>
  <si>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</si>
  <si>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</si>
  <si>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</si>
  <si>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</si>
  <si>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</si>
  <si>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</si>
  <si>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</si>
  <si>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</si>
  <si>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</si>
  <si>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</si>
  <si>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</si>
  <si>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</si>
  <si>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</si>
  <si>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</si>
  <si>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</si>
  <si>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</si>
  <si>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</si>
  <si>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</si>
  <si>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</si>
  <si>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</si>
  <si>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</si>
  <si>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</si>
  <si>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</si>
  <si>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</si>
  <si>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</si>
  <si>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</si>
  <si>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</si>
  <si>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</si>
  <si>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</si>
  <si>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</si>
  <si>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</si>
  <si>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</si>
  <si>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</si>
  <si>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</si>
  <si>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</si>
  <si>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</si>
  <si>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</si>
  <si>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</si>
  <si>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</si>
  <si>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</si>
  <si>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</si>
  <si>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</si>
  <si>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</si>
  <si>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</si>
  <si>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</si>
  <si>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</si>
  <si>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</si>
  <si>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</si>
  <si>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</si>
  <si>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</si>
  <si>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</si>
  <si>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</si>
  <si>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</si>
  <si>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</si>
  <si>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</si>
  <si>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</si>
  <si>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</si>
  <si>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</si>
  <si>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</si>
  <si>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</si>
  <si>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</si>
  <si>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</si>
  <si>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</si>
  <si>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</si>
  <si>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</si>
  <si>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</si>
  <si>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</si>
  <si>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</si>
  <si>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</si>
  <si>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</si>
  <si>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</si>
  <si>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</si>
  <si>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</si>
  <si>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</si>
  <si>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</si>
  <si>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</si>
  <si>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</si>
  <si>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</si>
  <si>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</si>
  <si>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</si>
  <si>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</si>
  <si>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</si>
  <si>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</si>
  <si>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</si>
  <si>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</si>
  <si>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</si>
  <si>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</si>
  <si>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</si>
  <si>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</si>
  <si>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</si>
  <si>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</si>
  <si>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</si>
  <si>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</si>
  <si>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</si>
  <si>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</si>
  <si>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</si>
  <si>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</si>
  <si>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</si>
  <si>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</si>
  <si>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</si>
  <si>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</si>
  <si>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</si>
  <si>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</si>
  <si>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</si>
  <si>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</si>
  <si>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</si>
  <si>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</si>
  <si>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</si>
  <si>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</si>
  <si>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</si>
  <si>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</si>
  <si>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</si>
  <si>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</si>
  <si>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</si>
  <si>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</si>
  <si>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</si>
  <si>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</si>
  <si>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</si>
  <si>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</si>
  <si>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</si>
  <si>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</si>
  <si>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</si>
  <si>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</si>
  <si>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</si>
  <si>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Billing Contact:</t>
  </si>
  <si>
    <t>Volume ft3</t>
  </si>
  <si>
    <t>Volume Liter</t>
  </si>
  <si>
    <t>a11234 / a1234</t>
  </si>
  <si>
    <t>Cummins</t>
  </si>
  <si>
    <t>999</t>
  </si>
  <si>
    <t>small</t>
  </si>
  <si>
    <t xml:space="preserve">Billing Company Information </t>
  </si>
  <si>
    <t/>
  </si>
  <si>
    <t>Frank</t>
  </si>
  <si>
    <t>test</t>
  </si>
  <si>
    <t>75 Creamery RD</t>
  </si>
  <si>
    <t>Pottstpwn</t>
  </si>
  <si>
    <t>19465</t>
  </si>
  <si>
    <t>frank@hillcreekfarmpa.com</t>
  </si>
  <si>
    <t>610-996-9533</t>
  </si>
  <si>
    <t>a11234</t>
  </si>
  <si>
    <t>a1234</t>
  </si>
  <si>
    <t>Aqua Wastewater Management Inc.</t>
  </si>
  <si>
    <t>60 Schoolhouse &amp; Rd.</t>
  </si>
  <si>
    <t>Souderton</t>
  </si>
  <si>
    <t>18964</t>
  </si>
  <si>
    <t>Record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</si>
</sst>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23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4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3" Type="http://schemas.openxmlformats.org/officeDocument/2006/relationships/image" Target="../media/image52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2" Type="http://schemas.openxmlformats.org/officeDocument/2006/relationships/image" Target="../media/image53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9.emf"/><Relationship Id="rId3" Type="http://schemas.openxmlformats.org/officeDocument/2006/relationships/image" Target="../media/image74.emf"/><Relationship Id="rId7" Type="http://schemas.openxmlformats.org/officeDocument/2006/relationships/image" Target="../media/image70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5" Type="http://schemas.openxmlformats.org/officeDocument/2006/relationships/image" Target="../media/image72.emf"/><Relationship Id="rId10" Type="http://schemas.openxmlformats.org/officeDocument/2006/relationships/image" Target="../media/image67.emf"/><Relationship Id="rId4" Type="http://schemas.openxmlformats.org/officeDocument/2006/relationships/image" Target="../media/image73.emf"/><Relationship Id="rId9" Type="http://schemas.openxmlformats.org/officeDocument/2006/relationships/image" Target="../media/image6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8.emf"/><Relationship Id="rId1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</xdr:row>
          <xdr:rowOff>142875</xdr:rowOff>
        </xdr:from>
        <xdr:to>
          <xdr:col>7</xdr:col>
          <xdr:colOff>495300</xdr:colOff>
          <xdr:row>4</xdr:row>
          <xdr:rowOff>171450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8</xdr:row>
          <xdr:rowOff>28575</xdr:rowOff>
        </xdr:from>
        <xdr:to>
          <xdr:col>7</xdr:col>
          <xdr:colOff>466725</xdr:colOff>
          <xdr:row>10</xdr:row>
          <xdr:rowOff>57150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11</xdr:row>
          <xdr:rowOff>38100</xdr:rowOff>
        </xdr:from>
        <xdr:to>
          <xdr:col>7</xdr:col>
          <xdr:colOff>447675</xdr:colOff>
          <xdr:row>13</xdr:row>
          <xdr:rowOff>66675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152400</xdr:rowOff>
        </xdr:from>
        <xdr:to>
          <xdr:col>10</xdr:col>
          <xdr:colOff>266700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5</xdr:row>
          <xdr:rowOff>85725</xdr:rowOff>
        </xdr:from>
        <xdr:to>
          <xdr:col>10</xdr:col>
          <xdr:colOff>266700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8</xdr:row>
          <xdr:rowOff>19050</xdr:rowOff>
        </xdr:from>
        <xdr:to>
          <xdr:col>10</xdr:col>
          <xdr:colOff>266700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76200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57150</xdr:rowOff>
        </xdr:from>
        <xdr:to>
          <xdr:col>7</xdr:col>
          <xdr:colOff>476250</xdr:colOff>
          <xdr:row>7</xdr:row>
          <xdr:rowOff>95250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76200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76200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95250</xdr:rowOff>
        </xdr:from>
        <xdr:to>
          <xdr:col>4</xdr:col>
          <xdr:colOff>85725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95250</xdr:rowOff>
        </xdr:from>
        <xdr:to>
          <xdr:col>2</xdr:col>
          <xdr:colOff>447675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2</xdr:col>
          <xdr:colOff>2771775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2</xdr:col>
          <xdr:colOff>19050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2</xdr:col>
          <xdr:colOff>0</xdr:colOff>
          <xdr:row>3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161925</xdr:rowOff>
        </xdr:from>
        <xdr:to>
          <xdr:col>5</xdr:col>
          <xdr:colOff>933450</xdr:colOff>
          <xdr:row>81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171450</xdr:rowOff>
        </xdr:from>
        <xdr:to>
          <xdr:col>5</xdr:col>
          <xdr:colOff>923925</xdr:colOff>
          <xdr:row>82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83</xdr:row>
          <xdr:rowOff>0</xdr:rowOff>
        </xdr:from>
        <xdr:to>
          <xdr:col>5</xdr:col>
          <xdr:colOff>923925</xdr:colOff>
          <xdr:row>83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87</xdr:row>
          <xdr:rowOff>9525</xdr:rowOff>
        </xdr:from>
        <xdr:to>
          <xdr:col>5</xdr:col>
          <xdr:colOff>942975</xdr:colOff>
          <xdr:row>88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88</xdr:row>
          <xdr:rowOff>9525</xdr:rowOff>
        </xdr:from>
        <xdr:to>
          <xdr:col>5</xdr:col>
          <xdr:colOff>923925</xdr:colOff>
          <xdr:row>89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89</xdr:row>
          <xdr:rowOff>19050</xdr:rowOff>
        </xdr:from>
        <xdr:to>
          <xdr:col>5</xdr:col>
          <xdr:colOff>923925</xdr:colOff>
          <xdr:row>90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28575</xdr:rowOff>
        </xdr:from>
        <xdr:to>
          <xdr:col>5</xdr:col>
          <xdr:colOff>1009650</xdr:colOff>
          <xdr:row>94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66675</xdr:rowOff>
        </xdr:from>
        <xdr:to>
          <xdr:col>8</xdr:col>
          <xdr:colOff>238125</xdr:colOff>
          <xdr:row>10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66675</xdr:rowOff>
        </xdr:from>
        <xdr:to>
          <xdr:col>8</xdr:col>
          <xdr:colOff>238125</xdr:colOff>
          <xdr:row>22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66675</xdr:rowOff>
        </xdr:from>
        <xdr:to>
          <xdr:col>8</xdr:col>
          <xdr:colOff>238125</xdr:colOff>
          <xdr:row>34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66675</xdr:rowOff>
        </xdr:from>
        <xdr:to>
          <xdr:col>8</xdr:col>
          <xdr:colOff>238125</xdr:colOff>
          <xdr:row>42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66675</xdr:rowOff>
        </xdr:from>
        <xdr:to>
          <xdr:col>8</xdr:col>
          <xdr:colOff>238125</xdr:colOff>
          <xdr:row>52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66675</xdr:rowOff>
        </xdr:from>
        <xdr:to>
          <xdr:col>8</xdr:col>
          <xdr:colOff>238125</xdr:colOff>
          <xdr:row>58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66675</xdr:rowOff>
        </xdr:from>
        <xdr:to>
          <xdr:col>8</xdr:col>
          <xdr:colOff>238125</xdr:colOff>
          <xdr:row>85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66675</xdr:rowOff>
        </xdr:from>
        <xdr:to>
          <xdr:col>8</xdr:col>
          <xdr:colOff>238125</xdr:colOff>
          <xdr:row>91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19050</xdr:rowOff>
        </xdr:from>
        <xdr:to>
          <xdr:col>8</xdr:col>
          <xdr:colOff>238125</xdr:colOff>
          <xdr:row>7</xdr:row>
          <xdr:rowOff>66675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5.xml"/><Relationship Id="rId18" Type="http://schemas.openxmlformats.org/officeDocument/2006/relationships/image" Target="../media/image54.emf"/><Relationship Id="rId26" Type="http://schemas.openxmlformats.org/officeDocument/2006/relationships/image" Target="../media/image58.emf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1.xml"/><Relationship Id="rId34" Type="http://schemas.openxmlformats.org/officeDocument/2006/relationships/image" Target="../media/image62.emf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control" Target="../activeX/activeX59.xml"/><Relationship Id="rId25" Type="http://schemas.openxmlformats.org/officeDocument/2006/relationships/control" Target="../activeX/activeX63.xml"/><Relationship Id="rId33" Type="http://schemas.openxmlformats.org/officeDocument/2006/relationships/control" Target="../activeX/activeX67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image" Target="../media/image55.emf"/><Relationship Id="rId29" Type="http://schemas.openxmlformats.org/officeDocument/2006/relationships/control" Target="../activeX/activeX6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image" Target="../media/image57.emf"/><Relationship Id="rId32" Type="http://schemas.openxmlformats.org/officeDocument/2006/relationships/image" Target="../media/image61.emf"/><Relationship Id="rId5" Type="http://schemas.openxmlformats.org/officeDocument/2006/relationships/image" Target="../media/image50.emf"/><Relationship Id="rId15" Type="http://schemas.openxmlformats.org/officeDocument/2006/relationships/control" Target="../activeX/activeX57.xml"/><Relationship Id="rId23" Type="http://schemas.openxmlformats.org/officeDocument/2006/relationships/control" Target="../activeX/activeX62.xml"/><Relationship Id="rId28" Type="http://schemas.openxmlformats.org/officeDocument/2006/relationships/image" Target="../media/image59.emf"/><Relationship Id="rId36" Type="http://schemas.openxmlformats.org/officeDocument/2006/relationships/image" Target="../media/image63.emf"/><Relationship Id="rId10" Type="http://schemas.openxmlformats.org/officeDocument/2006/relationships/control" Target="../activeX/activeX53.xml"/><Relationship Id="rId19" Type="http://schemas.openxmlformats.org/officeDocument/2006/relationships/control" Target="../activeX/activeX60.xml"/><Relationship Id="rId31" Type="http://schemas.openxmlformats.org/officeDocument/2006/relationships/control" Target="../activeX/activeX66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6.xml"/><Relationship Id="rId22" Type="http://schemas.openxmlformats.org/officeDocument/2006/relationships/image" Target="../media/image56.emf"/><Relationship Id="rId27" Type="http://schemas.openxmlformats.org/officeDocument/2006/relationships/control" Target="../activeX/activeX64.xml"/><Relationship Id="rId30" Type="http://schemas.openxmlformats.org/officeDocument/2006/relationships/image" Target="../media/image60.emf"/><Relationship Id="rId35" Type="http://schemas.openxmlformats.org/officeDocument/2006/relationships/control" Target="../activeX/activeX6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5" Type="http://schemas.openxmlformats.org/officeDocument/2006/relationships/image" Target="../media/image64.emf"/><Relationship Id="rId4" Type="http://schemas.openxmlformats.org/officeDocument/2006/relationships/control" Target="../activeX/activeX69.xml"/><Relationship Id="rId9" Type="http://schemas.openxmlformats.org/officeDocument/2006/relationships/image" Target="../media/image6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1.emf"/><Relationship Id="rId18" Type="http://schemas.openxmlformats.org/officeDocument/2006/relationships/control" Target="../activeX/activeX79.xml"/><Relationship Id="rId26" Type="http://schemas.openxmlformats.org/officeDocument/2006/relationships/control" Target="../activeX/activeX84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5.emf"/><Relationship Id="rId7" Type="http://schemas.openxmlformats.org/officeDocument/2006/relationships/image" Target="../media/image68.emf"/><Relationship Id="rId12" Type="http://schemas.openxmlformats.org/officeDocument/2006/relationships/control" Target="../activeX/activeX76.xml"/><Relationship Id="rId17" Type="http://schemas.openxmlformats.org/officeDocument/2006/relationships/image" Target="../media/image73.emf"/><Relationship Id="rId25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8.xml"/><Relationship Id="rId20" Type="http://schemas.openxmlformats.org/officeDocument/2006/relationships/control" Target="../activeX/activeX8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3.xml"/><Relationship Id="rId11" Type="http://schemas.openxmlformats.org/officeDocument/2006/relationships/image" Target="../media/image70.emf"/><Relationship Id="rId24" Type="http://schemas.openxmlformats.org/officeDocument/2006/relationships/control" Target="../activeX/activeX82.xml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23" Type="http://schemas.openxmlformats.org/officeDocument/2006/relationships/image" Target="../media/image76.emf"/><Relationship Id="rId10" Type="http://schemas.openxmlformats.org/officeDocument/2006/relationships/control" Target="../activeX/activeX75.xml"/><Relationship Id="rId19" Type="http://schemas.openxmlformats.org/officeDocument/2006/relationships/image" Target="../media/image74.emf"/><Relationship Id="rId4" Type="http://schemas.openxmlformats.org/officeDocument/2006/relationships/control" Target="../activeX/activeX72.xml"/><Relationship Id="rId9" Type="http://schemas.openxmlformats.org/officeDocument/2006/relationships/image" Target="../media/image69.emf"/><Relationship Id="rId14" Type="http://schemas.openxmlformats.org/officeDocument/2006/relationships/control" Target="../activeX/activeX77.xml"/><Relationship Id="rId22" Type="http://schemas.openxmlformats.org/officeDocument/2006/relationships/control" Target="../activeX/activeX8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6.xml"/><Relationship Id="rId5" Type="http://schemas.openxmlformats.org/officeDocument/2006/relationships/image" Target="../media/image77.emf"/><Relationship Id="rId4" Type="http://schemas.openxmlformats.org/officeDocument/2006/relationships/control" Target="../activeX/activeX85.xml"/><Relationship Id="rId9" Type="http://schemas.openxmlformats.org/officeDocument/2006/relationships/image" Target="../media/image7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</cols>
  <sheetData>
    <row r="3" spans="2:11" x14ac:dyDescent="0.25">
      <c r="B3" s="51"/>
      <c r="C3" s="52"/>
      <c r="D3" s="52"/>
      <c r="E3" s="52"/>
      <c r="F3" s="70"/>
      <c r="G3" s="70"/>
      <c r="H3" s="70"/>
      <c r="I3" s="70"/>
      <c r="J3" s="70"/>
      <c r="K3" s="71"/>
    </row>
    <row r="4" spans="2:11" x14ac:dyDescent="0.25">
      <c r="B4" s="53"/>
      <c r="C4" s="54"/>
      <c r="D4" s="54"/>
      <c r="E4" s="54"/>
      <c r="F4" s="72"/>
      <c r="G4" s="72"/>
      <c r="H4" s="72"/>
      <c r="I4" s="72"/>
      <c r="J4" s="72"/>
      <c r="K4" s="73"/>
    </row>
    <row r="5" spans="2:11" x14ac:dyDescent="0.25">
      <c r="B5" s="53"/>
      <c r="C5" s="54"/>
      <c r="D5" s="54"/>
      <c r="E5" s="54"/>
      <c r="F5" s="72"/>
      <c r="G5" s="72"/>
      <c r="H5" s="72"/>
      <c r="I5" s="72"/>
      <c r="J5" s="72"/>
      <c r="K5" s="73"/>
    </row>
    <row r="6" spans="2:11" x14ac:dyDescent="0.25">
      <c r="B6" s="53"/>
      <c r="C6" s="54"/>
      <c r="D6" s="54"/>
      <c r="E6" s="54"/>
      <c r="F6" s="72"/>
      <c r="G6" s="72"/>
      <c r="H6" s="72"/>
      <c r="I6" s="72"/>
      <c r="J6" s="72"/>
      <c r="K6" s="73"/>
    </row>
    <row r="7" spans="2:11" x14ac:dyDescent="0.25">
      <c r="B7" s="53"/>
      <c r="C7" s="54"/>
      <c r="D7" s="54"/>
      <c r="E7" s="54"/>
      <c r="F7" s="72"/>
      <c r="G7" s="72"/>
      <c r="H7" s="72"/>
      <c r="I7" s="72"/>
      <c r="J7" s="72"/>
      <c r="K7" s="73"/>
    </row>
    <row r="8" spans="2:11" x14ac:dyDescent="0.25">
      <c r="B8" s="53"/>
      <c r="C8" s="54"/>
      <c r="D8" s="54"/>
      <c r="E8" s="54"/>
      <c r="F8" s="72"/>
      <c r="G8" s="72"/>
      <c r="H8" s="72"/>
      <c r="I8" s="72"/>
      <c r="J8" s="72"/>
      <c r="K8" s="73"/>
    </row>
    <row r="9" spans="2:11" x14ac:dyDescent="0.25">
      <c r="B9" s="53"/>
      <c r="C9" s="54"/>
      <c r="D9" s="54"/>
      <c r="E9" s="54"/>
      <c r="F9" s="72"/>
      <c r="G9" s="72"/>
      <c r="H9" s="72"/>
      <c r="I9" s="72"/>
      <c r="J9" s="72"/>
      <c r="K9" s="73"/>
    </row>
    <row r="10" spans="2:11" x14ac:dyDescent="0.25">
      <c r="B10" s="53"/>
      <c r="C10" s="54"/>
      <c r="D10" s="54"/>
      <c r="E10" s="54"/>
      <c r="F10" s="72"/>
      <c r="G10" s="72"/>
      <c r="H10" s="72"/>
      <c r="I10" s="72"/>
      <c r="J10" s="72"/>
      <c r="K10" s="73"/>
    </row>
    <row r="11" spans="2:11" x14ac:dyDescent="0.25">
      <c r="B11" s="53"/>
      <c r="C11" s="54"/>
      <c r="D11" s="54"/>
      <c r="E11" s="54"/>
      <c r="F11" s="72"/>
      <c r="G11" s="72"/>
      <c r="H11" s="72"/>
      <c r="I11" s="72"/>
      <c r="J11" s="72"/>
      <c r="K11" s="73"/>
    </row>
    <row r="12" spans="2:11" x14ac:dyDescent="0.25">
      <c r="B12" s="53"/>
      <c r="C12" s="54"/>
      <c r="D12" s="54"/>
      <c r="E12" s="54"/>
      <c r="F12" s="72"/>
      <c r="G12" s="72"/>
      <c r="H12" s="72"/>
      <c r="I12" s="72"/>
      <c r="J12" s="72"/>
      <c r="K12" s="73"/>
    </row>
    <row r="13" spans="2:11" x14ac:dyDescent="0.25">
      <c r="B13" s="53"/>
      <c r="C13" s="54"/>
      <c r="D13" s="54"/>
      <c r="E13" s="54"/>
      <c r="F13" s="72"/>
      <c r="G13" s="72"/>
      <c r="H13" s="72"/>
      <c r="I13" s="72"/>
      <c r="J13" s="72"/>
      <c r="K13" s="73"/>
    </row>
    <row r="14" spans="2:11" x14ac:dyDescent="0.25">
      <c r="B14" s="55"/>
      <c r="C14" s="56"/>
      <c r="D14" s="56"/>
      <c r="E14" s="56"/>
      <c r="F14" s="74"/>
      <c r="G14" s="74"/>
      <c r="H14" s="74"/>
      <c r="I14" s="74"/>
      <c r="J14" s="74"/>
      <c r="K14" s="75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76200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76200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323850</xdr:colOff>
                <xdr:row>5</xdr:row>
                <xdr:rowOff>57150</xdr:rowOff>
              </from>
              <to>
                <xdr:col>7</xdr:col>
                <xdr:colOff>476250</xdr:colOff>
                <xdr:row>7</xdr:row>
                <xdr:rowOff>95250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76200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114300</xdr:colOff>
                <xdr:row>8</xdr:row>
                <xdr:rowOff>19050</xdr:rowOff>
              </from>
              <to>
                <xdr:col>10</xdr:col>
                <xdr:colOff>266700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342900</xdr:colOff>
                <xdr:row>2</xdr:row>
                <xdr:rowOff>142875</xdr:rowOff>
              </from>
              <to>
                <xdr:col>7</xdr:col>
                <xdr:colOff>495300</xdr:colOff>
                <xdr:row>4</xdr:row>
                <xdr:rowOff>171450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314325</xdr:colOff>
                <xdr:row>8</xdr:row>
                <xdr:rowOff>28575</xdr:rowOff>
              </from>
              <to>
                <xdr:col>7</xdr:col>
                <xdr:colOff>466725</xdr:colOff>
                <xdr:row>10</xdr:row>
                <xdr:rowOff>57150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295275</xdr:colOff>
                <xdr:row>11</xdr:row>
                <xdr:rowOff>38100</xdr:rowOff>
              </from>
              <to>
                <xdr:col>7</xdr:col>
                <xdr:colOff>447675</xdr:colOff>
                <xdr:row>13</xdr:row>
                <xdr:rowOff>66675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114300</xdr:colOff>
                <xdr:row>2</xdr:row>
                <xdr:rowOff>152400</xdr:rowOff>
              </from>
              <to>
                <xdr:col>10</xdr:col>
                <xdr:colOff>266700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114300</xdr:colOff>
                <xdr:row>5</xdr:row>
                <xdr:rowOff>85725</xdr:rowOff>
              </from>
              <to>
                <xdr:col>10</xdr:col>
                <xdr:colOff>266700</xdr:colOff>
                <xdr:row>7</xdr:row>
                <xdr:rowOff>114300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1</xdr:col>
                <xdr:colOff>209550</xdr:colOff>
                <xdr:row>10</xdr:row>
                <xdr:rowOff>95250</xdr:rowOff>
              </from>
              <to>
                <xdr:col>4</xdr:col>
                <xdr:colOff>85725</xdr:colOff>
                <xdr:row>12</xdr:row>
                <xdr:rowOff>123825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0"/>
  <sheetViews>
    <sheetView showGridLines="0" tabSelected="1" workbookViewId="0">
      <selection activeCell="C5" sqref="C5"/>
    </sheetView>
  </sheetViews>
  <sheetFormatPr defaultRowHeight="30" customHeight="1" x14ac:dyDescent="0.25"/>
  <cols>
    <col min="2" max="2" width="30.85546875" style="16" bestFit="1" customWidth="1"/>
    <col min="3" max="3" width="47.5703125" style="15" customWidth="1"/>
    <col min="6" max="6" width="32.5703125" customWidth="1"/>
  </cols>
  <sheetData>
    <row r="1" spans="2:6" ht="30" customHeight="1" x14ac:dyDescent="0.25">
      <c r="C1" s="14"/>
    </row>
    <row r="2" spans="2:6" ht="30" customHeight="1" x14ac:dyDescent="0.25">
      <c r="B2" s="17" t="s">
        <v>90</v>
      </c>
      <c r="C2" s="21">
        <v>18</v>
      </c>
    </row>
    <row r="3" spans="2:6" ht="30" customHeight="1" x14ac:dyDescent="0.25">
      <c r="B3" s="17" t="s">
        <v>90</v>
      </c>
      <c r="C3" s="20" t="s">
        <v>273</v>
      </c>
      <c r="F3" s="57"/>
    </row>
    <row r="4" spans="2:6" ht="30" customHeight="1" x14ac:dyDescent="0.25">
      <c r="B4" s="17" t="s">
        <v>91</v>
      </c>
      <c r="C4" s="20" t="s">
        <v>274</v>
      </c>
      <c r="F4" s="60" t="s">
        <v>277</v>
      </c>
    </row>
    <row r="5" spans="2:6" ht="30" customHeight="1" x14ac:dyDescent="0.25">
      <c r="B5" s="17" t="s">
        <v>92</v>
      </c>
      <c r="C5" s="20" t="s">
        <v>263</v>
      </c>
    </row>
    <row r="6" spans="2:6" ht="30" customHeight="1" x14ac:dyDescent="0.25">
      <c r="B6" s="17" t="s">
        <v>93</v>
      </c>
      <c r="C6" s="20" t="s">
        <v>275</v>
      </c>
    </row>
    <row r="7" spans="2:6" ht="30" customHeight="1" x14ac:dyDescent="0.25">
      <c r="B7" s="17" t="s">
        <v>94</v>
      </c>
      <c r="C7" s="20"/>
    </row>
    <row r="8" spans="2:6" ht="30" customHeight="1" x14ac:dyDescent="0.25">
      <c r="B8" s="17" t="s">
        <v>95</v>
      </c>
      <c r="C8" s="20" t="s">
        <v>276</v>
      </c>
    </row>
    <row r="9" spans="2:6" ht="30" customHeight="1" x14ac:dyDescent="0.25">
      <c r="B9" s="17" t="s">
        <v>96</v>
      </c>
      <c r="C9" s="20"/>
    </row>
    <row r="10" spans="2:6" ht="30" customHeight="1" x14ac:dyDescent="0.25">
      <c r="B10" s="17" t="s">
        <v>255</v>
      </c>
      <c r="C10" s="20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8</xdr:row>
                <xdr:rowOff>95250</xdr:rowOff>
              </from>
              <to>
                <xdr:col>2</xdr:col>
                <xdr:colOff>447675</xdr:colOff>
                <xdr:row>8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2771775</xdr:colOff>
                <xdr:row>9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5" customWidth="1"/>
    <col min="4" max="4" width="26.5703125" customWidth="1"/>
  </cols>
  <sheetData>
    <row r="2" spans="1:4" ht="30" customHeight="1" x14ac:dyDescent="0.25">
      <c r="A2" s="6" t="s">
        <v>77</v>
      </c>
      <c r="B2" s="18"/>
    </row>
    <row r="3" spans="1:4" ht="30" customHeight="1" x14ac:dyDescent="0.25">
      <c r="A3" s="6" t="s">
        <v>70</v>
      </c>
      <c r="B3" s="21">
        <v>28</v>
      </c>
    </row>
    <row r="4" spans="1:4" ht="30" customHeight="1" x14ac:dyDescent="0.25">
      <c r="A4" s="6" t="s">
        <v>71</v>
      </c>
      <c r="B4" s="20"/>
      <c r="D4" s="60"/>
    </row>
    <row r="5" spans="1:4" ht="30" customHeight="1" x14ac:dyDescent="0.25">
      <c r="A5" s="6" t="s">
        <v>6</v>
      </c>
      <c r="B5" s="20"/>
    </row>
    <row r="6" spans="1:4" ht="30" customHeight="1" x14ac:dyDescent="0.25">
      <c r="A6" s="6" t="s">
        <v>69</v>
      </c>
      <c r="B6" s="20"/>
    </row>
    <row r="7" spans="1:4" ht="30" customHeight="1" x14ac:dyDescent="0.25">
      <c r="A7" s="6" t="s">
        <v>7</v>
      </c>
      <c r="B7" s="20"/>
    </row>
    <row r="8" spans="1:4" ht="30" customHeight="1" x14ac:dyDescent="0.25">
      <c r="A8" s="6" t="s">
        <v>8</v>
      </c>
      <c r="B8" s="20"/>
    </row>
    <row r="9" spans="1:4" ht="30" customHeight="1" x14ac:dyDescent="0.25">
      <c r="A9" s="6" t="s">
        <v>9</v>
      </c>
      <c r="B9" s="20"/>
    </row>
    <row r="10" spans="1:4" ht="30" customHeight="1" x14ac:dyDescent="0.25">
      <c r="A10" s="6" t="s">
        <v>237</v>
      </c>
      <c r="B10" s="20"/>
    </row>
    <row r="11" spans="1:4" ht="30" customHeight="1" x14ac:dyDescent="0.25">
      <c r="A11" s="6"/>
      <c r="B11" s="14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5" customWidth="1"/>
    <col min="4" max="4" width="35.5703125" customWidth="1"/>
  </cols>
  <sheetData>
    <row r="1" spans="1:7" ht="30" customHeight="1" x14ac:dyDescent="0.25">
      <c r="B1" s="14"/>
    </row>
    <row r="2" spans="1:7" ht="30" customHeight="1" x14ac:dyDescent="0.25">
      <c r="A2" s="6" t="s">
        <v>77</v>
      </c>
      <c r="B2" s="18"/>
    </row>
    <row r="3" spans="1:7" ht="30" customHeight="1" x14ac:dyDescent="0.25">
      <c r="A3" s="6" t="s">
        <v>88</v>
      </c>
      <c r="B3" s="21">
        <v>28</v>
      </c>
      <c r="D3" s="25"/>
      <c r="E3" s="24"/>
      <c r="F3" s="24"/>
      <c r="G3" s="24"/>
    </row>
    <row r="4" spans="1:7" ht="30" customHeight="1" x14ac:dyDescent="0.25">
      <c r="A4" s="6" t="s">
        <v>89</v>
      </c>
      <c r="B4" s="19"/>
    </row>
    <row r="5" spans="1:7" ht="30" customHeight="1" x14ac:dyDescent="0.25">
      <c r="A5" s="6" t="s">
        <v>11</v>
      </c>
      <c r="B5" s="20"/>
    </row>
    <row r="6" spans="1:7" ht="30" customHeight="1" x14ac:dyDescent="0.25">
      <c r="A6" s="6" t="s">
        <v>12</v>
      </c>
      <c r="B6" s="20"/>
    </row>
    <row r="7" spans="1:7" ht="30" customHeight="1" x14ac:dyDescent="0.25">
      <c r="A7" s="6" t="s">
        <v>6</v>
      </c>
      <c r="B7" s="20"/>
    </row>
    <row r="8" spans="1:7" ht="30" customHeight="1" x14ac:dyDescent="0.25">
      <c r="A8" s="6" t="s">
        <v>69</v>
      </c>
      <c r="B8" s="20"/>
    </row>
    <row r="9" spans="1:7" ht="30" customHeight="1" x14ac:dyDescent="0.25">
      <c r="A9" s="6" t="s">
        <v>7</v>
      </c>
      <c r="B9" s="20"/>
    </row>
    <row r="10" spans="1:7" ht="30" customHeight="1" x14ac:dyDescent="0.25">
      <c r="A10" s="6" t="s">
        <v>8</v>
      </c>
      <c r="B10" s="20"/>
    </row>
    <row r="11" spans="1:7" ht="30" customHeight="1" x14ac:dyDescent="0.25">
      <c r="A11" s="6" t="s">
        <v>9</v>
      </c>
      <c r="B11" s="20"/>
    </row>
    <row r="12" spans="1:7" ht="30" customHeight="1" x14ac:dyDescent="0.25">
      <c r="A12" s="6" t="s">
        <v>86</v>
      </c>
      <c r="B12" s="23"/>
    </row>
    <row r="13" spans="1:7" ht="30" customHeight="1" x14ac:dyDescent="0.25">
      <c r="A13" s="6" t="s">
        <v>87</v>
      </c>
      <c r="B13" s="20"/>
    </row>
    <row r="14" spans="1:7" ht="30" customHeight="1" x14ac:dyDescent="0.25">
      <c r="A14" s="6" t="s">
        <v>68</v>
      </c>
      <c r="B14" s="20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A4" sqref="A4"/>
    </sheetView>
  </sheetViews>
  <sheetFormatPr defaultRowHeight="30" customHeight="1" x14ac:dyDescent="0.25"/>
  <cols>
    <col min="1" max="1" width="30.85546875" bestFit="1" customWidth="1"/>
    <col min="2" max="2" width="46" style="15" customWidth="1"/>
    <col min="4" max="4" width="23.42578125" customWidth="1"/>
  </cols>
  <sheetData>
    <row r="1" spans="1:4" ht="30" customHeight="1" x14ac:dyDescent="0.25">
      <c r="B1" s="14"/>
    </row>
    <row r="2" spans="1:4" ht="30" customHeight="1" x14ac:dyDescent="0.25">
      <c r="A2" s="6" t="s">
        <v>77</v>
      </c>
      <c r="B2" s="18"/>
    </row>
    <row r="3" spans="1:4" ht="30" customHeight="1" x14ac:dyDescent="0.25">
      <c r="A3" s="6" t="s">
        <v>27</v>
      </c>
      <c r="B3" s="20"/>
      <c r="D3" s="60"/>
    </row>
    <row r="4" spans="1:4" ht="30" customHeight="1" x14ac:dyDescent="0.25">
      <c r="A4" s="6" t="s">
        <v>72</v>
      </c>
      <c r="B4" s="21">
        <v>28</v>
      </c>
    </row>
    <row r="5" spans="1:4" ht="30" customHeight="1" x14ac:dyDescent="0.25">
      <c r="A5" s="6" t="s">
        <v>242</v>
      </c>
      <c r="B5" s="19"/>
    </row>
    <row r="6" spans="1:4" ht="30" customHeight="1" x14ac:dyDescent="0.25">
      <c r="A6" s="6" t="s">
        <v>73</v>
      </c>
      <c r="B6" s="20"/>
    </row>
    <row r="7" spans="1:4" ht="30" customHeight="1" x14ac:dyDescent="0.25">
      <c r="A7" s="6" t="s">
        <v>74</v>
      </c>
      <c r="B7" s="20"/>
    </row>
    <row r="8" spans="1:4" ht="30" customHeight="1" x14ac:dyDescent="0.25">
      <c r="A8" s="6" t="s">
        <v>28</v>
      </c>
      <c r="B8" s="20"/>
    </row>
    <row r="9" spans="1:4" ht="30" customHeight="1" x14ac:dyDescent="0.25">
      <c r="A9" s="6" t="s">
        <v>29</v>
      </c>
      <c r="B9" s="20"/>
    </row>
    <row r="10" spans="1:4" ht="30" customHeight="1" x14ac:dyDescent="0.25">
      <c r="A10" s="6"/>
      <c r="B10" s="14"/>
    </row>
    <row r="11" spans="1:4" ht="30" customHeight="1" x14ac:dyDescent="0.25">
      <c r="A11" s="6"/>
      <c r="B11" s="14"/>
    </row>
    <row r="12" spans="1:4" ht="30" customHeight="1" x14ac:dyDescent="0.25">
      <c r="A12" s="6"/>
      <c r="B12" s="14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3" sqref="D3"/>
    </sheetView>
  </sheetViews>
  <sheetFormatPr defaultRowHeight="30" customHeight="1" x14ac:dyDescent="0.25"/>
  <cols>
    <col min="1" max="1" width="13.28515625" customWidth="1"/>
    <col min="2" max="2" width="23.140625" style="15" customWidth="1"/>
    <col min="3" max="3" width="6.5703125" customWidth="1"/>
    <col min="4" max="4" width="20.5703125" customWidth="1"/>
  </cols>
  <sheetData>
    <row r="1" spans="1:4" ht="30" customHeight="1" x14ac:dyDescent="0.25">
      <c r="B1" s="14"/>
    </row>
    <row r="2" spans="1:4" ht="30" customHeight="1" x14ac:dyDescent="0.25">
      <c r="A2" s="6" t="s">
        <v>77</v>
      </c>
      <c r="B2" s="18"/>
    </row>
    <row r="3" spans="1:4" ht="30" customHeight="1" x14ac:dyDescent="0.25">
      <c r="A3" s="6" t="s">
        <v>42</v>
      </c>
      <c r="B3" s="21"/>
      <c r="D3" s="60"/>
    </row>
    <row r="4" spans="1:4" ht="30" customHeight="1" x14ac:dyDescent="0.25">
      <c r="A4" s="6" t="s">
        <v>78</v>
      </c>
      <c r="B4" s="21"/>
    </row>
    <row r="5" spans="1:4" ht="30" customHeight="1" x14ac:dyDescent="0.25">
      <c r="A5" s="6" t="s">
        <v>79</v>
      </c>
      <c r="B5" s="19"/>
    </row>
    <row r="6" spans="1:4" ht="30" customHeight="1" x14ac:dyDescent="0.25">
      <c r="A6" s="6" t="s">
        <v>73</v>
      </c>
      <c r="B6" s="20"/>
    </row>
    <row r="7" spans="1:4" ht="30" customHeight="1" x14ac:dyDescent="0.25">
      <c r="A7" s="6" t="s">
        <v>28</v>
      </c>
      <c r="B7" s="20"/>
    </row>
    <row r="8" spans="1:4" ht="30" customHeight="1" x14ac:dyDescent="0.25">
      <c r="A8" s="6" t="s">
        <v>29</v>
      </c>
      <c r="B8" s="58"/>
    </row>
    <row r="9" spans="1:4" ht="30" customHeight="1" x14ac:dyDescent="0.25">
      <c r="A9" s="6"/>
      <c r="B9" s="14"/>
    </row>
    <row r="10" spans="1:4" ht="30" customHeight="1" x14ac:dyDescent="0.25">
      <c r="A10" s="6"/>
      <c r="B10" s="14"/>
    </row>
    <row r="11" spans="1:4" ht="30" customHeight="1" x14ac:dyDescent="0.25">
      <c r="A11" s="6"/>
      <c r="B11" s="14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5" customWidth="1"/>
  </cols>
  <sheetData>
    <row r="1" spans="1:2" ht="30" customHeight="1" x14ac:dyDescent="0.25">
      <c r="B1" s="14"/>
    </row>
    <row r="2" spans="1:2" ht="30" customHeight="1" x14ac:dyDescent="0.25">
      <c r="A2" s="4" t="s">
        <v>75</v>
      </c>
      <c r="B2" s="18"/>
    </row>
    <row r="3" spans="1:2" ht="30" customHeight="1" x14ac:dyDescent="0.25">
      <c r="A3" s="7" t="s">
        <v>76</v>
      </c>
      <c r="B3" s="19"/>
    </row>
    <row r="4" spans="1:2" ht="30" customHeight="1" x14ac:dyDescent="0.25">
      <c r="A4" s="6" t="s">
        <v>42</v>
      </c>
      <c r="B4" s="20"/>
    </row>
    <row r="5" spans="1:2" ht="30" customHeight="1" x14ac:dyDescent="0.25">
      <c r="A5" s="6"/>
      <c r="B5" s="14"/>
    </row>
    <row r="6" spans="1:2" ht="30" customHeight="1" x14ac:dyDescent="0.25">
      <c r="A6" s="6"/>
      <c r="B6" s="14"/>
    </row>
    <row r="7" spans="1:2" ht="30" customHeight="1" x14ac:dyDescent="0.25">
      <c r="A7" s="6"/>
      <c r="B7" s="14"/>
    </row>
    <row r="8" spans="1:2" ht="30" customHeight="1" x14ac:dyDescent="0.25">
      <c r="A8" s="6"/>
      <c r="B8" s="14"/>
    </row>
    <row r="9" spans="1:2" ht="30" customHeight="1" x14ac:dyDescent="0.25">
      <c r="A9" s="6"/>
      <c r="B9" s="14"/>
    </row>
    <row r="10" spans="1:2" ht="30" customHeight="1" x14ac:dyDescent="0.25">
      <c r="A10" s="6"/>
      <c r="B10" s="14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5" customWidth="1"/>
    <col min="5" max="5" width="22" customWidth="1"/>
  </cols>
  <sheetData>
    <row r="1" spans="1:5" ht="30" customHeight="1" x14ac:dyDescent="0.25">
      <c r="B1" s="14"/>
    </row>
    <row r="2" spans="1:5" ht="30" customHeight="1" x14ac:dyDescent="0.25">
      <c r="A2" s="4" t="s">
        <v>77</v>
      </c>
      <c r="B2" s="18"/>
    </row>
    <row r="3" spans="1:5" ht="30" customHeight="1" x14ac:dyDescent="0.25">
      <c r="A3" s="4" t="s">
        <v>80</v>
      </c>
      <c r="B3" s="21">
        <v>28</v>
      </c>
      <c r="E3" s="60"/>
    </row>
    <row r="4" spans="1:5" ht="30" customHeight="1" x14ac:dyDescent="0.25">
      <c r="A4" s="7" t="s">
        <v>81</v>
      </c>
      <c r="B4" s="19"/>
    </row>
    <row r="5" spans="1:5" ht="30" customHeight="1" x14ac:dyDescent="0.25">
      <c r="A5" s="6" t="s">
        <v>82</v>
      </c>
      <c r="B5" s="20"/>
    </row>
    <row r="6" spans="1:5" ht="30" customHeight="1" x14ac:dyDescent="0.25">
      <c r="A6" s="6" t="s">
        <v>42</v>
      </c>
      <c r="B6" s="20"/>
    </row>
    <row r="7" spans="1:5" ht="30" customHeight="1" x14ac:dyDescent="0.25">
      <c r="A7" s="6" t="s">
        <v>83</v>
      </c>
      <c r="B7" s="20"/>
    </row>
    <row r="8" spans="1:5" ht="30" customHeight="1" x14ac:dyDescent="0.25">
      <c r="A8" s="6" t="s">
        <v>84</v>
      </c>
      <c r="B8" s="20"/>
    </row>
    <row r="9" spans="1:5" ht="30" customHeight="1" x14ac:dyDescent="0.25">
      <c r="A9" s="6" t="s">
        <v>40</v>
      </c>
      <c r="B9" s="20"/>
    </row>
    <row r="10" spans="1:5" ht="30" customHeight="1" x14ac:dyDescent="0.25">
      <c r="A10" s="6" t="s">
        <v>85</v>
      </c>
      <c r="B10" s="20"/>
    </row>
    <row r="11" spans="1:5" ht="30" customHeight="1" x14ac:dyDescent="0.25">
      <c r="A11" s="6" t="s">
        <v>44</v>
      </c>
      <c r="B11" s="20"/>
    </row>
    <row r="12" spans="1:5" ht="30" customHeight="1" x14ac:dyDescent="0.25">
      <c r="A12" s="6" t="s">
        <v>45</v>
      </c>
      <c r="B12" s="22"/>
    </row>
    <row r="13" spans="1:5" ht="30" customHeight="1" x14ac:dyDescent="0.25">
      <c r="A13" s="6" t="s">
        <v>46</v>
      </c>
      <c r="B13" s="22"/>
    </row>
    <row r="14" spans="1:5" ht="30" customHeight="1" x14ac:dyDescent="0.25">
      <c r="A14" s="6" t="s">
        <v>47</v>
      </c>
      <c r="B14" s="22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L17" sqref="L17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</row>
    <row r="5" spans="5:6" x14ac:dyDescent="0.25">
      <c r="E5" s="2" t="s">
        <v>1</v>
      </c>
      <c r="F5" s="2">
        <v>5</v>
      </c>
    </row>
    <row r="6" spans="5:6" x14ac:dyDescent="0.25">
      <c r="E6" s="2" t="s">
        <v>2</v>
      </c>
      <c r="F6" s="3">
        <v>43438.035416516206</v>
      </c>
    </row>
    <row r="7" spans="5:6" x14ac:dyDescent="0.25">
      <c r="E7" s="4" t="s">
        <v>262</v>
      </c>
      <c r="F7" s="3"/>
    </row>
    <row r="8" spans="5:6" x14ac:dyDescent="0.25">
      <c r="E8" s="2"/>
      <c r="F8" s="3"/>
    </row>
    <row r="10" spans="5:6" ht="23.45" customHeight="1" x14ac:dyDescent="0.25">
      <c r="E10" s="4" t="s">
        <v>3</v>
      </c>
      <c r="F10" s="5"/>
    </row>
    <row r="11" spans="5:6" x14ac:dyDescent="0.25">
      <c r="E11" s="6" t="s">
        <v>4</v>
      </c>
      <c r="F11" s="2">
        <v>8</v>
      </c>
    </row>
    <row r="12" spans="5:6" x14ac:dyDescent="0.25">
      <c r="E12" s="7" t="s">
        <v>5</v>
      </c>
      <c r="F12" s="2" t="s">
        <v>244</v>
      </c>
    </row>
    <row r="13" spans="5:6" x14ac:dyDescent="0.25">
      <c r="E13" s="6" t="s">
        <v>6</v>
      </c>
      <c r="F13" s="2" t="s">
        <v>245</v>
      </c>
    </row>
    <row r="14" spans="5:6" x14ac:dyDescent="0.25">
      <c r="E14" s="6" t="s">
        <v>7</v>
      </c>
      <c r="F14" s="2" t="s">
        <v>263</v>
      </c>
    </row>
    <row r="15" spans="5:6" x14ac:dyDescent="0.25">
      <c r="E15" s="6" t="s">
        <v>8</v>
      </c>
      <c r="F15" s="2" t="s">
        <v>246</v>
      </c>
    </row>
    <row r="16" spans="5:6" x14ac:dyDescent="0.25">
      <c r="E16" s="6" t="s">
        <v>9</v>
      </c>
      <c r="F16" s="2" t="s">
        <v>185</v>
      </c>
    </row>
    <row r="17" spans="5:6" x14ac:dyDescent="0.25">
      <c r="E17" s="6" t="s">
        <v>10</v>
      </c>
      <c r="F17" s="2" t="s">
        <v>247</v>
      </c>
    </row>
    <row r="18" spans="5:6" x14ac:dyDescent="0.25">
      <c r="E18" s="6" t="s">
        <v>11</v>
      </c>
      <c r="F18" s="2"/>
    </row>
    <row r="19" spans="5:6" x14ac:dyDescent="0.25">
      <c r="E19" s="6" t="s">
        <v>12</v>
      </c>
      <c r="F19" s="2"/>
    </row>
    <row r="20" spans="5:6" x14ac:dyDescent="0.25">
      <c r="E20" s="6" t="s">
        <v>13</v>
      </c>
      <c r="F20" s="2"/>
    </row>
    <row r="21" spans="5:6" x14ac:dyDescent="0.25">
      <c r="E21" s="6"/>
      <c r="F21" s="2"/>
    </row>
    <row r="22" spans="5:6" x14ac:dyDescent="0.25">
      <c r="E22" s="4" t="s">
        <v>14</v>
      </c>
      <c r="F22" s="2"/>
    </row>
    <row r="23" spans="5:6" x14ac:dyDescent="0.25">
      <c r="E23" s="6" t="s">
        <v>15</v>
      </c>
      <c r="F23" s="2">
        <v>79</v>
      </c>
    </row>
    <row r="24" spans="5:6" x14ac:dyDescent="0.25">
      <c r="E24" s="7" t="s">
        <v>16</v>
      </c>
      <c r="F24" s="2" t="s">
        <v>264</v>
      </c>
    </row>
    <row r="25" spans="5:6" x14ac:dyDescent="0.25">
      <c r="E25" s="6" t="s">
        <v>11</v>
      </c>
      <c r="F25" s="2" t="s">
        <v>265</v>
      </c>
    </row>
    <row r="26" spans="5:6" x14ac:dyDescent="0.25">
      <c r="E26" s="6" t="s">
        <v>17</v>
      </c>
      <c r="F26" s="2" t="s">
        <v>266</v>
      </c>
    </row>
    <row r="27" spans="5:6" x14ac:dyDescent="0.25">
      <c r="E27" s="6"/>
      <c r="F27" s="2" t="s">
        <v>263</v>
      </c>
    </row>
    <row r="28" spans="5:6" x14ac:dyDescent="0.25">
      <c r="E28" s="6"/>
      <c r="F28" s="2" t="s">
        <v>267</v>
      </c>
    </row>
    <row r="29" spans="5:6" x14ac:dyDescent="0.25">
      <c r="E29" s="6"/>
      <c r="F29" s="2" t="s">
        <v>185</v>
      </c>
    </row>
    <row r="30" spans="5:6" x14ac:dyDescent="0.25">
      <c r="E30" s="6" t="s">
        <v>13</v>
      </c>
      <c r="F30" s="2" t="s">
        <v>268</v>
      </c>
    </row>
    <row r="31" spans="5:6" x14ac:dyDescent="0.25">
      <c r="E31" s="6" t="s">
        <v>18</v>
      </c>
      <c r="F31" s="2" t="s">
        <v>269</v>
      </c>
    </row>
    <row r="32" spans="5:6" x14ac:dyDescent="0.25">
      <c r="E32" s="6"/>
      <c r="F32" s="2" t="s">
        <v>270</v>
      </c>
    </row>
    <row r="33" spans="5:6" x14ac:dyDescent="0.25">
      <c r="E33" s="6"/>
      <c r="F33" s="2"/>
    </row>
    <row r="34" spans="5:6" x14ac:dyDescent="0.25">
      <c r="E34" s="4" t="s">
        <v>19</v>
      </c>
      <c r="F34" s="2"/>
    </row>
    <row r="35" spans="5:6" x14ac:dyDescent="0.25">
      <c r="E35" s="6" t="s">
        <v>20</v>
      </c>
      <c r="F35" s="2">
        <v>1</v>
      </c>
    </row>
    <row r="36" spans="5:6" x14ac:dyDescent="0.25">
      <c r="E36" s="6" t="s">
        <v>7</v>
      </c>
      <c r="F36" s="2" t="s">
        <v>245</v>
      </c>
    </row>
    <row r="37" spans="5:6" x14ac:dyDescent="0.25">
      <c r="E37" s="6" t="s">
        <v>8</v>
      </c>
      <c r="F37" s="2" t="s">
        <v>245</v>
      </c>
    </row>
    <row r="38" spans="5:6" x14ac:dyDescent="0.25">
      <c r="E38" s="6" t="s">
        <v>9</v>
      </c>
      <c r="F38" s="2"/>
    </row>
    <row r="39" spans="5:6" x14ac:dyDescent="0.25">
      <c r="E39" s="6"/>
      <c r="F39" s="2" t="s">
        <v>246</v>
      </c>
    </row>
    <row r="40" spans="5:6" x14ac:dyDescent="0.25">
      <c r="E40" s="6"/>
      <c r="F40" s="2"/>
    </row>
    <row r="41" spans="5:6" x14ac:dyDescent="0.25">
      <c r="E41" s="6"/>
      <c r="F41" s="2" t="s">
        <v>247</v>
      </c>
    </row>
    <row r="42" spans="5:6" x14ac:dyDescent="0.25">
      <c r="E42" s="4" t="s">
        <v>21</v>
      </c>
      <c r="F42" s="2"/>
    </row>
    <row r="43" spans="5:6" x14ac:dyDescent="0.25">
      <c r="E43" s="6" t="s">
        <v>22</v>
      </c>
      <c r="F43" s="2">
        <v>2</v>
      </c>
    </row>
    <row r="44" spans="5:6" x14ac:dyDescent="0.25">
      <c r="E44" s="6" t="s">
        <v>23</v>
      </c>
      <c r="F44" s="2" t="s">
        <v>248</v>
      </c>
    </row>
    <row r="45" spans="5:6" x14ac:dyDescent="0.25">
      <c r="E45" s="6" t="s">
        <v>24</v>
      </c>
      <c r="F45" s="2" t="s">
        <v>249</v>
      </c>
    </row>
    <row r="46" spans="5:6" x14ac:dyDescent="0.25">
      <c r="E46" s="7" t="s">
        <v>25</v>
      </c>
      <c r="F46" s="2" t="s">
        <v>251</v>
      </c>
    </row>
    <row r="47" spans="5:6" x14ac:dyDescent="0.25">
      <c r="E47" s="6" t="s">
        <v>26</v>
      </c>
      <c r="F47" s="2">
        <v>2018</v>
      </c>
    </row>
    <row r="48" spans="5:6" x14ac:dyDescent="0.25">
      <c r="E48" s="6" t="s">
        <v>27</v>
      </c>
      <c r="F48" s="2"/>
    </row>
    <row r="49" spans="5:6" x14ac:dyDescent="0.25">
      <c r="E49" s="6" t="s">
        <v>28</v>
      </c>
      <c r="F49" s="2"/>
    </row>
    <row r="50" spans="5:6" x14ac:dyDescent="0.25">
      <c r="E50" s="6" t="s">
        <v>29</v>
      </c>
      <c r="F50" s="2"/>
    </row>
    <row r="51" spans="5:6" x14ac:dyDescent="0.25">
      <c r="E51" s="6"/>
      <c r="F51" s="2"/>
    </row>
    <row r="52" spans="5:6" x14ac:dyDescent="0.25">
      <c r="E52" s="4" t="s">
        <v>30</v>
      </c>
      <c r="F52" s="2"/>
    </row>
    <row r="53" spans="5:6" x14ac:dyDescent="0.25">
      <c r="E53" s="6" t="s">
        <v>31</v>
      </c>
      <c r="F53" s="2"/>
    </row>
    <row r="54" spans="5:6" x14ac:dyDescent="0.25">
      <c r="E54" s="6" t="s">
        <v>32</v>
      </c>
      <c r="F54" s="2"/>
    </row>
    <row r="55" spans="5:6" x14ac:dyDescent="0.25">
      <c r="E55" s="6" t="s">
        <v>33</v>
      </c>
      <c r="F55" s="2"/>
    </row>
    <row r="56" spans="5:6" x14ac:dyDescent="0.25">
      <c r="E56" s="6" t="s">
        <v>34</v>
      </c>
      <c r="F56" s="2"/>
    </row>
    <row r="57" spans="5:6" x14ac:dyDescent="0.25">
      <c r="E57" s="6"/>
      <c r="F57" s="2"/>
    </row>
    <row r="58" spans="5:6" x14ac:dyDescent="0.25">
      <c r="E58" s="4" t="s">
        <v>35</v>
      </c>
      <c r="F58" s="2"/>
    </row>
    <row r="59" spans="5:6" x14ac:dyDescent="0.25">
      <c r="E59" s="6" t="s">
        <v>36</v>
      </c>
      <c r="F59" s="8">
        <v>5</v>
      </c>
    </row>
    <row r="60" spans="5:6" x14ac:dyDescent="0.25">
      <c r="E60" s="6" t="s">
        <v>37</v>
      </c>
      <c r="F60" s="2"/>
    </row>
    <row r="61" spans="5:6" x14ac:dyDescent="0.25">
      <c r="E61" s="6" t="s">
        <v>38</v>
      </c>
      <c r="F61" s="2" t="s">
        <v>188</v>
      </c>
    </row>
    <row r="62" spans="5:6" x14ac:dyDescent="0.25">
      <c r="E62" s="6" t="s">
        <v>39</v>
      </c>
      <c r="F62" s="2" t="s">
        <v>271</v>
      </c>
    </row>
    <row r="63" spans="5:6" x14ac:dyDescent="0.25">
      <c r="E63" s="6" t="s">
        <v>40</v>
      </c>
      <c r="F63" s="2" t="s">
        <v>272</v>
      </c>
    </row>
    <row r="64" spans="5:6" x14ac:dyDescent="0.25">
      <c r="E64" s="6" t="s">
        <v>41</v>
      </c>
      <c r="F64" s="2" t="s">
        <v>263</v>
      </c>
    </row>
    <row r="65" spans="5:6" x14ac:dyDescent="0.25">
      <c r="E65" s="6" t="s">
        <v>42</v>
      </c>
      <c r="F65" s="2"/>
    </row>
    <row r="66" spans="5:6" x14ac:dyDescent="0.25">
      <c r="E66" s="6" t="s">
        <v>43</v>
      </c>
      <c r="F66" s="2">
        <v>15</v>
      </c>
    </row>
    <row r="67" spans="5:6" x14ac:dyDescent="0.25">
      <c r="E67" s="6" t="s">
        <v>44</v>
      </c>
      <c r="F67" s="2">
        <v>12</v>
      </c>
    </row>
    <row r="68" spans="5:6" x14ac:dyDescent="0.25">
      <c r="E68" s="6" t="s">
        <v>45</v>
      </c>
      <c r="F68" s="2">
        <v>14</v>
      </c>
    </row>
    <row r="69" spans="5:6" x14ac:dyDescent="0.25">
      <c r="E69" s="6" t="s">
        <v>46</v>
      </c>
      <c r="F69" s="2"/>
    </row>
    <row r="70" spans="5:6" x14ac:dyDescent="0.25">
      <c r="E70" s="6" t="s">
        <v>47</v>
      </c>
      <c r="F70" s="2"/>
    </row>
    <row r="71" spans="5:6" x14ac:dyDescent="0.25">
      <c r="E71" s="6"/>
      <c r="F71" s="2"/>
    </row>
    <row r="72" spans="5:6" x14ac:dyDescent="0.25">
      <c r="E72" s="4" t="s">
        <v>48</v>
      </c>
      <c r="F72" s="2"/>
    </row>
    <row r="73" spans="5:6" x14ac:dyDescent="0.25">
      <c r="E73" s="6" t="s">
        <v>49</v>
      </c>
      <c r="F73" s="9"/>
    </row>
    <row r="74" spans="5:6" x14ac:dyDescent="0.25">
      <c r="E74" s="6" t="s">
        <v>50</v>
      </c>
      <c r="F74" s="2"/>
    </row>
    <row r="75" spans="5:6" x14ac:dyDescent="0.25">
      <c r="E75" s="6" t="s">
        <v>51</v>
      </c>
      <c r="F75" s="2"/>
    </row>
    <row r="76" spans="5:6" x14ac:dyDescent="0.25">
      <c r="E76" s="6" t="s">
        <v>52</v>
      </c>
      <c r="F76" s="2"/>
    </row>
    <row r="77" spans="5:6" x14ac:dyDescent="0.25">
      <c r="E77" s="6" t="s">
        <v>53</v>
      </c>
      <c r="F77" s="10"/>
    </row>
    <row r="78" spans="5:6" x14ac:dyDescent="0.25">
      <c r="E78" s="6" t="s">
        <v>54</v>
      </c>
      <c r="F78" s="2"/>
    </row>
    <row r="79" spans="5:6" x14ac:dyDescent="0.25">
      <c r="E79" s="6" t="s">
        <v>2</v>
      </c>
      <c r="F79" s="11"/>
    </row>
    <row r="80" spans="5:6" x14ac:dyDescent="0.25">
      <c r="E80" s="6"/>
      <c r="F80" s="2"/>
    </row>
    <row r="81" spans="5:6" x14ac:dyDescent="0.25">
      <c r="E81" s="4" t="s">
        <v>55</v>
      </c>
      <c r="F81" s="2"/>
    </row>
    <row r="82" spans="5:6" x14ac:dyDescent="0.25">
      <c r="E82" s="6" t="s">
        <v>56</v>
      </c>
      <c r="F82" s="12"/>
    </row>
    <row r="83" spans="5:6" x14ac:dyDescent="0.25">
      <c r="E83" s="6" t="s">
        <v>57</v>
      </c>
      <c r="F83" s="2"/>
    </row>
    <row r="84" spans="5:6" x14ac:dyDescent="0.25">
      <c r="E84" s="6" t="s">
        <v>58</v>
      </c>
      <c r="F84" s="2"/>
    </row>
    <row r="85" spans="5:6" x14ac:dyDescent="0.25">
      <c r="E85" s="6" t="s">
        <v>59</v>
      </c>
      <c r="F85" s="2"/>
    </row>
    <row r="86" spans="5:6" x14ac:dyDescent="0.25">
      <c r="E86" s="6"/>
      <c r="F86" s="2"/>
    </row>
    <row r="87" spans="5:6" x14ac:dyDescent="0.25">
      <c r="E87" s="4" t="s">
        <v>60</v>
      </c>
      <c r="F87" s="2"/>
    </row>
    <row r="88" spans="5:6" x14ac:dyDescent="0.25">
      <c r="E88" s="6" t="s">
        <v>61</v>
      </c>
      <c r="F88" s="12"/>
    </row>
    <row r="89" spans="5:6" x14ac:dyDescent="0.25">
      <c r="E89" s="6" t="s">
        <v>62</v>
      </c>
      <c r="F89" s="2"/>
    </row>
    <row r="90" spans="5:6" x14ac:dyDescent="0.25">
      <c r="E90" s="6" t="s">
        <v>63</v>
      </c>
      <c r="F90" s="2"/>
    </row>
    <row r="91" spans="5:6" x14ac:dyDescent="0.25">
      <c r="E91" s="6" t="s">
        <v>64</v>
      </c>
      <c r="F91" s="2"/>
    </row>
    <row r="92" spans="5:6" x14ac:dyDescent="0.25">
      <c r="E92" s="13" t="s">
        <v>18</v>
      </c>
      <c r="F92" s="2"/>
    </row>
    <row r="93" spans="5:6" x14ac:dyDescent="0.25">
      <c r="E93" s="4" t="s">
        <v>65</v>
      </c>
      <c r="F93" s="2"/>
    </row>
    <row r="94" spans="5:6" x14ac:dyDescent="0.25">
      <c r="E94" s="6" t="s">
        <v>66</v>
      </c>
      <c r="F94" s="2"/>
    </row>
    <row r="95" spans="5:6" x14ac:dyDescent="0.25">
      <c r="E95" s="6" t="s">
        <v>67</v>
      </c>
      <c r="F95" s="12"/>
    </row>
    <row r="96" spans="5:6" x14ac:dyDescent="0.25">
      <c r="E96" s="6" t="s">
        <v>53</v>
      </c>
      <c r="F96" s="10"/>
    </row>
    <row r="97" spans="5:6" x14ac:dyDescent="0.25">
      <c r="E97" s="6" t="s">
        <v>54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93</xdr:row>
                <xdr:rowOff>28575</xdr:rowOff>
              </from>
              <to>
                <xdr:col>5</xdr:col>
                <xdr:colOff>1009650</xdr:colOff>
                <xdr:row>94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11">
            <anchor moveWithCells="1">
              <from>
                <xdr:col>5</xdr:col>
                <xdr:colOff>733425</xdr:colOff>
                <xdr:row>89</xdr:row>
                <xdr:rowOff>19050</xdr:rowOff>
              </from>
              <to>
                <xdr:col>5</xdr:col>
                <xdr:colOff>923925</xdr:colOff>
                <xdr:row>90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r:id="rId11">
            <anchor moveWithCells="1">
              <from>
                <xdr:col>5</xdr:col>
                <xdr:colOff>733425</xdr:colOff>
                <xdr:row>88</xdr:row>
                <xdr:rowOff>9525</xdr:rowOff>
              </from>
              <to>
                <xdr:col>5</xdr:col>
                <xdr:colOff>923925</xdr:colOff>
                <xdr:row>89</xdr:row>
                <xdr:rowOff>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r:id="rId7">
            <anchor moveWithCells="1">
              <from>
                <xdr:col>5</xdr:col>
                <xdr:colOff>752475</xdr:colOff>
                <xdr:row>87</xdr:row>
                <xdr:rowOff>9525</xdr:rowOff>
              </from>
              <to>
                <xdr:col>5</xdr:col>
                <xdr:colOff>942975</xdr:colOff>
                <xdr:row>88</xdr:row>
                <xdr:rowOff>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r:id="rId7">
            <anchor moveWithCells="1">
              <from>
                <xdr:col>5</xdr:col>
                <xdr:colOff>733425</xdr:colOff>
                <xdr:row>83</xdr:row>
                <xdr:rowOff>0</xdr:rowOff>
              </from>
              <to>
                <xdr:col>5</xdr:col>
                <xdr:colOff>923925</xdr:colOff>
                <xdr:row>83</xdr:row>
                <xdr:rowOff>180975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r:id="rId11">
            <anchor moveWithCells="1">
              <from>
                <xdr:col>5</xdr:col>
                <xdr:colOff>733425</xdr:colOff>
                <xdr:row>81</xdr:row>
                <xdr:rowOff>171450</xdr:rowOff>
              </from>
              <to>
                <xdr:col>5</xdr:col>
                <xdr:colOff>923925</xdr:colOff>
                <xdr:row>82</xdr:row>
                <xdr:rowOff>161925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r:id="rId7">
            <anchor moveWithCells="1">
              <from>
                <xdr:col>5</xdr:col>
                <xdr:colOff>742950</xdr:colOff>
                <xdr:row>80</xdr:row>
                <xdr:rowOff>161925</xdr:rowOff>
              </from>
              <to>
                <xdr:col>5</xdr:col>
                <xdr:colOff>933450</xdr:colOff>
                <xdr:row>81</xdr:row>
                <xdr:rowOff>152400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7" name="cbDPF">
          <controlPr defaultSize="0" autoFill="0" autoLine="0" r:id="rId18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17" name="cbDPF"/>
      </mc:Fallback>
    </mc:AlternateContent>
    <mc:AlternateContent xmlns:mc="http://schemas.openxmlformats.org/markup-compatibility/2006">
      <mc:Choice Requires="x14">
        <control shapeId="21523" r:id="rId19" name="cbCompany">
          <controlPr defaultSize="0" autoFill="0" autoLine="0" r:id="rId20">
            <anchor moveWithCells="1">
              <from>
                <xdr:col>5</xdr:col>
                <xdr:colOff>19050</xdr:colOff>
                <xdr:row>9</xdr:row>
                <xdr:rowOff>66675</xdr:rowOff>
              </from>
              <to>
                <xdr:col>8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21523" r:id="rId19" name="cbCompany"/>
      </mc:Fallback>
    </mc:AlternateContent>
    <mc:AlternateContent xmlns:mc="http://schemas.openxmlformats.org/markup-compatibility/2006">
      <mc:Choice Requires="x14">
        <control shapeId="21524" r:id="rId21" name="cbContacts">
          <controlPr defaultSize="0" autoFill="0" autoLine="0" r:id="rId22">
            <anchor moveWithCells="1">
              <from>
                <xdr:col>5</xdr:col>
                <xdr:colOff>19050</xdr:colOff>
                <xdr:row>21</xdr:row>
                <xdr:rowOff>66675</xdr:rowOff>
              </from>
              <to>
                <xdr:col>8</xdr:col>
                <xdr:colOff>238125</xdr:colOff>
                <xdr:row>22</xdr:row>
                <xdr:rowOff>114300</xdr:rowOff>
              </to>
            </anchor>
          </controlPr>
        </control>
      </mc:Choice>
      <mc:Fallback>
        <control shapeId="21524" r:id="rId21" name="cbContacts"/>
      </mc:Fallback>
    </mc:AlternateContent>
    <mc:AlternateContent xmlns:mc="http://schemas.openxmlformats.org/markup-compatibility/2006">
      <mc:Choice Requires="x14">
        <control shapeId="21525" r:id="rId23" name="cbCompLocation">
          <controlPr defaultSize="0" autoFill="0" autoLine="0" r:id="rId24">
            <anchor moveWithCells="1">
              <from>
                <xdr:col>5</xdr:col>
                <xdr:colOff>19050</xdr:colOff>
                <xdr:row>33</xdr:row>
                <xdr:rowOff>66675</xdr:rowOff>
              </from>
              <to>
                <xdr:col>8</xdr:col>
                <xdr:colOff>238125</xdr:colOff>
                <xdr:row>34</xdr:row>
                <xdr:rowOff>114300</xdr:rowOff>
              </to>
            </anchor>
          </controlPr>
        </control>
      </mc:Choice>
      <mc:Fallback>
        <control shapeId="21525" r:id="rId23" name="cbCompLocation"/>
      </mc:Fallback>
    </mc:AlternateContent>
    <mc:AlternateContent xmlns:mc="http://schemas.openxmlformats.org/markup-compatibility/2006">
      <mc:Choice Requires="x14">
        <control shapeId="21526" r:id="rId25" name="cbVehicle">
          <controlPr defaultSize="0" autoFill="0" autoLine="0" r:id="rId26">
            <anchor moveWithCells="1">
              <from>
                <xdr:col>5</xdr:col>
                <xdr:colOff>19050</xdr:colOff>
                <xdr:row>41</xdr:row>
                <xdr:rowOff>66675</xdr:rowOff>
              </from>
              <to>
                <xdr:col>8</xdr:col>
                <xdr:colOff>238125</xdr:colOff>
                <xdr:row>42</xdr:row>
                <xdr:rowOff>114300</xdr:rowOff>
              </to>
            </anchor>
          </controlPr>
        </control>
      </mc:Choice>
      <mc:Fallback>
        <control shapeId="21526" r:id="rId25" name="cbVehicle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5</xdr:col>
                <xdr:colOff>19050</xdr:colOff>
                <xdr:row>51</xdr:row>
                <xdr:rowOff>66675</xdr:rowOff>
              </from>
              <to>
                <xdr:col>8</xdr:col>
                <xdr:colOff>238125</xdr:colOff>
                <xdr:row>52</xdr:row>
                <xdr:rowOff>114300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8" r:id="rId29" name="cbECD">
          <controlPr defaultSize="0" autoFill="0" autoLine="0" r:id="rId30">
            <anchor moveWithCells="1">
              <from>
                <xdr:col>5</xdr:col>
                <xdr:colOff>19050</xdr:colOff>
                <xdr:row>57</xdr:row>
                <xdr:rowOff>66675</xdr:rowOff>
              </from>
              <to>
                <xdr:col>8</xdr:col>
                <xdr:colOff>238125</xdr:colOff>
                <xdr:row>58</xdr:row>
                <xdr:rowOff>114300</xdr:rowOff>
              </to>
            </anchor>
          </controlPr>
        </control>
      </mc:Choice>
      <mc:Fallback>
        <control shapeId="21528" r:id="rId29" name="cbECD"/>
      </mc:Fallback>
    </mc:AlternateContent>
    <mc:AlternateContent xmlns:mc="http://schemas.openxmlformats.org/markup-compatibility/2006">
      <mc:Choice Requires="x14">
        <control shapeId="21529" r:id="rId31" name="cbDrivingType">
          <controlPr defaultSize="0" autoFill="0" autoLine="0" r:id="rId32">
            <anchor moveWithCells="1">
              <from>
                <xdr:col>5</xdr:col>
                <xdr:colOff>19050</xdr:colOff>
                <xdr:row>84</xdr:row>
                <xdr:rowOff>66675</xdr:rowOff>
              </from>
              <to>
                <xdr:col>8</xdr:col>
                <xdr:colOff>238125</xdr:colOff>
                <xdr:row>85</xdr:row>
                <xdr:rowOff>114300</xdr:rowOff>
              </to>
            </anchor>
          </controlPr>
        </control>
      </mc:Choice>
      <mc:Fallback>
        <control shapeId="21529" r:id="rId31" name="cbDrivingType"/>
      </mc:Fallback>
    </mc:AlternateContent>
    <mc:AlternateContent xmlns:mc="http://schemas.openxmlformats.org/markup-compatibility/2006">
      <mc:Choice Requires="x14">
        <control shapeId="21530" r:id="rId33" name="cbCleaningReason">
          <controlPr defaultSize="0" autoFill="0" autoLine="0" r:id="rId34">
            <anchor moveWithCells="1">
              <from>
                <xdr:col>5</xdr:col>
                <xdr:colOff>19050</xdr:colOff>
                <xdr:row>90</xdr:row>
                <xdr:rowOff>66675</xdr:rowOff>
              </from>
              <to>
                <xdr:col>8</xdr:col>
                <xdr:colOff>238125</xdr:colOff>
                <xdr:row>91</xdr:row>
                <xdr:rowOff>114300</xdr:rowOff>
              </to>
            </anchor>
          </controlPr>
        </control>
      </mc:Choice>
      <mc:Fallback>
        <control shapeId="21530" r:id="rId33" name="cbCleaningReason"/>
      </mc:Fallback>
    </mc:AlternateContent>
    <mc:AlternateContent xmlns:mc="http://schemas.openxmlformats.org/markup-compatibility/2006">
      <mc:Choice Requires="x14">
        <control shapeId="21532" r:id="rId35" name="cbBillingCompany">
          <controlPr defaultSize="0" autoFill="0" autoLine="0" r:id="rId36">
            <anchor moveWithCells="1">
              <from>
                <xdr:col>5</xdr:col>
                <xdr:colOff>19050</xdr:colOff>
                <xdr:row>6</xdr:row>
                <xdr:rowOff>19050</xdr:rowOff>
              </from>
              <to>
                <xdr:col>8</xdr:col>
                <xdr:colOff>238125</xdr:colOff>
                <xdr:row>7</xdr:row>
                <xdr:rowOff>66675</xdr:rowOff>
              </to>
            </anchor>
          </controlPr>
        </control>
      </mc:Choice>
      <mc:Fallback>
        <control shapeId="21532" r:id="rId35" name="cbBillingCompan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C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7" x14ac:dyDescent="0.25">
      <c r="A1" t="s">
        <v>148</v>
      </c>
      <c r="B1" t="s">
        <v>200</v>
      </c>
      <c r="C1" t="s">
        <v>201</v>
      </c>
      <c r="D1" t="s">
        <v>202</v>
      </c>
      <c r="E1" t="s">
        <v>203</v>
      </c>
      <c r="F1" t="s">
        <v>204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212</v>
      </c>
      <c r="O1" t="s">
        <v>213</v>
      </c>
      <c r="P1" t="s">
        <v>214</v>
      </c>
      <c r="Q1" t="s">
        <v>215</v>
      </c>
      <c r="R1" t="s">
        <v>216</v>
      </c>
      <c r="S1" t="s">
        <v>217</v>
      </c>
      <c r="T1" t="s">
        <v>218</v>
      </c>
      <c r="U1" t="s">
        <v>219</v>
      </c>
      <c r="V1" t="s">
        <v>220</v>
      </c>
      <c r="W1" t="s">
        <v>221</v>
      </c>
      <c r="X1" t="s">
        <v>222</v>
      </c>
      <c r="Y1" t="s">
        <v>223</v>
      </c>
      <c r="Z1" t="s">
        <v>224</v>
      </c>
      <c r="AA1" t="s">
        <v>225</v>
      </c>
      <c r="AB1" t="s">
        <v>226</v>
      </c>
      <c r="AC1" t="s">
        <v>227</v>
      </c>
      <c r="AD1" t="s">
        <v>228</v>
      </c>
      <c r="AE1" t="s">
        <v>229</v>
      </c>
      <c r="AF1" t="s">
        <v>230</v>
      </c>
      <c r="AG1" t="s">
        <v>231</v>
      </c>
      <c r="AH1" t="s">
        <v>232</v>
      </c>
      <c r="AI1" t="s">
        <v>233</v>
      </c>
      <c r="AJ1" t="s">
        <v>234</v>
      </c>
      <c r="AK1" t="s">
        <v>148</v>
      </c>
      <c r="AL1" t="s">
        <v>237</v>
      </c>
      <c r="AM1" t="s">
        <v>238</v>
      </c>
      <c r="AN1" t="s">
        <v>149</v>
      </c>
      <c r="AO1" t="s">
        <v>150</v>
      </c>
      <c r="AP1" t="s">
        <v>151</v>
      </c>
      <c r="AQ1" t="s">
        <v>239</v>
      </c>
      <c r="AR1" t="s">
        <v>152</v>
      </c>
      <c r="AS1" t="s">
        <v>153</v>
      </c>
      <c r="AT1" t="s">
        <v>154</v>
      </c>
      <c r="AU1" t="s">
        <v>240</v>
      </c>
      <c r="AV1" t="s">
        <v>155</v>
      </c>
      <c r="AW1" t="s">
        <v>156</v>
      </c>
      <c r="AX1" t="s">
        <v>157</v>
      </c>
      <c r="AY1" t="s">
        <v>158</v>
      </c>
      <c r="AZ1" t="s">
        <v>160</v>
      </c>
      <c r="BA1" t="s">
        <v>161</v>
      </c>
      <c r="BB1" t="s">
        <v>162</v>
      </c>
      <c r="BC1" t="s">
        <v>163</v>
      </c>
      <c r="BD1" t="s">
        <v>164</v>
      </c>
      <c r="BE1" t="s">
        <v>165</v>
      </c>
      <c r="BF1" t="s">
        <v>8</v>
      </c>
      <c r="BG1" t="s">
        <v>70</v>
      </c>
      <c r="BH1" t="s">
        <v>166</v>
      </c>
      <c r="BI1" t="s">
        <v>69</v>
      </c>
      <c r="BJ1" t="s">
        <v>7</v>
      </c>
      <c r="BK1" t="s">
        <v>9</v>
      </c>
      <c r="BL1" t="s">
        <v>165</v>
      </c>
      <c r="BM1" t="s">
        <v>8</v>
      </c>
      <c r="BN1" t="s">
        <v>167</v>
      </c>
      <c r="BO1" t="s">
        <v>159</v>
      </c>
      <c r="BP1" t="s">
        <v>168</v>
      </c>
      <c r="BQ1" t="s">
        <v>169</v>
      </c>
      <c r="BR1" t="s">
        <v>170</v>
      </c>
      <c r="BS1" t="s">
        <v>42</v>
      </c>
      <c r="BT1" t="s">
        <v>28</v>
      </c>
      <c r="BU1" t="s">
        <v>29</v>
      </c>
      <c r="BV1" t="s">
        <v>171</v>
      </c>
      <c r="BW1" t="s">
        <v>159</v>
      </c>
      <c r="BX1" t="s">
        <v>170</v>
      </c>
      <c r="BY1" t="s">
        <v>42</v>
      </c>
      <c r="BZ1" t="s">
        <v>168</v>
      </c>
      <c r="CA1" t="s">
        <v>28</v>
      </c>
      <c r="CB1" t="s">
        <v>29</v>
      </c>
      <c r="CC1" t="s">
        <v>172</v>
      </c>
      <c r="CD1" t="s">
        <v>159</v>
      </c>
      <c r="CE1" t="s">
        <v>173</v>
      </c>
      <c r="CF1" t="s">
        <v>174</v>
      </c>
      <c r="CG1" t="s">
        <v>175</v>
      </c>
      <c r="CH1" t="s">
        <v>42</v>
      </c>
      <c r="CI1" t="s">
        <v>176</v>
      </c>
      <c r="CJ1" t="s">
        <v>177</v>
      </c>
      <c r="CK1" t="s">
        <v>178</v>
      </c>
      <c r="CL1" t="s">
        <v>179</v>
      </c>
      <c r="CM1" t="s">
        <v>168</v>
      </c>
      <c r="CN1" t="s">
        <v>180</v>
      </c>
      <c r="CO1" t="s">
        <v>181</v>
      </c>
      <c r="CP1" t="s">
        <v>182</v>
      </c>
      <c r="CQ1" t="s">
        <v>183</v>
      </c>
      <c r="CR1" t="s">
        <v>184</v>
      </c>
      <c r="CS1" t="s">
        <v>189</v>
      </c>
      <c r="CT1" t="s">
        <v>190</v>
      </c>
      <c r="CU1" t="s">
        <v>191</v>
      </c>
      <c r="CV1" t="s">
        <v>192</v>
      </c>
      <c r="CW1" t="s">
        <v>193</v>
      </c>
      <c r="CX1" t="s">
        <v>194</v>
      </c>
      <c r="CY1" t="s">
        <v>195</v>
      </c>
      <c r="CZ1" t="s">
        <v>196</v>
      </c>
      <c r="DA1" t="s">
        <v>197</v>
      </c>
      <c r="DB1" t="s">
        <v>198</v>
      </c>
      <c r="DC1" t="s">
        <v>199</v>
      </c>
    </row>
    <row r="2" spans="1:107" x14ac:dyDescent="0.2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243</v>
      </c>
      <c r="AM2" t="s">
        <v>241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9">
        <v>43438.030222800924</v>
      </c>
      <c r="AZ2" t="s">
        <v>244</v>
      </c>
      <c r="BA2" t="s">
        <v>245</v>
      </c>
      <c r="BC2" t="s">
        <v>246</v>
      </c>
      <c r="BD2" t="s">
        <v>247</v>
      </c>
      <c r="BE2">
        <v>2</v>
      </c>
      <c r="BF2" t="s">
        <v>185</v>
      </c>
      <c r="BG2" t="s">
        <v>245</v>
      </c>
      <c r="BH2" t="s">
        <v>245</v>
      </c>
      <c r="BJ2" t="s">
        <v>246</v>
      </c>
      <c r="BK2" t="s">
        <v>247</v>
      </c>
      <c r="BL2">
        <v>2</v>
      </c>
      <c r="BM2" t="s">
        <v>185</v>
      </c>
      <c r="BN2">
        <v>2</v>
      </c>
      <c r="BO2">
        <v>8</v>
      </c>
      <c r="BP2" t="s">
        <v>248</v>
      </c>
      <c r="BQ2" t="s">
        <v>249</v>
      </c>
      <c r="BR2">
        <v>4</v>
      </c>
      <c r="BS2" t="s">
        <v>250</v>
      </c>
      <c r="BT2" t="s">
        <v>251</v>
      </c>
      <c r="BU2">
        <v>2018</v>
      </c>
      <c r="BV2">
        <v>4</v>
      </c>
      <c r="BW2">
        <v>8</v>
      </c>
      <c r="BX2">
        <v>2</v>
      </c>
      <c r="BY2" t="s">
        <v>259</v>
      </c>
      <c r="BZ2" t="s">
        <v>260</v>
      </c>
      <c r="CA2" t="s">
        <v>261</v>
      </c>
      <c r="CB2">
        <v>2017</v>
      </c>
      <c r="CC2">
        <v>4</v>
      </c>
      <c r="CD2">
        <v>8</v>
      </c>
      <c r="CE2">
        <v>1</v>
      </c>
      <c r="CF2" t="s">
        <v>186</v>
      </c>
      <c r="CG2">
        <v>1</v>
      </c>
      <c r="CH2" t="s">
        <v>187</v>
      </c>
      <c r="CI2">
        <v>1</v>
      </c>
      <c r="CJ2" t="s">
        <v>188</v>
      </c>
      <c r="CK2">
        <v>0</v>
      </c>
      <c r="CL2" t="s">
        <v>252</v>
      </c>
      <c r="CM2" t="s">
        <v>253</v>
      </c>
      <c r="CN2" t="s">
        <v>254</v>
      </c>
      <c r="CO2">
        <v>12</v>
      </c>
      <c r="CP2">
        <v>11</v>
      </c>
      <c r="CQ2">
        <v>14</v>
      </c>
      <c r="CR2">
        <v>15</v>
      </c>
      <c r="CW2" t="b">
        <v>0</v>
      </c>
      <c r="CX2" t="b">
        <v>0</v>
      </c>
      <c r="CY2" t="b">
        <v>1</v>
      </c>
      <c r="CZ2" t="b">
        <v>1</v>
      </c>
    </row>
    <row r="3" spans="1:107" x14ac:dyDescent="0.2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243</v>
      </c>
      <c r="AM3" t="s">
        <v>241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9">
        <v>43438.030222800924</v>
      </c>
      <c r="AZ3" t="s">
        <v>244</v>
      </c>
      <c r="BA3" t="s">
        <v>245</v>
      </c>
      <c r="BC3" t="s">
        <v>246</v>
      </c>
      <c r="BD3" t="s">
        <v>247</v>
      </c>
      <c r="BE3">
        <v>2</v>
      </c>
      <c r="BF3" t="s">
        <v>185</v>
      </c>
      <c r="BG3" t="s">
        <v>245</v>
      </c>
      <c r="BH3" t="s">
        <v>245</v>
      </c>
      <c r="BJ3" t="s">
        <v>246</v>
      </c>
      <c r="BK3" t="s">
        <v>247</v>
      </c>
      <c r="BL3">
        <v>2</v>
      </c>
      <c r="BM3" t="s">
        <v>185</v>
      </c>
      <c r="BN3">
        <v>2</v>
      </c>
      <c r="BO3">
        <v>8</v>
      </c>
      <c r="BP3" t="s">
        <v>248</v>
      </c>
      <c r="BQ3" t="s">
        <v>249</v>
      </c>
      <c r="BR3">
        <v>4</v>
      </c>
      <c r="BS3" t="s">
        <v>250</v>
      </c>
      <c r="BT3" t="s">
        <v>251</v>
      </c>
      <c r="BU3">
        <v>2018</v>
      </c>
      <c r="BV3">
        <v>4</v>
      </c>
      <c r="BW3">
        <v>8</v>
      </c>
      <c r="BX3">
        <v>2</v>
      </c>
      <c r="BY3" t="s">
        <v>259</v>
      </c>
      <c r="BZ3" t="s">
        <v>260</v>
      </c>
      <c r="CA3" t="s">
        <v>261</v>
      </c>
      <c r="CB3">
        <v>2017</v>
      </c>
      <c r="CC3">
        <v>4</v>
      </c>
      <c r="CD3">
        <v>8</v>
      </c>
      <c r="CE3">
        <v>1</v>
      </c>
      <c r="CF3" t="s">
        <v>186</v>
      </c>
      <c r="CG3">
        <v>1</v>
      </c>
      <c r="CH3" t="s">
        <v>187</v>
      </c>
      <c r="CI3">
        <v>1</v>
      </c>
      <c r="CJ3" t="s">
        <v>188</v>
      </c>
      <c r="CK3">
        <v>0</v>
      </c>
      <c r="CL3" t="s">
        <v>252</v>
      </c>
      <c r="CM3" t="s">
        <v>253</v>
      </c>
      <c r="CN3" t="s">
        <v>254</v>
      </c>
      <c r="CO3">
        <v>12</v>
      </c>
      <c r="CP3">
        <v>11</v>
      </c>
      <c r="CQ3">
        <v>14</v>
      </c>
      <c r="CR3">
        <v>15</v>
      </c>
      <c r="CW3" t="b">
        <v>0</v>
      </c>
      <c r="CX3" t="b">
        <v>0</v>
      </c>
      <c r="CY3" t="b">
        <v>1</v>
      </c>
      <c r="CZ3" t="b">
        <v>1</v>
      </c>
    </row>
    <row r="4" spans="1:107" x14ac:dyDescent="0.2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243</v>
      </c>
      <c r="AM4" t="s">
        <v>241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9">
        <v>43438.030222800924</v>
      </c>
      <c r="AZ4" t="s">
        <v>244</v>
      </c>
      <c r="BA4" t="s">
        <v>245</v>
      </c>
      <c r="BC4" t="s">
        <v>246</v>
      </c>
      <c r="BD4" t="s">
        <v>247</v>
      </c>
      <c r="BE4">
        <v>2</v>
      </c>
      <c r="BF4" t="s">
        <v>185</v>
      </c>
      <c r="BG4" t="s">
        <v>245</v>
      </c>
      <c r="BH4" t="s">
        <v>245</v>
      </c>
      <c r="BJ4" t="s">
        <v>246</v>
      </c>
      <c r="BK4" t="s">
        <v>247</v>
      </c>
      <c r="BL4">
        <v>2</v>
      </c>
      <c r="BM4" t="s">
        <v>185</v>
      </c>
      <c r="BN4">
        <v>2</v>
      </c>
      <c r="BO4">
        <v>8</v>
      </c>
      <c r="BP4" t="s">
        <v>248</v>
      </c>
      <c r="BQ4" t="s">
        <v>249</v>
      </c>
      <c r="BR4">
        <v>4</v>
      </c>
      <c r="BS4" t="s">
        <v>250</v>
      </c>
      <c r="BT4" t="s">
        <v>251</v>
      </c>
      <c r="BU4">
        <v>2018</v>
      </c>
      <c r="BV4">
        <v>4</v>
      </c>
      <c r="BW4">
        <v>8</v>
      </c>
      <c r="BX4">
        <v>2</v>
      </c>
      <c r="BY4" t="s">
        <v>259</v>
      </c>
      <c r="BZ4" t="s">
        <v>260</v>
      </c>
      <c r="CA4" t="s">
        <v>261</v>
      </c>
      <c r="CB4">
        <v>2017</v>
      </c>
      <c r="CC4">
        <v>4</v>
      </c>
      <c r="CD4">
        <v>8</v>
      </c>
      <c r="CE4">
        <v>1</v>
      </c>
      <c r="CF4" t="s">
        <v>186</v>
      </c>
      <c r="CG4">
        <v>1</v>
      </c>
      <c r="CH4" t="s">
        <v>187</v>
      </c>
      <c r="CI4">
        <v>1</v>
      </c>
      <c r="CJ4" t="s">
        <v>188</v>
      </c>
      <c r="CK4">
        <v>0</v>
      </c>
      <c r="CL4" t="s">
        <v>252</v>
      </c>
      <c r="CM4" t="s">
        <v>253</v>
      </c>
      <c r="CN4" t="s">
        <v>254</v>
      </c>
      <c r="CO4">
        <v>12</v>
      </c>
      <c r="CP4">
        <v>11</v>
      </c>
      <c r="CQ4">
        <v>14</v>
      </c>
      <c r="CR4">
        <v>15</v>
      </c>
      <c r="CW4" t="b">
        <v>0</v>
      </c>
      <c r="CX4" t="b">
        <v>0</v>
      </c>
      <c r="CY4" t="b">
        <v>1</v>
      </c>
      <c r="CZ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147</v>
      </c>
    </row>
    <row r="3" spans="2:3" ht="18.75" x14ac:dyDescent="0.3">
      <c r="B3" s="1" t="s">
        <v>97</v>
      </c>
    </row>
    <row r="5" spans="2:3" x14ac:dyDescent="0.25">
      <c r="B5" s="2"/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6"/>
      <c r="E20" s="26"/>
    </row>
    <row r="21" spans="2:8" x14ac:dyDescent="0.25">
      <c r="D21" s="26"/>
      <c r="E21" s="26"/>
    </row>
    <row r="22" spans="2:8" x14ac:dyDescent="0.25">
      <c r="B22" s="16"/>
      <c r="D22" s="26"/>
      <c r="E22" s="26"/>
    </row>
    <row r="23" spans="2:8" x14ac:dyDescent="0.25">
      <c r="D23" s="26"/>
      <c r="E23" s="26"/>
    </row>
    <row r="24" spans="2:8" x14ac:dyDescent="0.25">
      <c r="D24" s="26"/>
      <c r="E24" s="26"/>
    </row>
    <row r="25" spans="2:8" x14ac:dyDescent="0.25">
      <c r="C25" s="30"/>
      <c r="D25" s="26"/>
      <c r="E25" s="26"/>
    </row>
    <row r="26" spans="2:8" x14ac:dyDescent="0.25">
      <c r="D26" s="26"/>
      <c r="E26" s="26"/>
    </row>
    <row r="28" spans="2:8" x14ac:dyDescent="0.25">
      <c r="C28" s="31"/>
      <c r="G28" s="26"/>
    </row>
    <row r="29" spans="2:8" x14ac:dyDescent="0.25">
      <c r="C29" s="31"/>
      <c r="G29" s="26"/>
    </row>
    <row r="30" spans="2:8" x14ac:dyDescent="0.25">
      <c r="C30" s="31"/>
      <c r="D30" s="2"/>
      <c r="H30" s="26"/>
    </row>
    <row r="31" spans="2:8" x14ac:dyDescent="0.25">
      <c r="C31" s="31"/>
      <c r="D31" s="2"/>
      <c r="H31" s="26"/>
    </row>
    <row r="32" spans="2:8" x14ac:dyDescent="0.25">
      <c r="C32" s="31"/>
      <c r="G32" s="26"/>
    </row>
    <row r="33" spans="2:9" x14ac:dyDescent="0.25">
      <c r="C33" s="31"/>
      <c r="G33" s="26"/>
    </row>
    <row r="34" spans="2:9" x14ac:dyDescent="0.25">
      <c r="C34" s="31"/>
      <c r="G34" s="26"/>
    </row>
    <row r="35" spans="2:9" x14ac:dyDescent="0.25">
      <c r="B35" s="9"/>
      <c r="H35" s="26"/>
      <c r="I35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K10" sqref="K10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3" t="s">
        <v>97</v>
      </c>
      <c r="J2" s="26"/>
    </row>
    <row r="3" spans="1:10" ht="18" customHeight="1" x14ac:dyDescent="0.25">
      <c r="A3" s="63" t="s">
        <v>80</v>
      </c>
      <c r="B3" s="66"/>
      <c r="E3" s="63"/>
      <c r="F3" s="63"/>
      <c r="H3" s="16" t="s">
        <v>235</v>
      </c>
      <c r="I3" s="26"/>
      <c r="J3" s="26"/>
    </row>
    <row r="4" spans="1:10" ht="18" customHeight="1" x14ac:dyDescent="0.25">
      <c r="A4" s="63" t="s">
        <v>45</v>
      </c>
      <c r="B4" s="2"/>
      <c r="F4" s="67"/>
      <c r="H4" s="16"/>
      <c r="I4" s="26"/>
      <c r="J4" s="26"/>
    </row>
    <row r="5" spans="1:10" ht="18" customHeight="1" x14ac:dyDescent="0.25">
      <c r="A5" s="63" t="s">
        <v>47</v>
      </c>
      <c r="B5" s="2"/>
      <c r="F5" s="64"/>
      <c r="H5" s="16" t="s">
        <v>114</v>
      </c>
    </row>
    <row r="6" spans="1:10" ht="18" customHeight="1" x14ac:dyDescent="0.25">
      <c r="A6" s="63"/>
      <c r="E6" s="2"/>
      <c r="F6" s="64"/>
      <c r="H6" s="16" t="s">
        <v>236</v>
      </c>
      <c r="I6" s="26"/>
      <c r="J6" s="26"/>
    </row>
    <row r="7" spans="1:10" ht="18" customHeight="1" x14ac:dyDescent="0.25">
      <c r="B7" s="2" t="s">
        <v>98</v>
      </c>
      <c r="C7" s="2" t="s">
        <v>99</v>
      </c>
      <c r="D7" s="2" t="s">
        <v>99</v>
      </c>
      <c r="E7" s="64"/>
      <c r="F7" s="64"/>
      <c r="H7" s="16"/>
      <c r="I7" s="26"/>
      <c r="J7" s="26"/>
    </row>
    <row r="8" spans="1:10" ht="18" customHeight="1" x14ac:dyDescent="0.25">
      <c r="B8" s="2" t="s">
        <v>100</v>
      </c>
      <c r="C8" s="2" t="s">
        <v>101</v>
      </c>
      <c r="D8" s="2" t="s">
        <v>102</v>
      </c>
      <c r="E8" s="64"/>
      <c r="F8" s="64"/>
      <c r="H8" s="16" t="s">
        <v>120</v>
      </c>
      <c r="I8" s="26"/>
      <c r="J8" s="26"/>
    </row>
    <row r="9" spans="1:10" ht="18" customHeight="1" x14ac:dyDescent="0.25">
      <c r="A9" s="16" t="s">
        <v>103</v>
      </c>
      <c r="B9" s="68"/>
      <c r="C9" s="68"/>
      <c r="D9" s="68"/>
      <c r="E9" s="64"/>
      <c r="F9" s="64"/>
      <c r="J9" s="26"/>
    </row>
    <row r="10" spans="1:10" ht="18" customHeight="1" x14ac:dyDescent="0.25">
      <c r="A10" s="16"/>
      <c r="B10" s="64"/>
      <c r="C10" s="64"/>
      <c r="D10" s="64"/>
      <c r="E10" s="64"/>
      <c r="F10" s="64"/>
      <c r="G10" s="64"/>
      <c r="H10" s="16" t="s">
        <v>115</v>
      </c>
      <c r="J10" s="26"/>
    </row>
    <row r="11" spans="1:10" ht="18" customHeight="1" x14ac:dyDescent="0.25">
      <c r="A11" s="62" t="s">
        <v>104</v>
      </c>
      <c r="B11" s="68"/>
      <c r="C11" s="64"/>
      <c r="D11" s="64"/>
      <c r="E11" s="64"/>
      <c r="F11" s="64"/>
      <c r="G11" s="64"/>
      <c r="H11" s="16" t="s">
        <v>116</v>
      </c>
    </row>
    <row r="12" spans="1:10" ht="18" customHeight="1" x14ac:dyDescent="0.25">
      <c r="A12" s="62" t="s">
        <v>105</v>
      </c>
      <c r="B12" s="68"/>
      <c r="C12" s="64"/>
      <c r="D12" s="64"/>
      <c r="E12" s="65"/>
      <c r="F12" s="65"/>
      <c r="G12" s="65"/>
      <c r="H12" s="16"/>
      <c r="I12" s="2"/>
    </row>
    <row r="13" spans="1:10" ht="18" customHeight="1" x14ac:dyDescent="0.25">
      <c r="A13" s="62"/>
      <c r="B13" s="28"/>
      <c r="C13" s="65"/>
      <c r="D13" s="65"/>
      <c r="E13" s="65"/>
      <c r="F13" s="65"/>
      <c r="G13" s="65"/>
      <c r="H13" s="16" t="s">
        <v>119</v>
      </c>
      <c r="I13" s="68"/>
    </row>
    <row r="14" spans="1:10" ht="18" customHeight="1" x14ac:dyDescent="0.25">
      <c r="A14" s="16" t="s">
        <v>106</v>
      </c>
      <c r="B14" s="28" t="s">
        <v>107</v>
      </c>
      <c r="C14" s="28" t="s">
        <v>108</v>
      </c>
      <c r="D14" s="65"/>
      <c r="E14" s="28"/>
      <c r="F14" s="28"/>
      <c r="G14" s="65"/>
      <c r="H14" s="16" t="s">
        <v>117</v>
      </c>
      <c r="I14" s="68"/>
    </row>
    <row r="15" spans="1:10" ht="18" customHeight="1" x14ac:dyDescent="0.25">
      <c r="A15" s="61" t="s">
        <v>109</v>
      </c>
      <c r="B15" s="68"/>
      <c r="C15" s="68"/>
      <c r="D15" s="28"/>
      <c r="E15" s="28"/>
      <c r="F15" s="28"/>
      <c r="G15" s="65"/>
      <c r="H15" s="16"/>
    </row>
    <row r="16" spans="1:10" ht="18" customHeight="1" x14ac:dyDescent="0.25">
      <c r="A16" s="61" t="s">
        <v>110</v>
      </c>
      <c r="B16" s="68"/>
      <c r="C16" s="68"/>
      <c r="D16" s="28"/>
      <c r="E16" s="28"/>
      <c r="F16" s="28"/>
      <c r="G16" s="65"/>
    </row>
    <row r="17" spans="1:9" ht="18" customHeight="1" x14ac:dyDescent="0.25">
      <c r="A17" s="61" t="s">
        <v>111</v>
      </c>
      <c r="B17" s="68"/>
      <c r="C17" s="68"/>
      <c r="D17" s="28"/>
      <c r="E17" s="28"/>
      <c r="F17" s="28"/>
      <c r="G17" s="65"/>
    </row>
    <row r="18" spans="1:9" ht="18" customHeight="1" x14ac:dyDescent="0.25">
      <c r="A18" s="61" t="s">
        <v>112</v>
      </c>
      <c r="B18" s="68"/>
      <c r="C18" s="68"/>
      <c r="D18" s="28"/>
      <c r="G18" s="65"/>
    </row>
    <row r="19" spans="1:9" ht="18" customHeight="1" x14ac:dyDescent="0.25">
      <c r="A19" s="61" t="s">
        <v>113</v>
      </c>
      <c r="B19" s="68"/>
      <c r="C19" s="68"/>
    </row>
    <row r="20" spans="1:9" ht="18" customHeight="1" x14ac:dyDescent="0.25">
      <c r="C20" s="28"/>
    </row>
    <row r="21" spans="1:9" ht="18" customHeight="1" x14ac:dyDescent="0.25">
      <c r="C21" s="2"/>
    </row>
    <row r="22" spans="1:9" ht="18" customHeight="1" x14ac:dyDescent="0.25">
      <c r="A22" s="2"/>
      <c r="C22" s="2"/>
      <c r="G22" s="26"/>
    </row>
    <row r="23" spans="1:9" ht="18" customHeight="1" x14ac:dyDescent="0.25">
      <c r="A23" s="16"/>
    </row>
    <row r="27" spans="1:9" ht="18" customHeight="1" x14ac:dyDescent="0.25">
      <c r="I27" s="2"/>
    </row>
    <row r="29" spans="1:9" ht="18" customHeight="1" x14ac:dyDescent="0.25">
      <c r="A29" s="16"/>
    </row>
    <row r="31" spans="1:9" ht="18" customHeight="1" x14ac:dyDescent="0.25">
      <c r="E31" s="26"/>
      <c r="F31" s="26"/>
    </row>
    <row r="32" spans="1:9" ht="18" customHeight="1" x14ac:dyDescent="0.25">
      <c r="B32" s="30" t="s">
        <v>18</v>
      </c>
      <c r="C32" s="26"/>
      <c r="D32" s="26"/>
      <c r="E32" s="26"/>
      <c r="F32" s="26"/>
    </row>
    <row r="33" spans="1:9" ht="18" customHeight="1" x14ac:dyDescent="0.25">
      <c r="B33" t="s">
        <v>18</v>
      </c>
      <c r="C33" s="26"/>
      <c r="D33" s="26"/>
    </row>
    <row r="35" spans="1:9" ht="18" customHeight="1" x14ac:dyDescent="0.25">
      <c r="B35" s="5"/>
    </row>
    <row r="37" spans="1:9" ht="18" customHeight="1" x14ac:dyDescent="0.25">
      <c r="B37" s="5"/>
      <c r="C37" s="2"/>
      <c r="H37" s="26"/>
    </row>
    <row r="38" spans="1:9" ht="18" customHeight="1" x14ac:dyDescent="0.25">
      <c r="B38" s="5"/>
      <c r="C38" s="2"/>
      <c r="H38" s="26"/>
    </row>
    <row r="40" spans="1:9" ht="18" customHeight="1" x14ac:dyDescent="0.25">
      <c r="B40" s="5"/>
    </row>
    <row r="41" spans="1:9" ht="18" customHeight="1" x14ac:dyDescent="0.25">
      <c r="H41" s="26"/>
    </row>
    <row r="42" spans="1:9" ht="18" customHeight="1" x14ac:dyDescent="0.25">
      <c r="A42" s="9"/>
      <c r="H42" s="26"/>
      <c r="I42" s="26"/>
    </row>
    <row r="43" spans="1:9" ht="18" customHeight="1" x14ac:dyDescent="0.25">
      <c r="H43" s="26"/>
      <c r="I43" s="26"/>
    </row>
    <row r="47" spans="1:9" ht="18" customHeight="1" x14ac:dyDescent="0.25">
      <c r="I47" s="26"/>
    </row>
    <row r="49" spans="10:10" ht="18" customHeight="1" x14ac:dyDescent="0.25">
      <c r="J49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r:id="rId5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r:id="rId19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r:id="rId23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118</v>
      </c>
    </row>
    <row r="3" spans="2:9" ht="18.75" x14ac:dyDescent="0.3">
      <c r="B3" s="1" t="s">
        <v>97</v>
      </c>
    </row>
    <row r="4" spans="2:9" ht="18.75" x14ac:dyDescent="0.3">
      <c r="G4" s="69"/>
    </row>
    <row r="5" spans="2:9" x14ac:dyDescent="0.25">
      <c r="B5" s="4" t="s">
        <v>188</v>
      </c>
      <c r="C5" s="49" t="s">
        <v>258</v>
      </c>
    </row>
    <row r="6" spans="2:9" x14ac:dyDescent="0.25">
      <c r="B6" s="6" t="s">
        <v>45</v>
      </c>
      <c r="C6" s="49">
        <v>12</v>
      </c>
    </row>
    <row r="7" spans="2:9" x14ac:dyDescent="0.25">
      <c r="B7" s="6" t="s">
        <v>47</v>
      </c>
      <c r="C7" s="49">
        <v>12</v>
      </c>
    </row>
    <row r="8" spans="2:9" x14ac:dyDescent="0.25">
      <c r="B8" s="45" t="s">
        <v>256</v>
      </c>
      <c r="C8" s="49">
        <f>(3.14*(SubDiameter/2)^2)*(SubLength)*(1/12)^3</f>
        <v>0.78499999999999992</v>
      </c>
      <c r="D8" s="50"/>
      <c r="G8" t="s">
        <v>141</v>
      </c>
      <c r="H8" s="29"/>
      <c r="I8" s="45" t="s">
        <v>142</v>
      </c>
    </row>
    <row r="9" spans="2:9" x14ac:dyDescent="0.25">
      <c r="B9" s="45" t="s">
        <v>257</v>
      </c>
      <c r="C9" s="49">
        <f>Volume*28.317</f>
        <v>22.228844999999996</v>
      </c>
      <c r="D9" s="50"/>
      <c r="G9" t="s">
        <v>145</v>
      </c>
      <c r="H9" s="29"/>
      <c r="I9" t="s">
        <v>144</v>
      </c>
    </row>
    <row r="10" spans="2:9" x14ac:dyDescent="0.25">
      <c r="C10" s="2"/>
      <c r="G10" t="s">
        <v>143</v>
      </c>
      <c r="H10" s="49">
        <f>(Volume*MaxSpaceVelocity)*(1/60)*(61.7)/(2350*0.395)</f>
        <v>0</v>
      </c>
      <c r="I10" t="s">
        <v>144</v>
      </c>
    </row>
    <row r="11" spans="2:9" x14ac:dyDescent="0.25">
      <c r="G11" t="s">
        <v>146</v>
      </c>
      <c r="H11" s="76">
        <f>IF(H10&gt;MaxHertz,"60",H10)</f>
        <v>0</v>
      </c>
      <c r="I11" t="s">
        <v>144</v>
      </c>
    </row>
    <row r="13" spans="2:9" x14ac:dyDescent="0.25">
      <c r="B13" s="32" t="s">
        <v>121</v>
      </c>
      <c r="D13" s="27"/>
      <c r="E13" t="s">
        <v>122</v>
      </c>
    </row>
    <row r="14" spans="2:9" x14ac:dyDescent="0.25">
      <c r="B14" s="32" t="s">
        <v>123</v>
      </c>
      <c r="D14" s="27"/>
      <c r="E14" t="s">
        <v>124</v>
      </c>
    </row>
    <row r="15" spans="2:9" x14ac:dyDescent="0.25">
      <c r="B15" s="32" t="s">
        <v>125</v>
      </c>
      <c r="D15" s="29"/>
    </row>
    <row r="16" spans="2:9" x14ac:dyDescent="0.25">
      <c r="B16" s="33" t="s">
        <v>126</v>
      </c>
      <c r="C16" s="34" t="s">
        <v>127</v>
      </c>
      <c r="D16" s="34" t="s">
        <v>128</v>
      </c>
      <c r="E16" s="34" t="s">
        <v>129</v>
      </c>
      <c r="G16" s="35" t="s">
        <v>130</v>
      </c>
      <c r="H16" s="34"/>
      <c r="I16" s="34"/>
    </row>
    <row r="17" spans="2:9" x14ac:dyDescent="0.25">
      <c r="B17" s="36" t="s">
        <v>131</v>
      </c>
      <c r="C17" s="36" t="s">
        <v>132</v>
      </c>
      <c r="D17" s="36" t="s">
        <v>133</v>
      </c>
      <c r="E17" s="36" t="s">
        <v>132</v>
      </c>
      <c r="F17" s="36" t="s">
        <v>134</v>
      </c>
      <c r="G17" s="35" t="s">
        <v>135</v>
      </c>
      <c r="H17" s="34" t="s">
        <v>132</v>
      </c>
      <c r="I17" s="34" t="s">
        <v>136</v>
      </c>
    </row>
    <row r="18" spans="2:9" x14ac:dyDescent="0.25">
      <c r="B18" s="37">
        <f>0.25*$H$11</f>
        <v>0</v>
      </c>
      <c r="C18" s="38">
        <f>(2350/61.7)*B18*0.395</f>
        <v>0</v>
      </c>
      <c r="D18" s="29"/>
      <c r="E18" s="38">
        <f t="shared" ref="E18:E27" si="0">C18-(34.4764881*D18-4.325744048*D18^2+0.369475446*D18^3-0.01733631*D18^4+0.000339472*D18^5)</f>
        <v>0</v>
      </c>
      <c r="F18" s="39">
        <f t="shared" ref="F18:F28" si="1">(E18*60)/Volume</f>
        <v>0</v>
      </c>
      <c r="G18" s="29">
        <v>20000</v>
      </c>
      <c r="H18" s="40">
        <f t="shared" ref="H18:H28" si="2">G18*Volume/60</f>
        <v>261.66666666666663</v>
      </c>
      <c r="I18" s="41">
        <f t="shared" ref="I18:I28" si="3">G18^2*P0a+G18*P0b+P0c</f>
        <v>0</v>
      </c>
    </row>
    <row r="19" spans="2:9" x14ac:dyDescent="0.25">
      <c r="B19" s="37">
        <f>0.4*$H$11</f>
        <v>0</v>
      </c>
      <c r="C19" s="38">
        <f t="shared" ref="C19:C28" si="4">(2350/61.7)*B19*0.395</f>
        <v>0</v>
      </c>
      <c r="D19" s="29"/>
      <c r="E19" s="38">
        <f t="shared" si="0"/>
        <v>0</v>
      </c>
      <c r="F19" s="39">
        <f t="shared" si="1"/>
        <v>0</v>
      </c>
      <c r="G19" s="29">
        <v>35000</v>
      </c>
      <c r="H19" s="40">
        <f t="shared" si="2"/>
        <v>457.91666666666663</v>
      </c>
      <c r="I19" s="41">
        <f t="shared" si="3"/>
        <v>0</v>
      </c>
    </row>
    <row r="20" spans="2:9" x14ac:dyDescent="0.25">
      <c r="B20" s="37">
        <f>0.5*$H$11</f>
        <v>0</v>
      </c>
      <c r="C20" s="38">
        <f t="shared" si="4"/>
        <v>0</v>
      </c>
      <c r="D20" s="29"/>
      <c r="E20" s="38">
        <f t="shared" si="0"/>
        <v>0</v>
      </c>
      <c r="F20" s="39">
        <f t="shared" si="1"/>
        <v>0</v>
      </c>
      <c r="G20" s="29">
        <v>50000</v>
      </c>
      <c r="H20" s="40">
        <f t="shared" si="2"/>
        <v>654.16666666666652</v>
      </c>
      <c r="I20" s="41">
        <f t="shared" si="3"/>
        <v>0</v>
      </c>
    </row>
    <row r="21" spans="2:9" x14ac:dyDescent="0.25">
      <c r="B21" s="37">
        <f>0.6*$H$11</f>
        <v>0</v>
      </c>
      <c r="C21" s="38">
        <f t="shared" si="4"/>
        <v>0</v>
      </c>
      <c r="D21" s="29"/>
      <c r="E21" s="38">
        <f t="shared" si="0"/>
        <v>0</v>
      </c>
      <c r="F21" s="39">
        <f t="shared" si="1"/>
        <v>0</v>
      </c>
      <c r="G21" s="29">
        <v>60000</v>
      </c>
      <c r="H21" s="40">
        <f t="shared" si="2"/>
        <v>784.99999999999989</v>
      </c>
      <c r="I21" s="41">
        <f t="shared" si="3"/>
        <v>0</v>
      </c>
    </row>
    <row r="22" spans="2:9" x14ac:dyDescent="0.25">
      <c r="B22" s="37">
        <f>0.7*$H$11</f>
        <v>0</v>
      </c>
      <c r="C22" s="38">
        <f t="shared" si="4"/>
        <v>0</v>
      </c>
      <c r="D22" s="29"/>
      <c r="E22" s="38">
        <f t="shared" si="0"/>
        <v>0</v>
      </c>
      <c r="F22" s="39">
        <f t="shared" si="1"/>
        <v>0</v>
      </c>
      <c r="G22" s="29">
        <v>70000</v>
      </c>
      <c r="H22" s="40">
        <f t="shared" si="2"/>
        <v>915.83333333333326</v>
      </c>
      <c r="I22" s="41">
        <f t="shared" si="3"/>
        <v>0</v>
      </c>
    </row>
    <row r="23" spans="2:9" x14ac:dyDescent="0.25">
      <c r="B23" s="37">
        <f>0.75*$H$11</f>
        <v>0</v>
      </c>
      <c r="C23" s="38">
        <f t="shared" si="4"/>
        <v>0</v>
      </c>
      <c r="D23" s="29"/>
      <c r="E23" s="38">
        <f t="shared" si="0"/>
        <v>0</v>
      </c>
      <c r="F23" s="39">
        <f t="shared" si="1"/>
        <v>0</v>
      </c>
      <c r="G23" s="29">
        <v>75000</v>
      </c>
      <c r="H23" s="40">
        <f t="shared" si="2"/>
        <v>981.24999999999989</v>
      </c>
      <c r="I23" s="41">
        <f t="shared" si="3"/>
        <v>0</v>
      </c>
    </row>
    <row r="24" spans="2:9" x14ac:dyDescent="0.25">
      <c r="B24" s="37">
        <f>0.8*$H$11</f>
        <v>0</v>
      </c>
      <c r="C24" s="38">
        <f t="shared" si="4"/>
        <v>0</v>
      </c>
      <c r="D24" s="29"/>
      <c r="E24" s="38">
        <f t="shared" si="0"/>
        <v>0</v>
      </c>
      <c r="F24" s="39">
        <f t="shared" si="1"/>
        <v>0</v>
      </c>
      <c r="G24" s="29">
        <v>80000</v>
      </c>
      <c r="H24" s="40">
        <f t="shared" si="2"/>
        <v>1046.6666666666665</v>
      </c>
      <c r="I24" s="41">
        <f t="shared" si="3"/>
        <v>0</v>
      </c>
    </row>
    <row r="25" spans="2:9" x14ac:dyDescent="0.25">
      <c r="B25" s="37">
        <f>0.85*$H$11</f>
        <v>0</v>
      </c>
      <c r="C25" s="38">
        <f t="shared" si="4"/>
        <v>0</v>
      </c>
      <c r="D25" s="29"/>
      <c r="E25" s="38">
        <f t="shared" si="0"/>
        <v>0</v>
      </c>
      <c r="F25" s="39">
        <f t="shared" si="1"/>
        <v>0</v>
      </c>
      <c r="G25" s="29">
        <v>85000</v>
      </c>
      <c r="H25" s="40">
        <f t="shared" si="2"/>
        <v>1112.0833333333333</v>
      </c>
      <c r="I25" s="41">
        <f t="shared" si="3"/>
        <v>0</v>
      </c>
    </row>
    <row r="26" spans="2:9" x14ac:dyDescent="0.25">
      <c r="B26" s="37">
        <f>0.9*$H$11</f>
        <v>0</v>
      </c>
      <c r="C26" s="38">
        <f t="shared" si="4"/>
        <v>0</v>
      </c>
      <c r="D26" s="29"/>
      <c r="E26" s="38">
        <f t="shared" si="0"/>
        <v>0</v>
      </c>
      <c r="F26" s="39">
        <f t="shared" si="1"/>
        <v>0</v>
      </c>
      <c r="G26" s="29">
        <v>90000</v>
      </c>
      <c r="H26" s="40">
        <f t="shared" si="2"/>
        <v>1177.5</v>
      </c>
      <c r="I26" s="41">
        <f t="shared" si="3"/>
        <v>0</v>
      </c>
    </row>
    <row r="27" spans="2:9" x14ac:dyDescent="0.25">
      <c r="B27" s="37">
        <f>0.95*$H$11</f>
        <v>0</v>
      </c>
      <c r="C27" s="38">
        <f t="shared" si="4"/>
        <v>0</v>
      </c>
      <c r="D27" s="29"/>
      <c r="E27" s="38">
        <f t="shared" si="0"/>
        <v>0</v>
      </c>
      <c r="F27" s="39">
        <f t="shared" si="1"/>
        <v>0</v>
      </c>
      <c r="G27" s="29">
        <v>95000</v>
      </c>
      <c r="H27" s="40">
        <f t="shared" si="2"/>
        <v>1242.9166666666665</v>
      </c>
      <c r="I27" s="41">
        <f t="shared" si="3"/>
        <v>0</v>
      </c>
    </row>
    <row r="28" spans="2:9" x14ac:dyDescent="0.25">
      <c r="B28" s="37">
        <f>1*$H$11</f>
        <v>0</v>
      </c>
      <c r="C28" s="38">
        <f t="shared" si="4"/>
        <v>0</v>
      </c>
      <c r="D28" s="29"/>
      <c r="E28" s="38">
        <f>C28-(34.4764881*D28-4.325744048*D28^2+0.369475446*D28^3-0.01733631*D28^4+0.000339472*D28^5)</f>
        <v>0</v>
      </c>
      <c r="F28" s="39">
        <f t="shared" si="1"/>
        <v>0</v>
      </c>
      <c r="G28" s="29">
        <v>100000</v>
      </c>
      <c r="H28" s="40">
        <f t="shared" si="2"/>
        <v>1308.333333333333</v>
      </c>
      <c r="I28" s="41">
        <f t="shared" si="3"/>
        <v>0</v>
      </c>
    </row>
    <row r="29" spans="2:9" x14ac:dyDescent="0.25">
      <c r="G29" s="10" t="s">
        <v>137</v>
      </c>
    </row>
    <row r="30" spans="2:9" x14ac:dyDescent="0.25">
      <c r="C30" s="42"/>
      <c r="G30" s="10" t="s">
        <v>138</v>
      </c>
      <c r="H30" s="44"/>
    </row>
    <row r="31" spans="2:9" x14ac:dyDescent="0.25">
      <c r="B31" s="36"/>
      <c r="C31" s="36"/>
      <c r="D31" s="36"/>
      <c r="E31" s="36"/>
      <c r="F31" s="36"/>
      <c r="G31" s="10" t="s">
        <v>139</v>
      </c>
      <c r="H31" s="44"/>
    </row>
    <row r="32" spans="2:9" x14ac:dyDescent="0.25">
      <c r="B32" s="43"/>
      <c r="C32" s="43"/>
      <c r="D32" s="43"/>
      <c r="E32" s="43"/>
      <c r="F32" s="43"/>
      <c r="G32" s="10" t="s">
        <v>140</v>
      </c>
      <c r="H32" s="27"/>
    </row>
    <row r="33" spans="2:9" x14ac:dyDescent="0.25">
      <c r="B33" s="43"/>
      <c r="C33" s="43"/>
      <c r="D33" s="43"/>
      <c r="E33" s="43"/>
      <c r="F33" s="43"/>
      <c r="I33" t="s">
        <v>18</v>
      </c>
    </row>
    <row r="36" spans="2:9" x14ac:dyDescent="0.25">
      <c r="B36" s="32" t="s">
        <v>121</v>
      </c>
      <c r="D36" s="27"/>
      <c r="E36" t="s">
        <v>122</v>
      </c>
    </row>
    <row r="37" spans="2:9" x14ac:dyDescent="0.25">
      <c r="B37" s="32" t="s">
        <v>123</v>
      </c>
      <c r="D37" s="27"/>
      <c r="E37" t="s">
        <v>124</v>
      </c>
      <c r="I37" s="42"/>
    </row>
    <row r="38" spans="2:9" x14ac:dyDescent="0.25">
      <c r="B38" s="32" t="s">
        <v>125</v>
      </c>
      <c r="D38" s="29"/>
    </row>
    <row r="39" spans="2:9" x14ac:dyDescent="0.25">
      <c r="B39" s="33" t="s">
        <v>126</v>
      </c>
      <c r="C39" s="34" t="s">
        <v>127</v>
      </c>
      <c r="D39" s="34" t="s">
        <v>128</v>
      </c>
      <c r="E39" s="34" t="s">
        <v>129</v>
      </c>
      <c r="F39" s="45"/>
      <c r="G39" s="35" t="s">
        <v>130</v>
      </c>
      <c r="H39" s="34"/>
      <c r="I39" s="34"/>
    </row>
    <row r="40" spans="2:9" x14ac:dyDescent="0.25">
      <c r="B40" s="34" t="s">
        <v>131</v>
      </c>
      <c r="C40" s="34" t="s">
        <v>132</v>
      </c>
      <c r="D40" s="34" t="s">
        <v>133</v>
      </c>
      <c r="E40" s="34" t="s">
        <v>132</v>
      </c>
      <c r="F40" s="34" t="s">
        <v>134</v>
      </c>
      <c r="G40" s="35" t="s">
        <v>135</v>
      </c>
      <c r="H40" s="34" t="s">
        <v>132</v>
      </c>
      <c r="I40" s="34" t="s">
        <v>136</v>
      </c>
    </row>
    <row r="41" spans="2:9" x14ac:dyDescent="0.25">
      <c r="B41" s="37">
        <f>0.25*$H$11</f>
        <v>0</v>
      </c>
      <c r="C41" s="38">
        <f>(2350/61.7)*B41*0.395</f>
        <v>0</v>
      </c>
      <c r="D41" s="29"/>
      <c r="E41" s="38">
        <f t="shared" ref="E41:E51" si="5">C41-(34.4764881*D41-4.325744048*D41^2+0.369475446*D41^3-0.01733631*D41^4+0.000339472*D41^5)</f>
        <v>0</v>
      </c>
      <c r="F41" s="39">
        <f t="shared" ref="F41:F51" si="6">(E41*60)/Volume</f>
        <v>0</v>
      </c>
      <c r="G41" s="29">
        <v>20000</v>
      </c>
      <c r="H41" s="40">
        <f t="shared" ref="H41:H51" si="7">G41*Volume/60</f>
        <v>261.66666666666663</v>
      </c>
      <c r="I41" s="41">
        <f t="shared" ref="I41:I51" si="8">G41^2*P1a+G41*P1b+P1c</f>
        <v>0</v>
      </c>
    </row>
    <row r="42" spans="2:9" x14ac:dyDescent="0.25">
      <c r="B42" s="37">
        <f>0.4*$H$11</f>
        <v>0</v>
      </c>
      <c r="C42" s="38">
        <f t="shared" ref="C42:C50" si="9">(2350/61.7)*B42*0.395</f>
        <v>0</v>
      </c>
      <c r="D42" s="29"/>
      <c r="E42" s="38">
        <f t="shared" si="5"/>
        <v>0</v>
      </c>
      <c r="F42" s="39">
        <f t="shared" si="6"/>
        <v>0</v>
      </c>
      <c r="G42" s="29">
        <v>35000</v>
      </c>
      <c r="H42" s="40">
        <f t="shared" si="7"/>
        <v>457.91666666666663</v>
      </c>
      <c r="I42" s="41">
        <f t="shared" si="8"/>
        <v>0</v>
      </c>
    </row>
    <row r="43" spans="2:9" x14ac:dyDescent="0.25">
      <c r="B43" s="37">
        <f>0.5*$H$11</f>
        <v>0</v>
      </c>
      <c r="C43" s="38">
        <f t="shared" si="9"/>
        <v>0</v>
      </c>
      <c r="D43" s="29"/>
      <c r="E43" s="38">
        <f t="shared" si="5"/>
        <v>0</v>
      </c>
      <c r="F43" s="39">
        <f t="shared" si="6"/>
        <v>0</v>
      </c>
      <c r="G43" s="29">
        <v>50000</v>
      </c>
      <c r="H43" s="40">
        <f t="shared" si="7"/>
        <v>654.16666666666652</v>
      </c>
      <c r="I43" s="41">
        <f t="shared" si="8"/>
        <v>0</v>
      </c>
    </row>
    <row r="44" spans="2:9" x14ac:dyDescent="0.25">
      <c r="B44" s="37">
        <f>0.6*$H$11</f>
        <v>0</v>
      </c>
      <c r="C44" s="38">
        <f t="shared" si="9"/>
        <v>0</v>
      </c>
      <c r="D44" s="29"/>
      <c r="E44" s="38">
        <f t="shared" si="5"/>
        <v>0</v>
      </c>
      <c r="F44" s="39">
        <f t="shared" si="6"/>
        <v>0</v>
      </c>
      <c r="G44" s="29">
        <v>60000</v>
      </c>
      <c r="H44" s="40">
        <f t="shared" si="7"/>
        <v>784.99999999999989</v>
      </c>
      <c r="I44" s="41">
        <f t="shared" si="8"/>
        <v>0</v>
      </c>
    </row>
    <row r="45" spans="2:9" x14ac:dyDescent="0.25">
      <c r="B45" s="37">
        <f>0.7*$H$11</f>
        <v>0</v>
      </c>
      <c r="C45" s="38">
        <f t="shared" si="9"/>
        <v>0</v>
      </c>
      <c r="D45" s="29"/>
      <c r="E45" s="38">
        <f t="shared" si="5"/>
        <v>0</v>
      </c>
      <c r="F45" s="39">
        <f t="shared" si="6"/>
        <v>0</v>
      </c>
      <c r="G45" s="29">
        <v>70000</v>
      </c>
      <c r="H45" s="40">
        <f t="shared" si="7"/>
        <v>915.83333333333326</v>
      </c>
      <c r="I45" s="41">
        <f t="shared" si="8"/>
        <v>0</v>
      </c>
    </row>
    <row r="46" spans="2:9" x14ac:dyDescent="0.25">
      <c r="B46" s="37">
        <f>0.75*$H$11</f>
        <v>0</v>
      </c>
      <c r="C46" s="38">
        <f t="shared" si="9"/>
        <v>0</v>
      </c>
      <c r="D46" s="29"/>
      <c r="E46" s="38">
        <f t="shared" si="5"/>
        <v>0</v>
      </c>
      <c r="F46" s="39">
        <f t="shared" si="6"/>
        <v>0</v>
      </c>
      <c r="G46" s="29">
        <v>75000</v>
      </c>
      <c r="H46" s="40">
        <f t="shared" si="7"/>
        <v>981.24999999999989</v>
      </c>
      <c r="I46" s="41">
        <f t="shared" si="8"/>
        <v>0</v>
      </c>
    </row>
    <row r="47" spans="2:9" x14ac:dyDescent="0.25">
      <c r="B47" s="37">
        <f>0.8*$H$11</f>
        <v>0</v>
      </c>
      <c r="C47" s="38">
        <f t="shared" si="9"/>
        <v>0</v>
      </c>
      <c r="D47" s="29"/>
      <c r="E47" s="38">
        <f t="shared" si="5"/>
        <v>0</v>
      </c>
      <c r="F47" s="39">
        <f t="shared" si="6"/>
        <v>0</v>
      </c>
      <c r="G47" s="29">
        <v>80000</v>
      </c>
      <c r="H47" s="40">
        <f t="shared" si="7"/>
        <v>1046.6666666666665</v>
      </c>
      <c r="I47" s="41">
        <f t="shared" si="8"/>
        <v>0</v>
      </c>
    </row>
    <row r="48" spans="2:9" x14ac:dyDescent="0.25">
      <c r="B48" s="37">
        <f>0.85*$H$11</f>
        <v>0</v>
      </c>
      <c r="C48" s="38">
        <f t="shared" si="9"/>
        <v>0</v>
      </c>
      <c r="D48" s="29"/>
      <c r="E48" s="38">
        <f t="shared" si="5"/>
        <v>0</v>
      </c>
      <c r="F48" s="39">
        <f t="shared" si="6"/>
        <v>0</v>
      </c>
      <c r="G48" s="29">
        <v>85000</v>
      </c>
      <c r="H48" s="40">
        <f t="shared" si="7"/>
        <v>1112.0833333333333</v>
      </c>
      <c r="I48" s="41">
        <f t="shared" si="8"/>
        <v>0</v>
      </c>
    </row>
    <row r="49" spans="2:9" x14ac:dyDescent="0.25">
      <c r="B49" s="37">
        <f>0.9*$H$11</f>
        <v>0</v>
      </c>
      <c r="C49" s="38">
        <f t="shared" si="9"/>
        <v>0</v>
      </c>
      <c r="D49" s="29"/>
      <c r="E49" s="38">
        <f t="shared" si="5"/>
        <v>0</v>
      </c>
      <c r="F49" s="39">
        <f t="shared" si="6"/>
        <v>0</v>
      </c>
      <c r="G49" s="29">
        <v>90000</v>
      </c>
      <c r="H49" s="40">
        <f t="shared" si="7"/>
        <v>1177.5</v>
      </c>
      <c r="I49" s="41">
        <f t="shared" si="8"/>
        <v>0</v>
      </c>
    </row>
    <row r="50" spans="2:9" x14ac:dyDescent="0.25">
      <c r="B50" s="37">
        <f>0.95*$H$11</f>
        <v>0</v>
      </c>
      <c r="C50" s="38">
        <f t="shared" si="9"/>
        <v>0</v>
      </c>
      <c r="D50" s="29"/>
      <c r="E50" s="38">
        <f t="shared" si="5"/>
        <v>0</v>
      </c>
      <c r="F50" s="39">
        <f t="shared" si="6"/>
        <v>0</v>
      </c>
      <c r="G50" s="29">
        <v>95000</v>
      </c>
      <c r="H50" s="40">
        <f t="shared" si="7"/>
        <v>1242.9166666666665</v>
      </c>
      <c r="I50" s="41">
        <f t="shared" si="8"/>
        <v>0</v>
      </c>
    </row>
    <row r="51" spans="2:9" x14ac:dyDescent="0.25">
      <c r="B51" s="37">
        <f>1*$H$11</f>
        <v>0</v>
      </c>
      <c r="C51" s="38">
        <f>(2350/61.7)*B51*0.395</f>
        <v>0</v>
      </c>
      <c r="D51" s="29"/>
      <c r="E51" s="38">
        <f t="shared" si="5"/>
        <v>0</v>
      </c>
      <c r="F51" s="39">
        <f t="shared" si="6"/>
        <v>0</v>
      </c>
      <c r="G51" s="29">
        <v>100000</v>
      </c>
      <c r="H51" s="40">
        <f t="shared" si="7"/>
        <v>1308.333333333333</v>
      </c>
      <c r="I51" s="41">
        <f t="shared" si="8"/>
        <v>0</v>
      </c>
    </row>
    <row r="52" spans="2:9" x14ac:dyDescent="0.25">
      <c r="G52" s="10" t="s">
        <v>137</v>
      </c>
    </row>
    <row r="53" spans="2:9" x14ac:dyDescent="0.25">
      <c r="B53" s="43"/>
      <c r="C53" s="43"/>
      <c r="D53" s="43"/>
      <c r="G53" s="10" t="s">
        <v>138</v>
      </c>
      <c r="H53" s="44"/>
    </row>
    <row r="54" spans="2:9" x14ac:dyDescent="0.25">
      <c r="C54" s="43"/>
      <c r="D54" s="43"/>
      <c r="E54" s="45"/>
      <c r="F54" s="45"/>
      <c r="G54" s="10" t="s">
        <v>139</v>
      </c>
      <c r="H54" s="44"/>
    </row>
    <row r="55" spans="2:9" x14ac:dyDescent="0.25">
      <c r="B55" s="46"/>
      <c r="C55" s="43"/>
      <c r="D55" s="43"/>
      <c r="E55" s="45"/>
      <c r="F55" s="45"/>
      <c r="G55" s="10" t="s">
        <v>140</v>
      </c>
      <c r="H55" s="44"/>
    </row>
    <row r="56" spans="2:9" x14ac:dyDescent="0.25">
      <c r="B56" s="46"/>
      <c r="C56" s="43"/>
      <c r="D56" s="43"/>
      <c r="E56" s="43"/>
      <c r="F56" s="43"/>
    </row>
    <row r="57" spans="2:9" x14ac:dyDescent="0.25">
      <c r="C57" s="43"/>
      <c r="D57" s="43"/>
      <c r="E57" s="43"/>
      <c r="F57" s="43"/>
    </row>
    <row r="60" spans="2:9" x14ac:dyDescent="0.25">
      <c r="B60" s="32" t="s">
        <v>121</v>
      </c>
      <c r="D60" s="27"/>
      <c r="E60" t="s">
        <v>122</v>
      </c>
    </row>
    <row r="61" spans="2:9" x14ac:dyDescent="0.25">
      <c r="B61" s="32" t="s">
        <v>123</v>
      </c>
      <c r="D61" s="27"/>
      <c r="E61" t="s">
        <v>124</v>
      </c>
    </row>
    <row r="62" spans="2:9" x14ac:dyDescent="0.25">
      <c r="B62" s="32" t="s">
        <v>125</v>
      </c>
      <c r="D62" s="29"/>
      <c r="H62" s="26"/>
      <c r="I62" s="26"/>
    </row>
    <row r="63" spans="2:9" x14ac:dyDescent="0.25">
      <c r="B63" s="33" t="s">
        <v>126</v>
      </c>
      <c r="C63" s="34" t="s">
        <v>127</v>
      </c>
      <c r="D63" s="34" t="s">
        <v>128</v>
      </c>
      <c r="E63" s="34" t="s">
        <v>129</v>
      </c>
      <c r="F63" s="45"/>
      <c r="G63" s="35" t="s">
        <v>130</v>
      </c>
      <c r="H63" s="34"/>
      <c r="I63" s="34"/>
    </row>
    <row r="64" spans="2:9" x14ac:dyDescent="0.25">
      <c r="B64" s="34" t="s">
        <v>131</v>
      </c>
      <c r="C64" s="34" t="s">
        <v>132</v>
      </c>
      <c r="D64" s="34" t="s">
        <v>133</v>
      </c>
      <c r="E64" s="34" t="s">
        <v>132</v>
      </c>
      <c r="F64" s="34" t="s">
        <v>134</v>
      </c>
      <c r="G64" s="35" t="s">
        <v>135</v>
      </c>
      <c r="H64" s="34" t="s">
        <v>132</v>
      </c>
      <c r="I64" s="34" t="s">
        <v>136</v>
      </c>
    </row>
    <row r="65" spans="2:9" x14ac:dyDescent="0.25">
      <c r="B65" s="37">
        <f>0.25*$H$11</f>
        <v>0</v>
      </c>
      <c r="C65" s="38">
        <f>(2350/61.7)*B65*0.395</f>
        <v>0</v>
      </c>
      <c r="D65" s="29"/>
      <c r="E65" s="38">
        <f t="shared" ref="E65:E75" si="10">C65-(34.4764881*D65-4.325744048*D65^2+0.369475446*D65^3-0.01733631*D65^4+0.000339472*D65^5)</f>
        <v>0</v>
      </c>
      <c r="F65" s="38">
        <f t="shared" ref="F65:F75" si="11">(E65*60)/Volume</f>
        <v>0</v>
      </c>
      <c r="G65" s="29">
        <v>20000</v>
      </c>
      <c r="H65" s="40">
        <f t="shared" ref="H65:H75" si="12">G65*Volume/60</f>
        <v>261.66666666666663</v>
      </c>
      <c r="I65" s="41">
        <f t="shared" ref="I65:I75" si="13">G65^2*P2a+G65*P2b+P2c</f>
        <v>0</v>
      </c>
    </row>
    <row r="66" spans="2:9" x14ac:dyDescent="0.25">
      <c r="B66" s="37">
        <f>0.4*$H$11</f>
        <v>0</v>
      </c>
      <c r="C66" s="38">
        <f t="shared" ref="C66:C75" si="14">(2350/61.7)*B66*0.395</f>
        <v>0</v>
      </c>
      <c r="D66" s="29"/>
      <c r="E66" s="38">
        <f t="shared" si="10"/>
        <v>0</v>
      </c>
      <c r="F66" s="38">
        <f t="shared" si="11"/>
        <v>0</v>
      </c>
      <c r="G66" s="29">
        <v>35000</v>
      </c>
      <c r="H66" s="40">
        <f t="shared" si="12"/>
        <v>457.91666666666663</v>
      </c>
      <c r="I66" s="41">
        <f t="shared" si="13"/>
        <v>0</v>
      </c>
    </row>
    <row r="67" spans="2:9" x14ac:dyDescent="0.25">
      <c r="B67" s="37">
        <f>0.5*$H$11</f>
        <v>0</v>
      </c>
      <c r="C67" s="38">
        <f t="shared" si="14"/>
        <v>0</v>
      </c>
      <c r="D67" s="29"/>
      <c r="E67" s="38">
        <f t="shared" si="10"/>
        <v>0</v>
      </c>
      <c r="F67" s="38">
        <f t="shared" si="11"/>
        <v>0</v>
      </c>
      <c r="G67" s="29">
        <v>50000</v>
      </c>
      <c r="H67" s="40">
        <f t="shared" si="12"/>
        <v>654.16666666666652</v>
      </c>
      <c r="I67" s="41">
        <f t="shared" si="13"/>
        <v>0</v>
      </c>
    </row>
    <row r="68" spans="2:9" x14ac:dyDescent="0.25">
      <c r="B68" s="37">
        <f>0.6*$H$11</f>
        <v>0</v>
      </c>
      <c r="C68" s="38">
        <f t="shared" si="14"/>
        <v>0</v>
      </c>
      <c r="D68" s="29"/>
      <c r="E68" s="38">
        <f t="shared" si="10"/>
        <v>0</v>
      </c>
      <c r="F68" s="38">
        <f t="shared" si="11"/>
        <v>0</v>
      </c>
      <c r="G68" s="29">
        <v>60000</v>
      </c>
      <c r="H68" s="40">
        <f t="shared" si="12"/>
        <v>784.99999999999989</v>
      </c>
      <c r="I68" s="41">
        <f t="shared" si="13"/>
        <v>0</v>
      </c>
    </row>
    <row r="69" spans="2:9" x14ac:dyDescent="0.25">
      <c r="B69" s="37">
        <f>0.7*$H$11</f>
        <v>0</v>
      </c>
      <c r="C69" s="38">
        <f t="shared" si="14"/>
        <v>0</v>
      </c>
      <c r="D69" s="29"/>
      <c r="E69" s="38">
        <f t="shared" si="10"/>
        <v>0</v>
      </c>
      <c r="F69" s="38">
        <f t="shared" si="11"/>
        <v>0</v>
      </c>
      <c r="G69" s="29">
        <v>70000</v>
      </c>
      <c r="H69" s="40">
        <f t="shared" si="12"/>
        <v>915.83333333333326</v>
      </c>
      <c r="I69" s="41">
        <f t="shared" si="13"/>
        <v>0</v>
      </c>
    </row>
    <row r="70" spans="2:9" x14ac:dyDescent="0.25">
      <c r="B70" s="37">
        <f>0.75*$H$11</f>
        <v>0</v>
      </c>
      <c r="C70" s="38">
        <f t="shared" si="14"/>
        <v>0</v>
      </c>
      <c r="D70" s="29"/>
      <c r="E70" s="38">
        <f t="shared" si="10"/>
        <v>0</v>
      </c>
      <c r="F70" s="38">
        <f t="shared" si="11"/>
        <v>0</v>
      </c>
      <c r="G70" s="29">
        <v>75000</v>
      </c>
      <c r="H70" s="40">
        <f t="shared" si="12"/>
        <v>981.24999999999989</v>
      </c>
      <c r="I70" s="41">
        <f t="shared" si="13"/>
        <v>0</v>
      </c>
    </row>
    <row r="71" spans="2:9" x14ac:dyDescent="0.25">
      <c r="B71" s="37">
        <f>0.8*$H$11</f>
        <v>0</v>
      </c>
      <c r="C71" s="38">
        <f t="shared" si="14"/>
        <v>0</v>
      </c>
      <c r="D71" s="29"/>
      <c r="E71" s="38">
        <f t="shared" si="10"/>
        <v>0</v>
      </c>
      <c r="F71" s="38">
        <f t="shared" si="11"/>
        <v>0</v>
      </c>
      <c r="G71" s="29">
        <v>80000</v>
      </c>
      <c r="H71" s="40">
        <f t="shared" si="12"/>
        <v>1046.6666666666665</v>
      </c>
      <c r="I71" s="41">
        <f t="shared" si="13"/>
        <v>0</v>
      </c>
    </row>
    <row r="72" spans="2:9" x14ac:dyDescent="0.25">
      <c r="B72" s="37">
        <f>0.85*$H$11</f>
        <v>0</v>
      </c>
      <c r="C72" s="38">
        <f t="shared" si="14"/>
        <v>0</v>
      </c>
      <c r="D72" s="29"/>
      <c r="E72" s="38">
        <f t="shared" si="10"/>
        <v>0</v>
      </c>
      <c r="F72" s="38">
        <f t="shared" si="11"/>
        <v>0</v>
      </c>
      <c r="G72" s="29">
        <v>85000</v>
      </c>
      <c r="H72" s="40">
        <f t="shared" si="12"/>
        <v>1112.0833333333333</v>
      </c>
      <c r="I72" s="41">
        <f t="shared" si="13"/>
        <v>0</v>
      </c>
    </row>
    <row r="73" spans="2:9" x14ac:dyDescent="0.25">
      <c r="B73" s="37">
        <f>0.9*$H$11</f>
        <v>0</v>
      </c>
      <c r="C73" s="38">
        <f t="shared" si="14"/>
        <v>0</v>
      </c>
      <c r="D73" s="29"/>
      <c r="E73" s="38">
        <f t="shared" si="10"/>
        <v>0</v>
      </c>
      <c r="F73" s="38">
        <f t="shared" si="11"/>
        <v>0</v>
      </c>
      <c r="G73" s="29">
        <v>90000</v>
      </c>
      <c r="H73" s="40">
        <f t="shared" si="12"/>
        <v>1177.5</v>
      </c>
      <c r="I73" s="41">
        <f t="shared" si="13"/>
        <v>0</v>
      </c>
    </row>
    <row r="74" spans="2:9" x14ac:dyDescent="0.25">
      <c r="B74" s="37">
        <f>0.95*$H$11</f>
        <v>0</v>
      </c>
      <c r="C74" s="38">
        <f t="shared" si="14"/>
        <v>0</v>
      </c>
      <c r="D74" s="29"/>
      <c r="E74" s="38">
        <f t="shared" si="10"/>
        <v>0</v>
      </c>
      <c r="F74" s="38">
        <f t="shared" si="11"/>
        <v>0</v>
      </c>
      <c r="G74" s="29">
        <v>95000</v>
      </c>
      <c r="H74" s="40">
        <f t="shared" si="12"/>
        <v>1242.9166666666665</v>
      </c>
      <c r="I74" s="41">
        <f t="shared" si="13"/>
        <v>0</v>
      </c>
    </row>
    <row r="75" spans="2:9" x14ac:dyDescent="0.25">
      <c r="B75" s="37">
        <f>1*$H$11</f>
        <v>0</v>
      </c>
      <c r="C75" s="38">
        <f t="shared" si="14"/>
        <v>0</v>
      </c>
      <c r="D75" s="29"/>
      <c r="E75" s="38">
        <f t="shared" si="10"/>
        <v>0</v>
      </c>
      <c r="F75" s="38">
        <f t="shared" si="11"/>
        <v>0</v>
      </c>
      <c r="G75" s="29">
        <v>100000</v>
      </c>
      <c r="H75" s="40">
        <f t="shared" si="12"/>
        <v>1308.333333333333</v>
      </c>
      <c r="I75" s="41">
        <f t="shared" si="13"/>
        <v>0</v>
      </c>
    </row>
    <row r="76" spans="2:9" x14ac:dyDescent="0.25">
      <c r="G76" s="10" t="s">
        <v>137</v>
      </c>
    </row>
    <row r="77" spans="2:9" x14ac:dyDescent="0.25">
      <c r="F77" s="47"/>
      <c r="G77" s="10" t="s">
        <v>138</v>
      </c>
      <c r="H77" s="44"/>
    </row>
    <row r="78" spans="2:9" x14ac:dyDescent="0.25">
      <c r="B78" s="46"/>
      <c r="C78" s="45"/>
      <c r="D78" s="45"/>
      <c r="F78" s="26"/>
      <c r="G78" s="10" t="s">
        <v>139</v>
      </c>
      <c r="H78" s="44"/>
    </row>
    <row r="79" spans="2:9" x14ac:dyDescent="0.25">
      <c r="B79" s="46"/>
      <c r="C79" s="45"/>
      <c r="D79" s="45"/>
      <c r="E79" s="42"/>
      <c r="F79" s="26"/>
      <c r="G79" s="10" t="s">
        <v>140</v>
      </c>
      <c r="H79" s="27"/>
    </row>
    <row r="80" spans="2:9" x14ac:dyDescent="0.25">
      <c r="C80" s="48"/>
      <c r="D80" s="43"/>
      <c r="F80" s="2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63</vt:i4>
      </vt:variant>
    </vt:vector>
  </HeadingPairs>
  <TitlesOfParts>
    <vt:vector size="76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2019-02-20T13:18:13Z</dcterms:modified>
</cp:coreProperties>
</file>