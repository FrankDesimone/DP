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68D2AE8E-6809-40F9-9985-2D41DA54F417}" xr6:coauthVersionLast="40" xr6:coauthVersionMax="40" xr10:uidLastSave="{00000000-0000-0000-0000-000000000000}"/>
  <bookViews>
    <workbookView xWindow="-120" yWindow="-120" windowWidth="29040" windowHeight="1599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Quality!$B$3:$B$5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DPF!$F$51:$F$54</definedName>
    <definedName name="engine" localSheetId="5">Engine!$B$5:$B$8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QAProcess!$C$9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Quality">Quality!$F$4</definedName>
    <definedName name="NoteReport">Report!$A$1</definedName>
    <definedName name="NoteVehicle">Vehicle!$D$3</definedName>
    <definedName name="P0a" localSheetId="12">QAProcess!$H$31</definedName>
    <definedName name="P0AirTemp" localSheetId="12">QAProcess!$D$14</definedName>
    <definedName name="P0b" localSheetId="12">QAProcess!$H$32</definedName>
    <definedName name="P0BackPress" localSheetId="12">QAProcess!$D$16</definedName>
    <definedName name="P0BaroPress" localSheetId="12">QAProcess!$D$15</definedName>
    <definedName name="P0c" localSheetId="10">[1]QAProcess!$H$36</definedName>
    <definedName name="P0c">QAProcess!$H$33</definedName>
    <definedName name="P0PSI" localSheetId="12">QAProcess!$D$19:$D$29</definedName>
    <definedName name="P0SV" localSheetId="12">QAProcess!$G$19:$G$29</definedName>
    <definedName name="P1a" localSheetId="12">QAProcess!$H$55</definedName>
    <definedName name="P1AirTemp" localSheetId="12">QAProcess!$D$38</definedName>
    <definedName name="P1b" localSheetId="12">QAProcess!$H$56</definedName>
    <definedName name="P1BackPress" localSheetId="12">QAProcess!$D$40</definedName>
    <definedName name="P1BaroPress" localSheetId="12">QAProcess!$D$39</definedName>
    <definedName name="P1c" localSheetId="12">QAProcess!$H$57</definedName>
    <definedName name="P1PSI" localSheetId="12">QAProcess!$D$43:$D$53</definedName>
    <definedName name="P1SV" localSheetId="12">QAProcess!$G$43:$G$53</definedName>
    <definedName name="P2a" localSheetId="12">QAProcess!$H$80</definedName>
    <definedName name="P2AirTemp" localSheetId="12">QAProcess!$D$63</definedName>
    <definedName name="P2b" localSheetId="12">QAProcess!$H$81</definedName>
    <definedName name="P2BackPress" localSheetId="12">QAProcess!$D$65</definedName>
    <definedName name="P2BaroPress" localSheetId="12">QAProcess!$D$64</definedName>
    <definedName name="P2c" localSheetId="12">QAProcess!$H$82</definedName>
    <definedName name="P2PSI">QAProcess!$D$68:$D$78</definedName>
    <definedName name="P2SV" localSheetId="12">QAProcess!$G$68:$G$78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8" i="19" l="1"/>
  <c r="I77" i="19"/>
  <c r="I76" i="19"/>
  <c r="I75" i="19"/>
  <c r="I74" i="19"/>
  <c r="I73" i="19"/>
  <c r="I72" i="19"/>
  <c r="I71" i="19"/>
  <c r="I70" i="19"/>
  <c r="I69" i="19"/>
  <c r="I68" i="19"/>
  <c r="I53" i="19"/>
  <c r="I52" i="19"/>
  <c r="I51" i="19"/>
  <c r="I50" i="19"/>
  <c r="I49" i="19"/>
  <c r="I48" i="19"/>
  <c r="I47" i="19"/>
  <c r="I46" i="19"/>
  <c r="I45" i="19"/>
  <c r="I44" i="19"/>
  <c r="I43" i="19"/>
  <c r="I29" i="19"/>
  <c r="I28" i="19"/>
  <c r="I27" i="19"/>
  <c r="I26" i="19"/>
  <c r="I25" i="19"/>
  <c r="I24" i="19"/>
  <c r="I23" i="19"/>
  <c r="I22" i="19"/>
  <c r="I21" i="19"/>
  <c r="I20" i="19"/>
  <c r="I19" i="19"/>
  <c r="D61" i="19"/>
  <c r="D36" i="19"/>
  <c r="D12" i="19"/>
  <c r="H8" i="19" l="1"/>
  <c r="H46" i="19" l="1"/>
  <c r="H10" i="19"/>
  <c r="H11" i="19" s="1"/>
  <c r="H69" i="19"/>
  <c r="H76" i="19"/>
  <c r="H51" i="19"/>
  <c r="H75" i="19"/>
  <c r="H52" i="19"/>
  <c r="H70" i="19"/>
  <c r="H45" i="19"/>
  <c r="H19" i="19"/>
  <c r="H29" i="19"/>
  <c r="H50" i="19"/>
  <c r="H72" i="19"/>
  <c r="H9" i="19"/>
  <c r="H28" i="19"/>
  <c r="H49" i="19"/>
  <c r="H71" i="19"/>
  <c r="H22" i="19"/>
  <c r="H48" i="19"/>
  <c r="H78" i="19"/>
  <c r="H47" i="19"/>
  <c r="H77" i="19"/>
  <c r="H44" i="19"/>
  <c r="H74" i="19"/>
  <c r="H43" i="19"/>
  <c r="H73" i="19"/>
  <c r="H21" i="19"/>
  <c r="H20" i="19"/>
  <c r="H24" i="19"/>
  <c r="H26" i="19"/>
  <c r="H27" i="19"/>
  <c r="H53" i="19"/>
  <c r="H23" i="19"/>
  <c r="H68" i="19"/>
  <c r="H25" i="19"/>
  <c r="B22" i="19" l="1"/>
  <c r="C22" i="19" s="1"/>
  <c r="E22" i="19" s="1"/>
  <c r="F22" i="19" s="1"/>
  <c r="B45" i="19"/>
  <c r="C45" i="19" s="1"/>
  <c r="E45" i="19" s="1"/>
  <c r="F45" i="19" s="1"/>
  <c r="B49" i="19"/>
  <c r="C49" i="19" s="1"/>
  <c r="E49" i="19" s="1"/>
  <c r="F49" i="19" s="1"/>
  <c r="B69" i="19"/>
  <c r="C69" i="19" s="1"/>
  <c r="E69" i="19" s="1"/>
  <c r="F69" i="19" s="1"/>
  <c r="B26" i="19"/>
  <c r="C26" i="19" s="1"/>
  <c r="E26" i="19" s="1"/>
  <c r="F26" i="19" s="1"/>
  <c r="B70" i="19"/>
  <c r="C70" i="19" s="1"/>
  <c r="E70" i="19" s="1"/>
  <c r="F70" i="19" s="1"/>
  <c r="B27" i="19"/>
  <c r="C27" i="19" s="1"/>
  <c r="E27" i="19" s="1"/>
  <c r="F27" i="19" s="1"/>
  <c r="B72" i="19"/>
  <c r="C72" i="19" s="1"/>
  <c r="E72" i="19" s="1"/>
  <c r="F72" i="19" s="1"/>
  <c r="B21" i="19"/>
  <c r="C21" i="19" s="1"/>
  <c r="E21" i="19" s="1"/>
  <c r="F21" i="19" s="1"/>
  <c r="B53" i="19"/>
  <c r="C53" i="19" s="1"/>
  <c r="E53" i="19" s="1"/>
  <c r="F53" i="19" s="1"/>
  <c r="B28" i="19"/>
  <c r="C28" i="19" s="1"/>
  <c r="E28" i="19" s="1"/>
  <c r="F28" i="19" s="1"/>
  <c r="B51" i="19"/>
  <c r="C51" i="19" s="1"/>
  <c r="E51" i="19" s="1"/>
  <c r="F51" i="19" s="1"/>
  <c r="B77" i="19"/>
  <c r="C77" i="19" s="1"/>
  <c r="E77" i="19" s="1"/>
  <c r="F77" i="19" s="1"/>
  <c r="B52" i="19"/>
  <c r="C52" i="19" s="1"/>
  <c r="E52" i="19" s="1"/>
  <c r="F52" i="19" s="1"/>
  <c r="B23" i="19"/>
  <c r="C23" i="19" s="1"/>
  <c r="E23" i="19" s="1"/>
  <c r="F23" i="19" s="1"/>
  <c r="B68" i="19"/>
  <c r="C68" i="19" s="1"/>
  <c r="E68" i="19" s="1"/>
  <c r="F68" i="19" s="1"/>
  <c r="B46" i="19"/>
  <c r="C46" i="19" s="1"/>
  <c r="E46" i="19" s="1"/>
  <c r="F46" i="19" s="1"/>
  <c r="B75" i="19"/>
  <c r="C75" i="19" s="1"/>
  <c r="E75" i="19" s="1"/>
  <c r="F75" i="19" s="1"/>
  <c r="B20" i="19"/>
  <c r="C20" i="19" s="1"/>
  <c r="E20" i="19" s="1"/>
  <c r="F20" i="19" s="1"/>
  <c r="B78" i="19"/>
  <c r="C78" i="19" s="1"/>
  <c r="E78" i="19" s="1"/>
  <c r="F78" i="19" s="1"/>
  <c r="B19" i="19"/>
  <c r="C19" i="19" s="1"/>
  <c r="E19" i="19" s="1"/>
  <c r="F19" i="19" s="1"/>
  <c r="B25" i="19"/>
  <c r="C25" i="19" s="1"/>
  <c r="E25" i="19" s="1"/>
  <c r="F25" i="19" s="1"/>
  <c r="B73" i="19"/>
  <c r="C73" i="19" s="1"/>
  <c r="E73" i="19" s="1"/>
  <c r="F73" i="19" s="1"/>
  <c r="B74" i="19"/>
  <c r="C74" i="19" s="1"/>
  <c r="E74" i="19" s="1"/>
  <c r="F74" i="19" s="1"/>
  <c r="B76" i="19"/>
  <c r="C76" i="19" s="1"/>
  <c r="E76" i="19" s="1"/>
  <c r="F76" i="19" s="1"/>
  <c r="B24" i="19"/>
  <c r="C24" i="19" s="1"/>
  <c r="E24" i="19" s="1"/>
  <c r="F24" i="19" s="1"/>
  <c r="B47" i="19"/>
  <c r="C47" i="19" s="1"/>
  <c r="E47" i="19" s="1"/>
  <c r="F47" i="19" s="1"/>
  <c r="B48" i="19"/>
  <c r="C48" i="19" s="1"/>
  <c r="E48" i="19" s="1"/>
  <c r="F48" i="19" s="1"/>
  <c r="B50" i="19"/>
  <c r="C50" i="19" s="1"/>
  <c r="E50" i="19" s="1"/>
  <c r="F50" i="19" s="1"/>
  <c r="B71" i="19"/>
  <c r="C71" i="19" s="1"/>
  <c r="E71" i="19" s="1"/>
  <c r="F71" i="19" s="1"/>
  <c r="B43" i="19"/>
  <c r="C43" i="19" s="1"/>
  <c r="E43" i="19" s="1"/>
  <c r="F43" i="19" s="1"/>
  <c r="B44" i="19"/>
  <c r="C44" i="19" s="1"/>
  <c r="E44" i="19" s="1"/>
  <c r="F44" i="19" s="1"/>
  <c r="B29" i="19"/>
  <c r="C29" i="19" s="1"/>
  <c r="E29" i="19" s="1"/>
  <c r="F29" i="19" s="1"/>
</calcChain>
</file>

<file path=xl/sharedStrings.xml><?xml version="1.0" encoding="utf-8"?>
<sst xmlns="http://schemas.openxmlformats.org/spreadsheetml/2006/main" count="432" uniqueCount="263">
  <si>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</si>
  <si>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</si>
  <si>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</si>
  <si>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</si>
  <si>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</si>
  <si>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</si>
  <si>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</si>
  <si>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</si>
  <si>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</si>
  <si>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</si>
  <si>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</si>
  <si>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</si>
  <si>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</si>
  <si>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</si>
  <si>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</si>
  <si>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</si>
  <si>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</si>
  <si>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</si>
  <si>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</si>
  <si>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</si>
  <si>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</si>
  <si>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</si>
  <si>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</si>
  <si>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</si>
  <si>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</si>
  <si>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</si>
  <si>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</si>
  <si>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</si>
  <si>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</si>
  <si>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</si>
  <si>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</si>
  <si>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</si>
  <si>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</si>
  <si>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</si>
  <si>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</si>
  <si>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</si>
  <si>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</si>
  <si>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</si>
  <si>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</si>
  <si>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</si>
  <si>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</si>
  <si>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</si>
  <si>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</si>
  <si>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</si>
  <si>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</si>
  <si>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</si>
  <si>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</si>
  <si>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</si>
  <si>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</si>
  <si>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</si>
  <si>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</si>
  <si>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</si>
  <si>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</si>
  <si>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</si>
  <si>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</si>
  <si>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</si>
  <si>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</si>
  <si>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</si>
  <si>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</si>
  <si>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</si>
  <si>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</si>
  <si>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</si>
  <si>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</si>
  <si>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</si>
  <si>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</si>
  <si>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</si>
  <si>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</si>
  <si>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</si>
  <si>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</si>
  <si>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</si>
  <si>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</si>
  <si>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</si>
  <si>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</si>
  <si>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</si>
  <si>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</si>
  <si>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</si>
  <si>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</si>
  <si>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</si>
  <si>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</si>
  <si>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</si>
  <si>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</si>
  <si>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</si>
  <si>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</si>
  <si>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</si>
  <si>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</si>
  <si>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</si>
  <si>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</si>
  <si>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</si>
  <si>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</si>
  <si>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</si>
  <si>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</si>
  <si>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</si>
  <si>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</si>
  <si>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</si>
  <si>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</si>
  <si>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</si>
  <si>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</si>
  <si>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</si>
  <si>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</si>
  <si>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</si>
  <si>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</si>
  <si>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</si>
  <si>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</si>
  <si>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</si>
  <si>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</si>
  <si>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</si>
  <si>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</si>
  <si>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</si>
  <si>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</si>
  <si>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</si>
  <si>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</si>
  <si>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</si>
  <si>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</si>
  <si>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</si>
  <si>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</si>
  <si>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</si>
  <si>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</si>
  <si>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</si>
  <si>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</si>
  <si>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</si>
  <si>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</si>
  <si>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</si>
  <si>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</si>
  <si>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</si>
  <si>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</si>
  <si>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</si>
  <si>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</si>
  <si>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</si>
  <si>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</si>
  <si>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</si>
  <si>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</si>
  <si>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</si>
  <si>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</si>
  <si>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</si>
  <si>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</si>
  <si>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</si>
  <si>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</si>
  <si>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</si>
  <si>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</si>
  <si>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</si>
  <si>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</si>
  <si>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</si>
  <si>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</si>
  <si>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</si>
  <si>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</si>
  <si>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</si>
  <si>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</si>
  <si>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</si>
  <si>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</si>
  <si>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</si>
  <si>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</si>
  <si>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</si>
  <si>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</si>
  <si>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</si>
  <si>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</si>
  <si>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</si>
  <si>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</si>
  <si>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</si>
  <si>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</si>
  <si>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</si>
  <si>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</si>
  <si>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</si>
  <si>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</si>
  <si>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</si>
  <si>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</si>
  <si>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</si>
  <si>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</si>
  <si>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</si>
  <si>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</si>
  <si>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</si>
  <si>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</si>
  <si>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</si>
  <si>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</si>
  <si>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</si>
  <si>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</si>
  <si>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</si>
  <si>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</si>
  <si>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</si>
  <si>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</si>
  <si>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</si>
  <si>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</si>
  <si>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</si>
  <si>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</si>
  <si>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</si>
  <si>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</si>
  <si>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</si>
  <si>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</si>
  <si>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</si>
  <si>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</si>
  <si>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</si>
  <si>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</si>
  <si>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</si>
  <si>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</si>
  <si>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</si>
  <si>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</si>
  <si>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</si>
  <si>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</si>
  <si>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</si>
  <si>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</si>
  <si>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</si>
  <si>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</si>
  <si>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</si>
  <si>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</si>
  <si>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</si>
  <si>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</si>
  <si>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</si>
  <si>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</si>
  <si>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</si>
  <si>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</si>
  <si>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</si>
  <si>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</si>
  <si>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</si>
  <si>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</si>
  <si>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</si>
  <si>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</si>
  <si>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</si>
  <si>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</si>
  <si>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</si>
  <si>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</si>
  <si>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</si>
  <si>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</si>
  <si>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</si>
  <si>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</si>
  <si>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</si>
  <si>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</si>
  <si>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</si>
  <si>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</si>
  <si>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</si>
  <si>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</si>
  <si>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</si>
  <si>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</si>
  <si>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</si>
  <si>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</si>
  <si>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</si>
  <si>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</si>
  <si>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</si>
  <si>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</si>
  <si>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</si>
  <si>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</si>
  <si>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</si>
  <si>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</si>
  <si>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</si>
  <si>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</si>
  <si>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</si>
  <si>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</si>
  <si>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</si>
  <si>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</si>
  <si>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</si>
  <si>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122 / 333</t>
  </si>
  <si>
    <t>Select Valid Company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</si>
  <si>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</si>
  <si>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</si>
  <si>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</si>
  <si>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</si>
  <si>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</si>
  <si>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</si>
  <si>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</si>
  <si>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</si>
  <si>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</si>
  <si>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</si>
  <si>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</si>
  <si>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Soot On  Face</t>
  </si>
  <si>
    <t>Ash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</si>
</sst>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4" borderId="0" xfId="0" applyFill="1"/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Fill="1" applyAlignment="1">
      <alignment horizontal="right" vertical="top"/>
    </xf>
    <xf numFmtId="0" fontId="0" fillId="0" borderId="0" xfId="0" applyFill="1" applyBorder="1" applyAlignment="1">
      <alignment horizontal="right"/>
    </xf>
    <xf numFmtId="2" fontId="0" fillId="0" borderId="0" xfId="0" applyNumberFormat="1" applyFill="1" applyAlignment="1">
      <alignment horizontal="right"/>
    </xf>
    <xf numFmtId="0" fontId="3" fillId="0" borderId="0" xfId="0" applyFont="1" applyAlignment="1">
      <alignment horizontal="right" vertical="center"/>
    </xf>
    <xf numFmtId="0" fontId="0" fillId="0" borderId="0" xfId="0" applyFill="1" applyAlignment="1"/>
    <xf numFmtId="0" fontId="0" fillId="0" borderId="0" xfId="0" applyAlignment="1"/>
    <xf numFmtId="0" fontId="0" fillId="0" borderId="0" xfId="0" applyFill="1" applyBorder="1" applyAlignment="1"/>
    <xf numFmtId="2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horizontal="right" vertical="center"/>
    </xf>
    <xf numFmtId="0" fontId="0" fillId="0" borderId="0" xfId="0" applyFill="1" applyAlignment="1">
      <alignment vertical="center"/>
    </xf>
    <xf numFmtId="2" fontId="9" fillId="0" borderId="0" xfId="0" applyNumberFormat="1" applyFont="1" applyFill="1" applyAlignment="1">
      <alignment horizontal="left" vertical="center"/>
    </xf>
    <xf numFmtId="2" fontId="0" fillId="3" borderId="1" xfId="0" applyNumberFormat="1" applyFont="1" applyFill="1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10" Type="http://schemas.openxmlformats.org/officeDocument/2006/relationships/image" Target="../media/image64.emf"/><Relationship Id="rId4" Type="http://schemas.openxmlformats.org/officeDocument/2006/relationships/image" Target="../media/image70.emf"/><Relationship Id="rId9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590550</xdr:colOff>
          <xdr:row>5</xdr:row>
          <xdr:rowOff>104775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control" Target="../activeX/activeX8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72"/>
      <c r="C3" s="73"/>
      <c r="D3" s="73"/>
      <c r="E3" s="73"/>
      <c r="F3" s="73"/>
      <c r="G3" s="73"/>
      <c r="H3" s="73"/>
      <c r="I3" s="73"/>
      <c r="J3" s="73"/>
      <c r="K3" s="74"/>
    </row>
    <row r="4" spans="2:11" x14ac:dyDescent="0.25">
      <c r="B4" s="75"/>
      <c r="C4" s="76"/>
      <c r="D4" s="76"/>
      <c r="E4" s="76"/>
      <c r="F4" s="76"/>
      <c r="G4" s="76"/>
      <c r="H4" s="76"/>
      <c r="I4" s="76"/>
      <c r="J4" s="76"/>
      <c r="K4" s="77"/>
    </row>
    <row r="5" spans="2:11" x14ac:dyDescent="0.25">
      <c r="B5" s="75"/>
      <c r="C5" s="76"/>
      <c r="D5" s="76"/>
      <c r="E5" s="76"/>
      <c r="F5" s="76"/>
      <c r="G5" s="76"/>
      <c r="H5" s="76"/>
      <c r="I5" s="76"/>
      <c r="J5" s="76"/>
      <c r="K5" s="77"/>
    </row>
    <row r="6" spans="2:11" x14ac:dyDescent="0.25">
      <c r="B6" s="75"/>
      <c r="C6" s="76"/>
      <c r="D6" s="76"/>
      <c r="E6" s="76"/>
      <c r="F6" s="76"/>
      <c r="G6" s="76"/>
      <c r="H6" s="76"/>
      <c r="I6" s="76"/>
      <c r="J6" s="76"/>
      <c r="K6" s="77"/>
    </row>
    <row r="7" spans="2:11" x14ac:dyDescent="0.25">
      <c r="B7" s="75"/>
      <c r="C7" s="76"/>
      <c r="D7" s="76"/>
      <c r="E7" s="76"/>
      <c r="F7" s="76"/>
      <c r="G7" s="76"/>
      <c r="H7" s="76"/>
      <c r="I7" s="76"/>
      <c r="J7" s="76"/>
      <c r="K7" s="77"/>
    </row>
    <row r="8" spans="2:11" x14ac:dyDescent="0.25">
      <c r="B8" s="75"/>
      <c r="C8" s="76"/>
      <c r="D8" s="76"/>
      <c r="E8" s="76"/>
      <c r="F8" s="76"/>
      <c r="G8" s="76"/>
      <c r="H8" s="76"/>
      <c r="I8" s="76"/>
      <c r="J8" s="76"/>
      <c r="K8" s="77"/>
    </row>
    <row r="9" spans="2:11" x14ac:dyDescent="0.25">
      <c r="B9" s="75"/>
      <c r="C9" s="76"/>
      <c r="D9" s="76"/>
      <c r="E9" s="76"/>
      <c r="F9" s="76"/>
      <c r="G9" s="76"/>
      <c r="H9" s="76"/>
      <c r="I9" s="76"/>
      <c r="J9" s="76"/>
      <c r="K9" s="77"/>
    </row>
    <row r="10" spans="2:11" x14ac:dyDescent="0.25">
      <c r="B10" s="75"/>
      <c r="C10" s="76"/>
      <c r="D10" s="76"/>
      <c r="E10" s="76"/>
      <c r="F10" s="76"/>
      <c r="G10" s="76"/>
      <c r="H10" s="76"/>
      <c r="I10" s="76"/>
      <c r="J10" s="76"/>
      <c r="K10" s="77"/>
    </row>
    <row r="11" spans="2:11" x14ac:dyDescent="0.25">
      <c r="B11" s="75"/>
      <c r="C11" s="76"/>
      <c r="D11" s="76"/>
      <c r="E11" s="76"/>
      <c r="F11" s="76"/>
      <c r="G11" s="76"/>
      <c r="H11" s="76"/>
      <c r="I11" s="76"/>
      <c r="J11" s="76"/>
      <c r="K11" s="77"/>
    </row>
    <row r="12" spans="2:11" x14ac:dyDescent="0.25">
      <c r="B12" s="75"/>
      <c r="C12" s="76"/>
      <c r="D12" s="76"/>
      <c r="E12" s="76"/>
      <c r="F12" s="76"/>
      <c r="G12" s="76"/>
      <c r="H12" s="76"/>
      <c r="I12" s="76"/>
      <c r="J12" s="76"/>
      <c r="K12" s="77"/>
    </row>
    <row r="13" spans="2:11" x14ac:dyDescent="0.25">
      <c r="B13" s="75"/>
      <c r="C13" s="76"/>
      <c r="D13" s="76"/>
      <c r="E13" s="76"/>
      <c r="F13" s="76"/>
      <c r="G13" s="76"/>
      <c r="H13" s="76"/>
      <c r="I13" s="76"/>
      <c r="J13" s="76"/>
      <c r="K13" s="77"/>
    </row>
    <row r="14" spans="2:11" x14ac:dyDescent="0.25">
      <c r="B14" s="78"/>
      <c r="C14" s="79"/>
      <c r="D14" s="79"/>
      <c r="E14" s="79"/>
      <c r="F14" s="79"/>
      <c r="G14" s="79"/>
      <c r="H14" s="79"/>
      <c r="I14" s="79"/>
      <c r="J14" s="79"/>
      <c r="K14" s="80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E1" sqref="E1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32.57031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81"/>
    </row>
    <row r="4" spans="1:6" ht="30" customHeight="1" x14ac:dyDescent="0.25">
      <c r="B4" s="20" t="s">
        <v>93</v>
      </c>
      <c r="C4" s="23"/>
      <c r="F4" s="84" t="s">
        <v>249</v>
      </c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D4" sqref="D4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84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29"/>
      <c r="E3" s="28"/>
      <c r="F3" s="28"/>
      <c r="G3" s="28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7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D3" sqref="D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3.42578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84"/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8" customWidth="1"/>
    <col min="3" max="3" width="6.5703125" customWidth="1"/>
    <col min="4" max="4" width="20.5703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5"/>
      <c r="D3" s="84"/>
    </row>
    <row r="4" spans="1:4" ht="30" customHeight="1" x14ac:dyDescent="0.25">
      <c r="A4" s="7" t="s">
        <v>79</v>
      </c>
      <c r="B4" s="25"/>
    </row>
    <row r="5" spans="1:4" ht="30" customHeight="1" x14ac:dyDescent="0.25">
      <c r="A5" s="7" t="s">
        <v>80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28</v>
      </c>
      <c r="B7" s="23"/>
    </row>
    <row r="8" spans="1:4" ht="30" customHeight="1" x14ac:dyDescent="0.25">
      <c r="A8" s="7" t="s">
        <v>29</v>
      </c>
      <c r="B8" s="82"/>
    </row>
    <row r="9" spans="1:4" ht="30" customHeight="1" x14ac:dyDescent="0.25">
      <c r="A9" s="7"/>
      <c r="B9" s="17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5">
        <v>28</v>
      </c>
    </row>
    <row r="4" spans="1:2" ht="30" customHeight="1" x14ac:dyDescent="0.25">
      <c r="A4" s="9" t="s">
        <v>82</v>
      </c>
      <c r="B4" s="22"/>
    </row>
    <row r="5" spans="1:2" ht="30" customHeight="1" x14ac:dyDescent="0.25">
      <c r="A5" s="7" t="s">
        <v>83</v>
      </c>
      <c r="B5" s="23"/>
    </row>
    <row r="6" spans="1:2" ht="30" customHeight="1" x14ac:dyDescent="0.25">
      <c r="A6" s="7" t="s">
        <v>42</v>
      </c>
      <c r="B6" s="23"/>
    </row>
    <row r="7" spans="1:2" ht="30" customHeight="1" x14ac:dyDescent="0.25">
      <c r="A7" s="7" t="s">
        <v>84</v>
      </c>
      <c r="B7" s="23"/>
    </row>
    <row r="8" spans="1:2" ht="30" customHeight="1" x14ac:dyDescent="0.25">
      <c r="A8" s="7" t="s">
        <v>85</v>
      </c>
      <c r="B8" s="23"/>
    </row>
    <row r="9" spans="1:2" ht="30" customHeight="1" x14ac:dyDescent="0.25">
      <c r="A9" s="7" t="s">
        <v>40</v>
      </c>
      <c r="B9" s="23"/>
    </row>
    <row r="10" spans="1:2" ht="30" customHeight="1" x14ac:dyDescent="0.25">
      <c r="A10" s="7" t="s">
        <v>86</v>
      </c>
      <c r="B10" s="23"/>
    </row>
    <row r="11" spans="1:2" ht="30" customHeight="1" x14ac:dyDescent="0.25">
      <c r="A11" s="7" t="s">
        <v>44</v>
      </c>
      <c r="B11" s="23"/>
    </row>
    <row r="12" spans="1:2" ht="30" customHeight="1" x14ac:dyDescent="0.25">
      <c r="A12" s="7" t="s">
        <v>45</v>
      </c>
      <c r="B12" s="26"/>
    </row>
    <row r="13" spans="1:2" ht="30" customHeight="1" x14ac:dyDescent="0.25">
      <c r="A13" s="7" t="s">
        <v>46</v>
      </c>
      <c r="B13" s="26"/>
    </row>
    <row r="14" spans="1:2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G4"/>
  <sheetViews>
    <sheetView topLeftCell="CJ1" workbookViewId="0">
      <selection sqref="A1:XFD1048576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1" x14ac:dyDescent="0.25">
      <c r="A1" t="s">
        <v>156</v>
      </c>
      <c r="B1" t="s">
        <v>213</v>
      </c>
      <c r="C1" t="s">
        <v>214</v>
      </c>
      <c r="D1" t="s">
        <v>215</v>
      </c>
      <c r="E1" t="s">
        <v>216</v>
      </c>
      <c r="F1" t="s">
        <v>217</v>
      </c>
      <c r="G1" t="s">
        <v>218</v>
      </c>
      <c r="H1" t="s">
        <v>219</v>
      </c>
      <c r="I1" t="s">
        <v>220</v>
      </c>
      <c r="J1" t="s">
        <v>221</v>
      </c>
      <c r="K1" t="s">
        <v>222</v>
      </c>
      <c r="L1" t="s">
        <v>223</v>
      </c>
      <c r="M1" t="s">
        <v>224</v>
      </c>
      <c r="N1" t="s">
        <v>225</v>
      </c>
      <c r="O1" t="s">
        <v>226</v>
      </c>
      <c r="P1" t="s">
        <v>227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156</v>
      </c>
      <c r="AL1" t="s">
        <v>157</v>
      </c>
      <c r="AM1" t="s">
        <v>158</v>
      </c>
      <c r="AN1" t="s">
        <v>159</v>
      </c>
      <c r="AO1" t="s">
        <v>160</v>
      </c>
      <c r="AP1" t="s">
        <v>161</v>
      </c>
      <c r="AQ1" t="s">
        <v>162</v>
      </c>
      <c r="AR1" t="s">
        <v>163</v>
      </c>
      <c r="AS1" t="s">
        <v>164</v>
      </c>
      <c r="AT1" t="s">
        <v>165</v>
      </c>
      <c r="AU1" t="s">
        <v>166</v>
      </c>
      <c r="AV1" t="s">
        <v>167</v>
      </c>
      <c r="AW1" t="s">
        <v>168</v>
      </c>
      <c r="AX1" t="s">
        <v>169</v>
      </c>
      <c r="AY1" t="s">
        <v>170</v>
      </c>
      <c r="AZ1" t="s">
        <v>171</v>
      </c>
      <c r="BA1" t="s">
        <v>172</v>
      </c>
      <c r="BB1" t="s">
        <v>173</v>
      </c>
      <c r="BC1" t="s">
        <v>174</v>
      </c>
      <c r="BD1" t="s">
        <v>175</v>
      </c>
      <c r="BE1" t="s">
        <v>176</v>
      </c>
      <c r="BF1" t="s">
        <v>177</v>
      </c>
      <c r="BG1" t="s">
        <v>8</v>
      </c>
      <c r="BH1" t="s">
        <v>157</v>
      </c>
      <c r="BI1" t="s">
        <v>68</v>
      </c>
      <c r="BJ1" t="s">
        <v>178</v>
      </c>
      <c r="BK1" t="s">
        <v>70</v>
      </c>
      <c r="BL1" t="s">
        <v>179</v>
      </c>
      <c r="BM1" t="s">
        <v>69</v>
      </c>
      <c r="BN1" t="s">
        <v>7</v>
      </c>
      <c r="BO1" t="s">
        <v>9</v>
      </c>
      <c r="BP1" t="s">
        <v>177</v>
      </c>
      <c r="BQ1" t="s">
        <v>8</v>
      </c>
      <c r="BR1" t="s">
        <v>180</v>
      </c>
      <c r="BS1" t="s">
        <v>171</v>
      </c>
      <c r="BT1" t="s">
        <v>181</v>
      </c>
      <c r="BU1" t="s">
        <v>182</v>
      </c>
      <c r="BV1" t="s">
        <v>183</v>
      </c>
      <c r="BW1" t="s">
        <v>42</v>
      </c>
      <c r="BX1" t="s">
        <v>28</v>
      </c>
      <c r="BY1" t="s">
        <v>29</v>
      </c>
      <c r="BZ1" t="s">
        <v>184</v>
      </c>
      <c r="CA1" t="s">
        <v>171</v>
      </c>
      <c r="CB1" t="s">
        <v>183</v>
      </c>
      <c r="CC1" t="s">
        <v>42</v>
      </c>
      <c r="CD1" t="s">
        <v>181</v>
      </c>
      <c r="CE1" t="s">
        <v>28</v>
      </c>
      <c r="CF1" t="s">
        <v>29</v>
      </c>
      <c r="CG1" t="s">
        <v>185</v>
      </c>
      <c r="CH1" t="s">
        <v>171</v>
      </c>
      <c r="CI1" t="s">
        <v>186</v>
      </c>
      <c r="CJ1" t="s">
        <v>187</v>
      </c>
      <c r="CK1" t="s">
        <v>188</v>
      </c>
      <c r="CL1" t="s">
        <v>42</v>
      </c>
      <c r="CM1" t="s">
        <v>189</v>
      </c>
      <c r="CN1" t="s">
        <v>190</v>
      </c>
      <c r="CO1" t="s">
        <v>191</v>
      </c>
      <c r="CP1" t="s">
        <v>192</v>
      </c>
      <c r="CQ1" t="s">
        <v>181</v>
      </c>
      <c r="CR1" t="s">
        <v>193</v>
      </c>
      <c r="CS1" t="s">
        <v>194</v>
      </c>
      <c r="CT1" t="s">
        <v>195</v>
      </c>
      <c r="CU1" t="s">
        <v>196</v>
      </c>
      <c r="CV1" t="s">
        <v>197</v>
      </c>
      <c r="CW1" t="s">
        <v>202</v>
      </c>
      <c r="CX1" t="s">
        <v>203</v>
      </c>
      <c r="CY1" t="s">
        <v>204</v>
      </c>
      <c r="CZ1" t="s">
        <v>205</v>
      </c>
      <c r="DA1" t="s">
        <v>206</v>
      </c>
      <c r="DB1" t="s">
        <v>207</v>
      </c>
      <c r="DC1" t="s">
        <v>208</v>
      </c>
      <c r="DD1" t="s">
        <v>209</v>
      </c>
      <c r="DE1" t="s">
        <v>210</v>
      </c>
      <c r="DF1" t="s">
        <v>211</v>
      </c>
      <c r="DG1" t="s">
        <v>212</v>
      </c>
    </row>
    <row r="2" spans="1:111" x14ac:dyDescent="0.25">
      <c r="A2">
        <v>2</v>
      </c>
      <c r="B2">
        <v>0</v>
      </c>
      <c r="F2">
        <v>45.9</v>
      </c>
      <c r="G2">
        <v>10.25</v>
      </c>
      <c r="H2">
        <v>10.125</v>
      </c>
      <c r="I2">
        <v>10.125</v>
      </c>
      <c r="J2">
        <v>10.125</v>
      </c>
      <c r="K2">
        <v>10.125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2</v>
      </c>
      <c r="AL2">
        <v>79</v>
      </c>
      <c r="AM2">
        <v>1</v>
      </c>
      <c r="AN2" t="b">
        <v>1</v>
      </c>
      <c r="AO2" t="b">
        <v>1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83">
        <v>43433.019609722222</v>
      </c>
      <c r="AZ2">
        <v>8</v>
      </c>
      <c r="BA2" t="s">
        <v>250</v>
      </c>
      <c r="BB2" t="s">
        <v>251</v>
      </c>
      <c r="BD2" t="s">
        <v>252</v>
      </c>
      <c r="BE2" t="s">
        <v>253</v>
      </c>
      <c r="BF2">
        <v>2</v>
      </c>
      <c r="BG2" t="s">
        <v>198</v>
      </c>
      <c r="BH2">
        <v>67</v>
      </c>
      <c r="BI2" t="b">
        <v>1</v>
      </c>
      <c r="BJ2">
        <v>1</v>
      </c>
      <c r="BK2" t="s">
        <v>251</v>
      </c>
      <c r="BL2" t="s">
        <v>251</v>
      </c>
      <c r="BN2" t="s">
        <v>252</v>
      </c>
      <c r="BO2" t="s">
        <v>253</v>
      </c>
      <c r="BP2">
        <v>2</v>
      </c>
      <c r="BQ2" t="s">
        <v>198</v>
      </c>
      <c r="BR2">
        <v>2</v>
      </c>
      <c r="BS2">
        <v>8</v>
      </c>
      <c r="BT2" t="s">
        <v>254</v>
      </c>
      <c r="BU2" t="s">
        <v>255</v>
      </c>
      <c r="BV2">
        <v>4</v>
      </c>
      <c r="BW2" t="s">
        <v>256</v>
      </c>
      <c r="BX2" t="s">
        <v>257</v>
      </c>
      <c r="BY2">
        <v>2018</v>
      </c>
      <c r="CG2">
        <v>4</v>
      </c>
      <c r="CH2">
        <v>8</v>
      </c>
      <c r="CI2">
        <v>1</v>
      </c>
      <c r="CJ2" t="s">
        <v>199</v>
      </c>
      <c r="CK2">
        <v>1</v>
      </c>
      <c r="CL2" t="s">
        <v>200</v>
      </c>
      <c r="CM2">
        <v>1</v>
      </c>
      <c r="CN2" t="s">
        <v>201</v>
      </c>
      <c r="CO2">
        <v>0</v>
      </c>
      <c r="CP2" t="s">
        <v>258</v>
      </c>
      <c r="CQ2" t="s">
        <v>259</v>
      </c>
      <c r="CR2" t="s">
        <v>260</v>
      </c>
      <c r="CS2">
        <v>12</v>
      </c>
      <c r="CT2">
        <v>11</v>
      </c>
      <c r="CU2">
        <v>14</v>
      </c>
      <c r="CV2">
        <v>15</v>
      </c>
      <c r="CW2">
        <v>1</v>
      </c>
      <c r="CX2">
        <v>2</v>
      </c>
      <c r="CY2">
        <v>0</v>
      </c>
      <c r="DA2" t="b">
        <v>1</v>
      </c>
      <c r="DB2" t="b">
        <v>1</v>
      </c>
      <c r="DC2" t="b">
        <v>1</v>
      </c>
      <c r="DD2" t="b">
        <v>1</v>
      </c>
    </row>
    <row r="3" spans="1:111" x14ac:dyDescent="0.25">
      <c r="A3">
        <v>2</v>
      </c>
      <c r="B3">
        <v>1</v>
      </c>
      <c r="F3">
        <v>45.24</v>
      </c>
      <c r="G3">
        <v>10.5</v>
      </c>
      <c r="H3">
        <v>10.5</v>
      </c>
      <c r="I3">
        <v>10.5</v>
      </c>
      <c r="J3">
        <v>10.5</v>
      </c>
      <c r="K3">
        <v>10.5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2</v>
      </c>
      <c r="AL3">
        <v>79</v>
      </c>
      <c r="AM3">
        <v>1</v>
      </c>
      <c r="AN3" t="b">
        <v>1</v>
      </c>
      <c r="AO3" t="b">
        <v>1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83">
        <v>43433.019609722222</v>
      </c>
      <c r="AZ3">
        <v>8</v>
      </c>
      <c r="BA3" t="s">
        <v>250</v>
      </c>
      <c r="BB3" t="s">
        <v>251</v>
      </c>
      <c r="BD3" t="s">
        <v>252</v>
      </c>
      <c r="BE3" t="s">
        <v>253</v>
      </c>
      <c r="BF3">
        <v>2</v>
      </c>
      <c r="BG3" t="s">
        <v>198</v>
      </c>
      <c r="BH3">
        <v>67</v>
      </c>
      <c r="BI3" t="b">
        <v>1</v>
      </c>
      <c r="BJ3">
        <v>1</v>
      </c>
      <c r="BK3" t="s">
        <v>251</v>
      </c>
      <c r="BL3" t="s">
        <v>251</v>
      </c>
      <c r="BN3" t="s">
        <v>252</v>
      </c>
      <c r="BO3" t="s">
        <v>253</v>
      </c>
      <c r="BP3">
        <v>2</v>
      </c>
      <c r="BQ3" t="s">
        <v>198</v>
      </c>
      <c r="BR3">
        <v>2</v>
      </c>
      <c r="BS3">
        <v>8</v>
      </c>
      <c r="BT3" t="s">
        <v>254</v>
      </c>
      <c r="BU3" t="s">
        <v>255</v>
      </c>
      <c r="BV3">
        <v>4</v>
      </c>
      <c r="BW3" t="s">
        <v>256</v>
      </c>
      <c r="BX3" t="s">
        <v>257</v>
      </c>
      <c r="BY3">
        <v>2018</v>
      </c>
      <c r="CG3">
        <v>4</v>
      </c>
      <c r="CH3">
        <v>8</v>
      </c>
      <c r="CI3">
        <v>1</v>
      </c>
      <c r="CJ3" t="s">
        <v>199</v>
      </c>
      <c r="CK3">
        <v>1</v>
      </c>
      <c r="CL3" t="s">
        <v>200</v>
      </c>
      <c r="CM3">
        <v>1</v>
      </c>
      <c r="CN3" t="s">
        <v>201</v>
      </c>
      <c r="CO3">
        <v>0</v>
      </c>
      <c r="CP3" t="s">
        <v>258</v>
      </c>
      <c r="CQ3" t="s">
        <v>259</v>
      </c>
      <c r="CR3" t="s">
        <v>260</v>
      </c>
      <c r="CS3">
        <v>12</v>
      </c>
      <c r="CT3">
        <v>11</v>
      </c>
      <c r="CU3">
        <v>14</v>
      </c>
      <c r="CV3">
        <v>15</v>
      </c>
      <c r="CW3">
        <v>1</v>
      </c>
      <c r="CX3">
        <v>2</v>
      </c>
      <c r="CY3">
        <v>0</v>
      </c>
      <c r="DA3" t="b">
        <v>1</v>
      </c>
      <c r="DB3" t="b">
        <v>1</v>
      </c>
      <c r="DC3" t="b">
        <v>1</v>
      </c>
      <c r="DD3" t="b">
        <v>1</v>
      </c>
    </row>
    <row r="4" spans="1:111" x14ac:dyDescent="0.25">
      <c r="A4">
        <v>2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2</v>
      </c>
      <c r="AL4">
        <v>79</v>
      </c>
      <c r="AM4">
        <v>1</v>
      </c>
      <c r="AN4" t="b">
        <v>1</v>
      </c>
      <c r="AO4" t="b">
        <v>1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83">
        <v>43433.019609722222</v>
      </c>
      <c r="AZ4">
        <v>8</v>
      </c>
      <c r="BA4" t="s">
        <v>250</v>
      </c>
      <c r="BB4" t="s">
        <v>251</v>
      </c>
      <c r="BD4" t="s">
        <v>252</v>
      </c>
      <c r="BE4" t="s">
        <v>253</v>
      </c>
      <c r="BF4">
        <v>2</v>
      </c>
      <c r="BG4" t="s">
        <v>198</v>
      </c>
      <c r="BH4">
        <v>67</v>
      </c>
      <c r="BI4" t="b">
        <v>1</v>
      </c>
      <c r="BJ4">
        <v>1</v>
      </c>
      <c r="BK4" t="s">
        <v>251</v>
      </c>
      <c r="BL4" t="s">
        <v>251</v>
      </c>
      <c r="BN4" t="s">
        <v>252</v>
      </c>
      <c r="BO4" t="s">
        <v>253</v>
      </c>
      <c r="BP4">
        <v>2</v>
      </c>
      <c r="BQ4" t="s">
        <v>198</v>
      </c>
      <c r="BR4">
        <v>2</v>
      </c>
      <c r="BS4">
        <v>8</v>
      </c>
      <c r="BT4" t="s">
        <v>254</v>
      </c>
      <c r="BU4" t="s">
        <v>255</v>
      </c>
      <c r="BV4">
        <v>4</v>
      </c>
      <c r="BW4" t="s">
        <v>256</v>
      </c>
      <c r="BX4" t="s">
        <v>257</v>
      </c>
      <c r="BY4">
        <v>2018</v>
      </c>
      <c r="CG4">
        <v>4</v>
      </c>
      <c r="CH4">
        <v>8</v>
      </c>
      <c r="CI4">
        <v>1</v>
      </c>
      <c r="CJ4" t="s">
        <v>199</v>
      </c>
      <c r="CK4">
        <v>1</v>
      </c>
      <c r="CL4" t="s">
        <v>200</v>
      </c>
      <c r="CM4">
        <v>1</v>
      </c>
      <c r="CN4" t="s">
        <v>201</v>
      </c>
      <c r="CO4">
        <v>0</v>
      </c>
      <c r="CP4" t="s">
        <v>258</v>
      </c>
      <c r="CQ4" t="s">
        <v>259</v>
      </c>
      <c r="CR4" t="s">
        <v>260</v>
      </c>
      <c r="CS4">
        <v>12</v>
      </c>
      <c r="CT4">
        <v>11</v>
      </c>
      <c r="CU4">
        <v>14</v>
      </c>
      <c r="CV4">
        <v>15</v>
      </c>
      <c r="CW4">
        <v>1</v>
      </c>
      <c r="CX4">
        <v>2</v>
      </c>
      <c r="CY4">
        <v>0</v>
      </c>
      <c r="DA4" t="b">
        <v>1</v>
      </c>
      <c r="DB4" t="b">
        <v>1</v>
      </c>
      <c r="DC4" t="b">
        <v>1</v>
      </c>
      <c r="DD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155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/>
      <c r="C5" s="3"/>
    </row>
    <row r="6" spans="2:3" x14ac:dyDescent="0.25">
      <c r="B6" s="3"/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/>
      <c r="C9" s="8"/>
    </row>
    <row r="10" spans="2:3" x14ac:dyDescent="0.25">
      <c r="B10" s="7"/>
      <c r="C10" s="10"/>
    </row>
    <row r="11" spans="2:3" x14ac:dyDescent="0.25">
      <c r="B11" s="7"/>
      <c r="C11" s="8"/>
    </row>
    <row r="12" spans="2:3" x14ac:dyDescent="0.25">
      <c r="B12" s="7"/>
      <c r="C12" s="8"/>
    </row>
    <row r="13" spans="2:3" x14ac:dyDescent="0.25">
      <c r="B13" s="7"/>
      <c r="C13" s="8"/>
    </row>
    <row r="14" spans="2:3" x14ac:dyDescent="0.25">
      <c r="B14" s="7"/>
      <c r="C14" s="8"/>
    </row>
    <row r="15" spans="2:3" x14ac:dyDescent="0.25">
      <c r="B15" s="7"/>
      <c r="C15" s="8"/>
    </row>
    <row r="16" spans="2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35"/>
      <c r="E20" s="35"/>
      <c r="F20" s="2"/>
    </row>
    <row r="21" spans="2:8" x14ac:dyDescent="0.25">
      <c r="B21" s="2"/>
      <c r="C21" s="2"/>
      <c r="D21" s="35"/>
      <c r="E21" s="35"/>
      <c r="F21" s="2"/>
    </row>
    <row r="22" spans="2:8" x14ac:dyDescent="0.25">
      <c r="B22" s="38"/>
      <c r="C22" s="2"/>
      <c r="D22" s="35"/>
      <c r="E22" s="35"/>
      <c r="F22" s="2"/>
    </row>
    <row r="23" spans="2:8" x14ac:dyDescent="0.25">
      <c r="B23" s="2"/>
      <c r="C23" s="2"/>
      <c r="D23" s="35"/>
      <c r="E23" s="35"/>
      <c r="F23" s="2"/>
    </row>
    <row r="24" spans="2:8" x14ac:dyDescent="0.25">
      <c r="B24" s="2"/>
      <c r="C24" s="2"/>
      <c r="D24" s="35"/>
      <c r="E24" s="35"/>
      <c r="F24" s="2"/>
    </row>
    <row r="25" spans="2:8" x14ac:dyDescent="0.25">
      <c r="B25" s="2"/>
      <c r="C25" s="39"/>
      <c r="D25" s="35"/>
      <c r="E25" s="35"/>
      <c r="F25" s="2"/>
    </row>
    <row r="26" spans="2:8" x14ac:dyDescent="0.25">
      <c r="B26" s="2"/>
      <c r="C26" s="2"/>
      <c r="D26" s="35"/>
      <c r="E26" s="35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40"/>
      <c r="D28" s="2"/>
      <c r="E28" s="2"/>
      <c r="F28" s="2"/>
      <c r="G28" s="35"/>
    </row>
    <row r="29" spans="2:8" x14ac:dyDescent="0.25">
      <c r="B29" s="2"/>
      <c r="C29" s="40"/>
      <c r="D29" s="2"/>
      <c r="E29" s="2"/>
      <c r="F29" s="2"/>
      <c r="G29" s="35"/>
    </row>
    <row r="30" spans="2:8" x14ac:dyDescent="0.25">
      <c r="B30" s="2"/>
      <c r="C30" s="40"/>
      <c r="D30" s="8"/>
      <c r="E30" s="2"/>
      <c r="F30" s="2"/>
      <c r="G30" s="2"/>
      <c r="H30" s="35"/>
    </row>
    <row r="31" spans="2:8" x14ac:dyDescent="0.25">
      <c r="B31" s="2"/>
      <c r="C31" s="40"/>
      <c r="D31" s="8"/>
      <c r="E31" s="2"/>
      <c r="F31" s="2"/>
      <c r="G31" s="2"/>
      <c r="H31" s="35"/>
    </row>
    <row r="32" spans="2:8" x14ac:dyDescent="0.25">
      <c r="B32" s="2"/>
      <c r="C32" s="40"/>
      <c r="D32" s="2"/>
      <c r="E32" s="2"/>
      <c r="F32" s="2"/>
      <c r="G32" s="35"/>
    </row>
    <row r="33" spans="2:9" x14ac:dyDescent="0.25">
      <c r="B33" s="2"/>
      <c r="C33" s="40"/>
      <c r="D33" s="2"/>
      <c r="E33" s="2"/>
      <c r="F33" s="2"/>
      <c r="G33" s="35"/>
    </row>
    <row r="34" spans="2:9" x14ac:dyDescent="0.25">
      <c r="B34" s="2"/>
      <c r="C34" s="40"/>
      <c r="D34" s="2"/>
      <c r="E34" s="2"/>
      <c r="F34" s="2"/>
      <c r="G34" s="35"/>
    </row>
    <row r="35" spans="2:9" x14ac:dyDescent="0.25">
      <c r="B35" s="11"/>
      <c r="C35" s="2"/>
      <c r="D35" s="2"/>
      <c r="E35" s="2"/>
      <c r="F35" s="2"/>
      <c r="G35" s="2"/>
      <c r="H35" s="35"/>
      <c r="I35" s="3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tabSelected="1" workbookViewId="0">
      <selection activeCell="F7" sqref="F7"/>
    </sheetView>
  </sheetViews>
  <sheetFormatPr defaultRowHeight="18" customHeight="1" x14ac:dyDescent="0.25"/>
  <cols>
    <col min="1" max="1" width="30.7109375" style="90" customWidth="1"/>
    <col min="2" max="2" width="14" style="90" customWidth="1"/>
    <col min="3" max="3" width="11.7109375" style="90" customWidth="1"/>
    <col min="4" max="4" width="12.85546875" style="90" customWidth="1"/>
    <col min="5" max="5" width="6.7109375" style="90" customWidth="1"/>
    <col min="6" max="6" width="20.85546875" style="90" customWidth="1"/>
    <col min="7" max="7" width="8.5703125" style="90" customWidth="1"/>
    <col min="8" max="8" width="25" style="90" customWidth="1"/>
    <col min="9" max="9" width="16.85546875" style="90" customWidth="1"/>
    <col min="10" max="16384" width="9.140625" style="90"/>
  </cols>
  <sheetData>
    <row r="2" spans="1:10" ht="18" customHeight="1" x14ac:dyDescent="0.25">
      <c r="A2" s="88" t="s">
        <v>101</v>
      </c>
      <c r="J2" s="35"/>
    </row>
    <row r="3" spans="1:10" ht="18" customHeight="1" x14ac:dyDescent="0.25">
      <c r="A3" s="88" t="s">
        <v>81</v>
      </c>
      <c r="B3" s="94"/>
      <c r="E3" s="88"/>
      <c r="F3" s="88"/>
      <c r="H3" s="86" t="s">
        <v>261</v>
      </c>
      <c r="I3" s="31"/>
      <c r="J3" s="35"/>
    </row>
    <row r="4" spans="1:10" ht="18" customHeight="1" x14ac:dyDescent="0.25">
      <c r="A4" s="88" t="s">
        <v>45</v>
      </c>
      <c r="B4" s="8"/>
      <c r="F4" s="95"/>
      <c r="H4" s="86"/>
      <c r="I4" s="31"/>
      <c r="J4" s="35"/>
    </row>
    <row r="5" spans="1:10" ht="18" customHeight="1" x14ac:dyDescent="0.25">
      <c r="A5" s="88" t="s">
        <v>47</v>
      </c>
      <c r="B5" s="8"/>
      <c r="F5" s="92"/>
      <c r="H5" s="86" t="s">
        <v>118</v>
      </c>
      <c r="I5" s="91"/>
      <c r="J5" s="89"/>
    </row>
    <row r="6" spans="1:10" ht="18" customHeight="1" x14ac:dyDescent="0.25">
      <c r="A6" s="88"/>
      <c r="B6" s="89"/>
      <c r="E6" s="8"/>
      <c r="F6" s="92"/>
      <c r="H6" s="86" t="s">
        <v>262</v>
      </c>
      <c r="I6" s="31"/>
      <c r="J6" s="35"/>
    </row>
    <row r="7" spans="1:10" ht="18" customHeight="1" x14ac:dyDescent="0.25">
      <c r="A7" s="89"/>
      <c r="B7" s="30" t="s">
        <v>102</v>
      </c>
      <c r="C7" s="30" t="s">
        <v>103</v>
      </c>
      <c r="D7" s="8" t="s">
        <v>103</v>
      </c>
      <c r="E7" s="92"/>
      <c r="F7" s="92"/>
      <c r="H7" s="38"/>
      <c r="I7" s="35"/>
      <c r="J7" s="35"/>
    </row>
    <row r="8" spans="1:10" ht="18" customHeight="1" x14ac:dyDescent="0.25">
      <c r="A8" s="91"/>
      <c r="B8" s="32" t="s">
        <v>104</v>
      </c>
      <c r="C8" s="32" t="s">
        <v>105</v>
      </c>
      <c r="D8" s="8" t="s">
        <v>106</v>
      </c>
      <c r="E8" s="92"/>
      <c r="F8" s="92"/>
      <c r="H8" s="38" t="s">
        <v>124</v>
      </c>
      <c r="I8" s="35"/>
      <c r="J8" s="35"/>
    </row>
    <row r="9" spans="1:10" ht="18" customHeight="1" x14ac:dyDescent="0.25">
      <c r="A9" s="86" t="s">
        <v>107</v>
      </c>
      <c r="B9" s="96"/>
      <c r="C9" s="96"/>
      <c r="D9" s="96"/>
      <c r="E9" s="92"/>
      <c r="F9" s="92"/>
      <c r="J9" s="35"/>
    </row>
    <row r="10" spans="1:10" ht="18" customHeight="1" x14ac:dyDescent="0.25">
      <c r="A10" s="86"/>
      <c r="B10" s="92"/>
      <c r="C10" s="92"/>
      <c r="D10" s="92"/>
      <c r="E10" s="92"/>
      <c r="F10" s="92"/>
      <c r="G10" s="92"/>
      <c r="H10" s="38" t="s">
        <v>119</v>
      </c>
      <c r="J10" s="35"/>
    </row>
    <row r="11" spans="1:10" ht="18" customHeight="1" x14ac:dyDescent="0.25">
      <c r="A11" s="87" t="s">
        <v>108</v>
      </c>
      <c r="B11" s="96"/>
      <c r="C11" s="92"/>
      <c r="D11" s="92"/>
      <c r="E11" s="92"/>
      <c r="F11" s="92"/>
      <c r="G11" s="92"/>
      <c r="H11" s="38" t="s">
        <v>120</v>
      </c>
    </row>
    <row r="12" spans="1:10" ht="18" customHeight="1" x14ac:dyDescent="0.25">
      <c r="A12" s="87" t="s">
        <v>109</v>
      </c>
      <c r="B12" s="96"/>
      <c r="C12" s="92"/>
      <c r="D12" s="92"/>
      <c r="E12" s="93"/>
      <c r="F12" s="93"/>
      <c r="G12" s="93"/>
      <c r="H12" s="38"/>
      <c r="I12" s="30"/>
    </row>
    <row r="13" spans="1:10" ht="18" customHeight="1" x14ac:dyDescent="0.25">
      <c r="A13" s="87"/>
      <c r="B13" s="34"/>
      <c r="C13" s="93"/>
      <c r="D13" s="93"/>
      <c r="E13" s="93"/>
      <c r="F13" s="93"/>
      <c r="G13" s="93"/>
      <c r="H13" s="38" t="s">
        <v>123</v>
      </c>
      <c r="I13" s="96"/>
    </row>
    <row r="14" spans="1:10" ht="18" customHeight="1" x14ac:dyDescent="0.25">
      <c r="A14" s="38" t="s">
        <v>110</v>
      </c>
      <c r="B14" s="34" t="s">
        <v>111</v>
      </c>
      <c r="C14" s="34" t="s">
        <v>112</v>
      </c>
      <c r="D14" s="93"/>
      <c r="E14" s="34"/>
      <c r="F14" s="34"/>
      <c r="G14" s="93"/>
      <c r="H14" s="38" t="s">
        <v>121</v>
      </c>
      <c r="I14" s="96"/>
    </row>
    <row r="15" spans="1:10" ht="18" customHeight="1" x14ac:dyDescent="0.25">
      <c r="A15" s="85" t="s">
        <v>113</v>
      </c>
      <c r="B15" s="96"/>
      <c r="C15" s="96"/>
      <c r="D15" s="34"/>
      <c r="E15" s="34"/>
      <c r="F15" s="34"/>
      <c r="G15" s="93"/>
      <c r="H15" s="38"/>
    </row>
    <row r="16" spans="1:10" ht="18" customHeight="1" x14ac:dyDescent="0.25">
      <c r="A16" s="85" t="s">
        <v>114</v>
      </c>
      <c r="B16" s="96"/>
      <c r="C16" s="96"/>
      <c r="D16" s="34"/>
      <c r="E16" s="34"/>
      <c r="F16" s="34"/>
      <c r="G16" s="93"/>
    </row>
    <row r="17" spans="1:9" ht="18" customHeight="1" x14ac:dyDescent="0.25">
      <c r="A17" s="85" t="s">
        <v>115</v>
      </c>
      <c r="B17" s="96"/>
      <c r="C17" s="96"/>
      <c r="D17" s="34"/>
      <c r="E17" s="34"/>
      <c r="F17" s="34"/>
      <c r="G17" s="93"/>
    </row>
    <row r="18" spans="1:9" ht="18" customHeight="1" x14ac:dyDescent="0.25">
      <c r="A18" s="85" t="s">
        <v>116</v>
      </c>
      <c r="B18" s="96"/>
      <c r="C18" s="96"/>
      <c r="D18" s="34"/>
      <c r="E18" s="89"/>
      <c r="F18" s="89"/>
      <c r="G18" s="93"/>
    </row>
    <row r="19" spans="1:9" ht="18" customHeight="1" x14ac:dyDescent="0.25">
      <c r="A19" s="85" t="s">
        <v>117</v>
      </c>
      <c r="B19" s="96"/>
      <c r="C19" s="96"/>
      <c r="D19" s="89"/>
      <c r="E19" s="89"/>
      <c r="F19" s="89"/>
      <c r="G19" s="89"/>
    </row>
    <row r="20" spans="1:9" ht="18" customHeight="1" x14ac:dyDescent="0.25">
      <c r="A20" s="89"/>
      <c r="B20" s="89"/>
      <c r="C20" s="37"/>
      <c r="D20" s="89"/>
      <c r="E20" s="89"/>
      <c r="F20" s="89"/>
      <c r="G20" s="89"/>
    </row>
    <row r="21" spans="1:9" ht="18" customHeight="1" x14ac:dyDescent="0.25">
      <c r="A21" s="89"/>
      <c r="B21" s="89"/>
      <c r="C21" s="8"/>
      <c r="D21" s="89"/>
      <c r="E21" s="89"/>
      <c r="F21" s="89"/>
      <c r="G21" s="89"/>
      <c r="H21" s="89"/>
    </row>
    <row r="22" spans="1:9" ht="18" customHeight="1" x14ac:dyDescent="0.25">
      <c r="A22" s="8"/>
      <c r="B22" s="89"/>
      <c r="C22" s="8"/>
      <c r="D22" s="89"/>
      <c r="G22" s="35"/>
      <c r="H22" s="89"/>
    </row>
    <row r="23" spans="1:9" ht="18" customHeight="1" x14ac:dyDescent="0.25">
      <c r="A23" s="38"/>
      <c r="G23" s="89"/>
      <c r="H23" s="89"/>
    </row>
    <row r="24" spans="1:9" ht="18" customHeight="1" x14ac:dyDescent="0.25">
      <c r="A24" s="89"/>
      <c r="G24" s="89"/>
      <c r="H24" s="89"/>
    </row>
    <row r="25" spans="1:9" ht="18" customHeight="1" x14ac:dyDescent="0.25">
      <c r="A25" s="89"/>
      <c r="G25" s="89"/>
      <c r="H25" s="89"/>
      <c r="I25" s="89"/>
    </row>
    <row r="26" spans="1:9" ht="18" customHeight="1" x14ac:dyDescent="0.25">
      <c r="A26" s="89"/>
      <c r="G26" s="89"/>
      <c r="I26" s="89"/>
    </row>
    <row r="27" spans="1:9" ht="18" customHeight="1" x14ac:dyDescent="0.25">
      <c r="A27" s="89"/>
      <c r="G27" s="89"/>
      <c r="I27" s="8"/>
    </row>
    <row r="28" spans="1:9" ht="18" customHeight="1" x14ac:dyDescent="0.25">
      <c r="A28" s="89"/>
      <c r="G28" s="89"/>
    </row>
    <row r="29" spans="1:9" ht="18" customHeight="1" x14ac:dyDescent="0.25">
      <c r="A29" s="38"/>
      <c r="G29" s="89"/>
    </row>
    <row r="30" spans="1:9" ht="18" customHeight="1" x14ac:dyDescent="0.25">
      <c r="A30" s="89"/>
      <c r="G30" s="89"/>
    </row>
    <row r="31" spans="1:9" ht="18" customHeight="1" x14ac:dyDescent="0.25">
      <c r="A31" s="89"/>
      <c r="E31" s="35"/>
      <c r="F31" s="35"/>
      <c r="G31" s="89"/>
    </row>
    <row r="32" spans="1:9" ht="18" customHeight="1" x14ac:dyDescent="0.25">
      <c r="A32" s="89"/>
      <c r="B32" s="39" t="s">
        <v>18</v>
      </c>
      <c r="C32" s="35"/>
      <c r="D32" s="35"/>
      <c r="E32" s="35"/>
      <c r="F32" s="35"/>
      <c r="G32" s="89"/>
    </row>
    <row r="33" spans="1:9" ht="18" customHeight="1" x14ac:dyDescent="0.25">
      <c r="A33" s="89"/>
      <c r="B33" s="89" t="s">
        <v>18</v>
      </c>
      <c r="C33" s="35"/>
      <c r="D33" s="35"/>
      <c r="E33" s="89"/>
      <c r="F33" s="89"/>
      <c r="G33" s="89"/>
    </row>
    <row r="34" spans="1:9" ht="18" customHeight="1" x14ac:dyDescent="0.25">
      <c r="A34" s="89"/>
      <c r="C34" s="89"/>
      <c r="D34" s="89"/>
      <c r="E34" s="89"/>
      <c r="F34" s="89"/>
      <c r="G34" s="89"/>
    </row>
    <row r="35" spans="1:9" ht="18" customHeight="1" x14ac:dyDescent="0.25">
      <c r="A35" s="89"/>
      <c r="B35" s="6"/>
      <c r="C35" s="89"/>
      <c r="D35" s="89"/>
      <c r="E35" s="89"/>
      <c r="F35" s="89"/>
      <c r="G35" s="89"/>
    </row>
    <row r="36" spans="1:9" ht="18" customHeight="1" x14ac:dyDescent="0.25">
      <c r="A36" s="89"/>
      <c r="C36" s="89"/>
      <c r="D36" s="89"/>
      <c r="E36" s="89"/>
      <c r="F36" s="89"/>
      <c r="G36" s="89"/>
    </row>
    <row r="37" spans="1:9" ht="18" customHeight="1" x14ac:dyDescent="0.25">
      <c r="A37" s="89"/>
      <c r="B37" s="6"/>
      <c r="C37" s="8"/>
      <c r="D37" s="89"/>
      <c r="E37" s="89"/>
      <c r="F37" s="89"/>
      <c r="G37" s="89"/>
      <c r="H37" s="35"/>
    </row>
    <row r="38" spans="1:9" ht="18" customHeight="1" x14ac:dyDescent="0.25">
      <c r="A38" s="89"/>
      <c r="B38" s="6"/>
      <c r="C38" s="8"/>
      <c r="D38" s="89"/>
      <c r="E38" s="89"/>
      <c r="F38" s="89"/>
      <c r="G38" s="89"/>
      <c r="H38" s="35"/>
    </row>
    <row r="39" spans="1:9" ht="18" customHeight="1" x14ac:dyDescent="0.25">
      <c r="A39" s="89"/>
      <c r="C39" s="89"/>
      <c r="D39" s="89"/>
      <c r="E39" s="89"/>
      <c r="F39" s="89"/>
      <c r="G39" s="89"/>
      <c r="H39" s="89"/>
    </row>
    <row r="40" spans="1:9" ht="18" customHeight="1" x14ac:dyDescent="0.25">
      <c r="A40" s="89"/>
      <c r="B40" s="6"/>
      <c r="C40" s="89"/>
      <c r="D40" s="89"/>
      <c r="E40" s="89"/>
      <c r="F40" s="89"/>
      <c r="G40" s="89"/>
      <c r="H40" s="89"/>
    </row>
    <row r="41" spans="1:9" ht="18" customHeight="1" x14ac:dyDescent="0.25">
      <c r="A41" s="89"/>
      <c r="C41" s="89"/>
      <c r="D41" s="89"/>
      <c r="E41" s="89"/>
      <c r="F41" s="89"/>
      <c r="G41" s="89"/>
      <c r="H41" s="35"/>
    </row>
    <row r="42" spans="1:9" ht="18" customHeight="1" x14ac:dyDescent="0.25">
      <c r="A42" s="11"/>
      <c r="B42" s="89"/>
      <c r="C42" s="89"/>
      <c r="D42" s="89"/>
      <c r="H42" s="35"/>
      <c r="I42" s="35"/>
    </row>
    <row r="43" spans="1:9" ht="18" customHeight="1" x14ac:dyDescent="0.25">
      <c r="H43" s="35"/>
      <c r="I43" s="35"/>
    </row>
    <row r="44" spans="1:9" ht="18" customHeight="1" x14ac:dyDescent="0.25">
      <c r="H44" s="89"/>
    </row>
    <row r="47" spans="1:9" ht="18" customHeight="1" x14ac:dyDescent="0.25">
      <c r="I47" s="35"/>
    </row>
    <row r="49" spans="10:10" ht="18" customHeight="1" x14ac:dyDescent="0.25">
      <c r="J49" s="3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r:id="rId5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r:id="rId19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r:id="rId23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3"/>
  <sheetViews>
    <sheetView workbookViewId="0">
      <selection activeCell="D36" sqref="D3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122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5" t="s">
        <v>201</v>
      </c>
      <c r="C5" s="69" t="s">
        <v>248</v>
      </c>
    </row>
    <row r="6" spans="2:9" x14ac:dyDescent="0.25">
      <c r="B6" s="7" t="s">
        <v>45</v>
      </c>
      <c r="C6" s="69">
        <v>11</v>
      </c>
    </row>
    <row r="7" spans="2:9" x14ac:dyDescent="0.25">
      <c r="B7" s="7" t="s">
        <v>47</v>
      </c>
      <c r="C7" s="69">
        <v>15</v>
      </c>
    </row>
    <row r="8" spans="2:9" x14ac:dyDescent="0.25">
      <c r="B8" t="s">
        <v>148</v>
      </c>
      <c r="C8" s="36"/>
      <c r="D8" s="63" t="s">
        <v>149</v>
      </c>
      <c r="G8" s="63" t="s">
        <v>147</v>
      </c>
      <c r="H8" s="69">
        <f>(3.14*(SubDiameter/2)^2)*(SubLength)*(1/12)^3</f>
        <v>0.82452256944444446</v>
      </c>
      <c r="I8" s="71" t="s">
        <v>142</v>
      </c>
    </row>
    <row r="9" spans="2:9" x14ac:dyDescent="0.25">
      <c r="B9" t="s">
        <v>152</v>
      </c>
      <c r="C9" s="36"/>
      <c r="D9" t="s">
        <v>151</v>
      </c>
      <c r="G9" s="63"/>
      <c r="H9" s="69">
        <f>Volume*28.317</f>
        <v>23.348005598958334</v>
      </c>
      <c r="I9" s="71" t="s">
        <v>154</v>
      </c>
    </row>
    <row r="10" spans="2:9" x14ac:dyDescent="0.25">
      <c r="B10" s="7"/>
      <c r="C10" s="8"/>
      <c r="G10" t="s">
        <v>150</v>
      </c>
      <c r="H10" s="69">
        <f>(Volume*MaxSpaceVelocity)*(1/60)*(61.7)/(2350*0.395)</f>
        <v>0</v>
      </c>
      <c r="I10" t="s">
        <v>151</v>
      </c>
    </row>
    <row r="11" spans="2:9" x14ac:dyDescent="0.25">
      <c r="G11" t="s">
        <v>153</v>
      </c>
      <c r="H11" s="70">
        <f>IF(H10&gt;MaxHertz,"60",H10)</f>
        <v>0</v>
      </c>
      <c r="I11" t="s">
        <v>151</v>
      </c>
    </row>
    <row r="12" spans="2:9" x14ac:dyDescent="0.25">
      <c r="B12" s="41" t="s">
        <v>125</v>
      </c>
      <c r="C12" s="42"/>
      <c r="D12" s="43" t="str">
        <f>B5</f>
        <v>DPF</v>
      </c>
      <c r="E12" s="44"/>
      <c r="F12" s="44"/>
    </row>
    <row r="13" spans="2:9" x14ac:dyDescent="0.25">
      <c r="B13" s="45"/>
      <c r="C13" s="45"/>
      <c r="D13" s="45"/>
      <c r="E13" s="45"/>
      <c r="F13" s="45"/>
    </row>
    <row r="14" spans="2:9" x14ac:dyDescent="0.25">
      <c r="B14" s="46" t="s">
        <v>126</v>
      </c>
      <c r="D14" s="33"/>
      <c r="E14" t="s">
        <v>127</v>
      </c>
    </row>
    <row r="15" spans="2:9" x14ac:dyDescent="0.25">
      <c r="B15" s="46" t="s">
        <v>128</v>
      </c>
      <c r="D15" s="33"/>
      <c r="E15" t="s">
        <v>129</v>
      </c>
    </row>
    <row r="16" spans="2:9" x14ac:dyDescent="0.25">
      <c r="B16" s="46" t="s">
        <v>130</v>
      </c>
      <c r="D16" s="36"/>
    </row>
    <row r="17" spans="2:9" x14ac:dyDescent="0.25">
      <c r="B17" s="47" t="s">
        <v>131</v>
      </c>
      <c r="C17" s="48" t="s">
        <v>132</v>
      </c>
      <c r="D17" s="49" t="s">
        <v>133</v>
      </c>
      <c r="E17" s="49" t="s">
        <v>134</v>
      </c>
      <c r="G17" s="50" t="s">
        <v>135</v>
      </c>
      <c r="H17" s="49"/>
      <c r="I17" s="49"/>
    </row>
    <row r="18" spans="2:9" x14ac:dyDescent="0.25">
      <c r="B18" s="51" t="s">
        <v>136</v>
      </c>
      <c r="C18" s="51" t="s">
        <v>137</v>
      </c>
      <c r="D18" s="51" t="s">
        <v>138</v>
      </c>
      <c r="E18" s="51" t="s">
        <v>137</v>
      </c>
      <c r="F18" s="51" t="s">
        <v>139</v>
      </c>
      <c r="G18" s="50" t="s">
        <v>140</v>
      </c>
      <c r="H18" s="49" t="s">
        <v>137</v>
      </c>
      <c r="I18" s="49" t="s">
        <v>141</v>
      </c>
    </row>
    <row r="19" spans="2:9" x14ac:dyDescent="0.25">
      <c r="B19" s="52">
        <f>0.25*$H$11</f>
        <v>0</v>
      </c>
      <c r="C19" s="53">
        <f>(2350/61.7)*B19*0.395</f>
        <v>0</v>
      </c>
      <c r="D19" s="36">
        <v>0</v>
      </c>
      <c r="E19" s="53">
        <f t="shared" ref="E19:E28" si="0">C19-(34.4764881*D19-4.325744048*D19^2+0.369475446*D19^3-0.01733631*D19^4+0.000339472*D19^5)</f>
        <v>0</v>
      </c>
      <c r="F19" s="54">
        <f t="shared" ref="F19:F29" si="1">(E19*60)/Volume</f>
        <v>0</v>
      </c>
      <c r="G19" s="36">
        <v>0</v>
      </c>
      <c r="H19" s="55">
        <f t="shared" ref="H19:H29" si="2">G19*Volume/60</f>
        <v>0</v>
      </c>
      <c r="I19" s="56">
        <f t="shared" ref="I19:I29" si="3">G19^2*P0a+G19*P0b+P0c</f>
        <v>0</v>
      </c>
    </row>
    <row r="20" spans="2:9" x14ac:dyDescent="0.25">
      <c r="B20" s="52">
        <f>0.4*$H$11</f>
        <v>0</v>
      </c>
      <c r="C20" s="53">
        <f t="shared" ref="C20:C29" si="4">(2350/61.7)*B20*0.395</f>
        <v>0</v>
      </c>
      <c r="D20" s="36">
        <v>0</v>
      </c>
      <c r="E20" s="53">
        <f t="shared" si="0"/>
        <v>0</v>
      </c>
      <c r="F20" s="54">
        <f t="shared" si="1"/>
        <v>0</v>
      </c>
      <c r="G20" s="36">
        <v>0</v>
      </c>
      <c r="H20" s="55">
        <f t="shared" si="2"/>
        <v>0</v>
      </c>
      <c r="I20" s="56">
        <f t="shared" si="3"/>
        <v>0</v>
      </c>
    </row>
    <row r="21" spans="2:9" x14ac:dyDescent="0.25">
      <c r="B21" s="52">
        <f>0.5*$H$11</f>
        <v>0</v>
      </c>
      <c r="C21" s="53">
        <f t="shared" si="4"/>
        <v>0</v>
      </c>
      <c r="D21" s="36">
        <v>0</v>
      </c>
      <c r="E21" s="53">
        <f t="shared" si="0"/>
        <v>0</v>
      </c>
      <c r="F21" s="54">
        <f t="shared" si="1"/>
        <v>0</v>
      </c>
      <c r="G21" s="36">
        <v>0</v>
      </c>
      <c r="H21" s="55">
        <f t="shared" si="2"/>
        <v>0</v>
      </c>
      <c r="I21" s="56">
        <f t="shared" si="3"/>
        <v>0</v>
      </c>
    </row>
    <row r="22" spans="2:9" x14ac:dyDescent="0.25">
      <c r="B22" s="52">
        <f>0.6*$H$11</f>
        <v>0</v>
      </c>
      <c r="C22" s="53">
        <f t="shared" si="4"/>
        <v>0</v>
      </c>
      <c r="D22" s="36">
        <v>0</v>
      </c>
      <c r="E22" s="53">
        <f t="shared" si="0"/>
        <v>0</v>
      </c>
      <c r="F22" s="54">
        <f t="shared" si="1"/>
        <v>0</v>
      </c>
      <c r="G22" s="36">
        <v>0</v>
      </c>
      <c r="H22" s="55">
        <f t="shared" si="2"/>
        <v>0</v>
      </c>
      <c r="I22" s="56">
        <f t="shared" si="3"/>
        <v>0</v>
      </c>
    </row>
    <row r="23" spans="2:9" x14ac:dyDescent="0.25">
      <c r="B23" s="52">
        <f>0.7*$H$11</f>
        <v>0</v>
      </c>
      <c r="C23" s="53">
        <f t="shared" si="4"/>
        <v>0</v>
      </c>
      <c r="D23" s="36">
        <v>0</v>
      </c>
      <c r="E23" s="53">
        <f t="shared" si="0"/>
        <v>0</v>
      </c>
      <c r="F23" s="54">
        <f t="shared" si="1"/>
        <v>0</v>
      </c>
      <c r="G23" s="36">
        <v>0</v>
      </c>
      <c r="H23" s="55">
        <f t="shared" si="2"/>
        <v>0</v>
      </c>
      <c r="I23" s="56">
        <f t="shared" si="3"/>
        <v>0</v>
      </c>
    </row>
    <row r="24" spans="2:9" x14ac:dyDescent="0.25">
      <c r="B24" s="52">
        <f>0.75*$H$11</f>
        <v>0</v>
      </c>
      <c r="C24" s="53">
        <f t="shared" si="4"/>
        <v>0</v>
      </c>
      <c r="D24" s="36">
        <v>0</v>
      </c>
      <c r="E24" s="53">
        <f t="shared" si="0"/>
        <v>0</v>
      </c>
      <c r="F24" s="54">
        <f t="shared" si="1"/>
        <v>0</v>
      </c>
      <c r="G24" s="36">
        <v>0</v>
      </c>
      <c r="H24" s="55">
        <f t="shared" si="2"/>
        <v>0</v>
      </c>
      <c r="I24" s="56">
        <f t="shared" si="3"/>
        <v>0</v>
      </c>
    </row>
    <row r="25" spans="2:9" x14ac:dyDescent="0.25">
      <c r="B25" s="52">
        <f>0.8*$H$11</f>
        <v>0</v>
      </c>
      <c r="C25" s="53">
        <f t="shared" si="4"/>
        <v>0</v>
      </c>
      <c r="D25" s="36">
        <v>0</v>
      </c>
      <c r="E25" s="53">
        <f t="shared" si="0"/>
        <v>0</v>
      </c>
      <c r="F25" s="54">
        <f t="shared" si="1"/>
        <v>0</v>
      </c>
      <c r="G25" s="36">
        <v>0</v>
      </c>
      <c r="H25" s="55">
        <f t="shared" si="2"/>
        <v>0</v>
      </c>
      <c r="I25" s="56">
        <f t="shared" si="3"/>
        <v>0</v>
      </c>
    </row>
    <row r="26" spans="2:9" x14ac:dyDescent="0.25">
      <c r="B26" s="52">
        <f>0.85*$H$11</f>
        <v>0</v>
      </c>
      <c r="C26" s="53">
        <f t="shared" si="4"/>
        <v>0</v>
      </c>
      <c r="D26" s="36">
        <v>0</v>
      </c>
      <c r="E26" s="53">
        <f t="shared" si="0"/>
        <v>0</v>
      </c>
      <c r="F26" s="54">
        <f t="shared" si="1"/>
        <v>0</v>
      </c>
      <c r="G26" s="36">
        <v>0</v>
      </c>
      <c r="H26" s="55">
        <f t="shared" si="2"/>
        <v>0</v>
      </c>
      <c r="I26" s="56">
        <f t="shared" si="3"/>
        <v>0</v>
      </c>
    </row>
    <row r="27" spans="2:9" x14ac:dyDescent="0.25">
      <c r="B27" s="52">
        <f>0.9*$H$11</f>
        <v>0</v>
      </c>
      <c r="C27" s="53">
        <f t="shared" si="4"/>
        <v>0</v>
      </c>
      <c r="D27" s="36">
        <v>0</v>
      </c>
      <c r="E27" s="53">
        <f t="shared" si="0"/>
        <v>0</v>
      </c>
      <c r="F27" s="54">
        <f t="shared" si="1"/>
        <v>0</v>
      </c>
      <c r="G27" s="36">
        <v>0</v>
      </c>
      <c r="H27" s="55">
        <f t="shared" si="2"/>
        <v>0</v>
      </c>
      <c r="I27" s="56">
        <f t="shared" si="3"/>
        <v>0</v>
      </c>
    </row>
    <row r="28" spans="2:9" x14ac:dyDescent="0.25">
      <c r="B28" s="52">
        <f>0.95*$H$11</f>
        <v>0</v>
      </c>
      <c r="C28" s="53">
        <f t="shared" si="4"/>
        <v>0</v>
      </c>
      <c r="D28" s="36">
        <v>0</v>
      </c>
      <c r="E28" s="53">
        <f t="shared" si="0"/>
        <v>0</v>
      </c>
      <c r="F28" s="54">
        <f t="shared" si="1"/>
        <v>0</v>
      </c>
      <c r="G28" s="36">
        <v>0</v>
      </c>
      <c r="H28" s="55">
        <f t="shared" si="2"/>
        <v>0</v>
      </c>
      <c r="I28" s="56">
        <f t="shared" si="3"/>
        <v>0</v>
      </c>
    </row>
    <row r="29" spans="2:9" x14ac:dyDescent="0.25">
      <c r="B29" s="52">
        <f>1*$H$11</f>
        <v>0</v>
      </c>
      <c r="C29" s="53">
        <f t="shared" si="4"/>
        <v>0</v>
      </c>
      <c r="D29" s="36">
        <v>0</v>
      </c>
      <c r="E29" s="53">
        <f>C29-(34.4764881*D29-4.325744048*D29^2+0.369475446*D29^3-0.01733631*D29^4+0.000339472*D29^5)</f>
        <v>0</v>
      </c>
      <c r="F29" s="54">
        <f t="shared" si="1"/>
        <v>0</v>
      </c>
      <c r="G29" s="36">
        <v>0</v>
      </c>
      <c r="H29" s="55">
        <f t="shared" si="2"/>
        <v>0</v>
      </c>
      <c r="I29" s="56">
        <f t="shared" si="3"/>
        <v>0</v>
      </c>
    </row>
    <row r="30" spans="2:9" x14ac:dyDescent="0.25">
      <c r="B30" s="45"/>
      <c r="D30" s="45"/>
      <c r="E30" s="45"/>
      <c r="F30" s="45"/>
      <c r="G30" s="61" t="s">
        <v>143</v>
      </c>
    </row>
    <row r="31" spans="2:9" x14ac:dyDescent="0.25">
      <c r="C31" s="58"/>
      <c r="G31" s="61" t="s">
        <v>144</v>
      </c>
      <c r="H31" s="62"/>
    </row>
    <row r="32" spans="2:9" x14ac:dyDescent="0.25">
      <c r="B32" s="59"/>
      <c r="C32" s="59"/>
      <c r="D32" s="59"/>
      <c r="E32" s="59"/>
      <c r="F32" s="59"/>
      <c r="G32" s="61" t="s">
        <v>145</v>
      </c>
      <c r="H32" s="62"/>
    </row>
    <row r="33" spans="2:9" x14ac:dyDescent="0.25">
      <c r="B33" s="60"/>
      <c r="C33" s="60"/>
      <c r="D33" s="60"/>
      <c r="E33" s="60"/>
      <c r="F33" s="60"/>
      <c r="G33" s="61" t="s">
        <v>146</v>
      </c>
      <c r="H33" s="33"/>
    </row>
    <row r="34" spans="2:9" x14ac:dyDescent="0.25">
      <c r="B34" s="60"/>
      <c r="C34" s="60"/>
      <c r="D34" s="60"/>
      <c r="E34" s="60"/>
      <c r="F34" s="60"/>
      <c r="I34" t="s">
        <v>18</v>
      </c>
    </row>
    <row r="36" spans="2:9" x14ac:dyDescent="0.25">
      <c r="B36" s="46" t="s">
        <v>125</v>
      </c>
      <c r="D36" s="43" t="e">
        <f>#REF!</f>
        <v>#REF!</v>
      </c>
    </row>
    <row r="38" spans="2:9" x14ac:dyDescent="0.25">
      <c r="B38" s="46" t="s">
        <v>126</v>
      </c>
      <c r="D38" s="33"/>
      <c r="E38" t="s">
        <v>127</v>
      </c>
    </row>
    <row r="39" spans="2:9" x14ac:dyDescent="0.25">
      <c r="B39" s="46" t="s">
        <v>128</v>
      </c>
      <c r="D39" s="33"/>
      <c r="E39" t="s">
        <v>129</v>
      </c>
      <c r="I39" s="58"/>
    </row>
    <row r="40" spans="2:9" x14ac:dyDescent="0.25">
      <c r="B40" s="46" t="s">
        <v>130</v>
      </c>
      <c r="D40" s="36"/>
    </row>
    <row r="41" spans="2:9" x14ac:dyDescent="0.25">
      <c r="B41" s="47" t="s">
        <v>131</v>
      </c>
      <c r="C41" s="48" t="s">
        <v>132</v>
      </c>
      <c r="D41" s="49" t="s">
        <v>133</v>
      </c>
      <c r="E41" s="49" t="s">
        <v>134</v>
      </c>
      <c r="F41" s="63"/>
      <c r="G41" s="50" t="s">
        <v>135</v>
      </c>
      <c r="H41" s="49"/>
      <c r="I41" s="49"/>
    </row>
    <row r="42" spans="2:9" x14ac:dyDescent="0.25">
      <c r="B42" s="49" t="s">
        <v>136</v>
      </c>
      <c r="C42" s="49" t="s">
        <v>137</v>
      </c>
      <c r="D42" s="49" t="s">
        <v>138</v>
      </c>
      <c r="E42" s="49" t="s">
        <v>137</v>
      </c>
      <c r="F42" s="49" t="s">
        <v>139</v>
      </c>
      <c r="G42" s="50" t="s">
        <v>140</v>
      </c>
      <c r="H42" s="49" t="s">
        <v>137</v>
      </c>
      <c r="I42" s="49" t="s">
        <v>141</v>
      </c>
    </row>
    <row r="43" spans="2:9" x14ac:dyDescent="0.25">
      <c r="B43" s="52">
        <f>0.25*$H$11</f>
        <v>0</v>
      </c>
      <c r="C43" s="53">
        <f>(2350/61.7)*B43*0.395</f>
        <v>0</v>
      </c>
      <c r="D43" s="36">
        <v>0</v>
      </c>
      <c r="E43" s="53">
        <f t="shared" ref="E43:E53" si="5">C43-(34.4764881*D43-4.325744048*D43^2+0.369475446*D43^3-0.01733631*D43^4+0.000339472*D43^5)</f>
        <v>0</v>
      </c>
      <c r="F43" s="54">
        <f t="shared" ref="F43:F53" si="6">(E43*60)/Volume</f>
        <v>0</v>
      </c>
      <c r="G43" s="36">
        <v>0</v>
      </c>
      <c r="H43" s="55">
        <f t="shared" ref="H43:H53" si="7">G43*Volume/60</f>
        <v>0</v>
      </c>
      <c r="I43" s="56">
        <f t="shared" ref="I43:I53" si="8">G43^2*P1a+G43*P1b+P1c</f>
        <v>0</v>
      </c>
    </row>
    <row r="44" spans="2:9" x14ac:dyDescent="0.25">
      <c r="B44" s="52">
        <f>0.4*$H$11</f>
        <v>0</v>
      </c>
      <c r="C44" s="53">
        <f t="shared" ref="C44:C52" si="9">(2350/61.7)*B44*0.395</f>
        <v>0</v>
      </c>
      <c r="D44" s="36">
        <v>0</v>
      </c>
      <c r="E44" s="53">
        <f t="shared" si="5"/>
        <v>0</v>
      </c>
      <c r="F44" s="54">
        <f t="shared" si="6"/>
        <v>0</v>
      </c>
      <c r="G44" s="36">
        <v>0</v>
      </c>
      <c r="H44" s="55">
        <f t="shared" si="7"/>
        <v>0</v>
      </c>
      <c r="I44" s="56">
        <f t="shared" si="8"/>
        <v>0</v>
      </c>
    </row>
    <row r="45" spans="2:9" x14ac:dyDescent="0.25">
      <c r="B45" s="52">
        <f>0.5*$H$11</f>
        <v>0</v>
      </c>
      <c r="C45" s="53">
        <f t="shared" si="9"/>
        <v>0</v>
      </c>
      <c r="D45" s="36">
        <v>0</v>
      </c>
      <c r="E45" s="53">
        <f t="shared" si="5"/>
        <v>0</v>
      </c>
      <c r="F45" s="54">
        <f t="shared" si="6"/>
        <v>0</v>
      </c>
      <c r="G45" s="36">
        <v>0</v>
      </c>
      <c r="H45" s="55">
        <f t="shared" si="7"/>
        <v>0</v>
      </c>
      <c r="I45" s="56">
        <f t="shared" si="8"/>
        <v>0</v>
      </c>
    </row>
    <row r="46" spans="2:9" x14ac:dyDescent="0.25">
      <c r="B46" s="52">
        <f>0.6*$H$11</f>
        <v>0</v>
      </c>
      <c r="C46" s="53">
        <f t="shared" si="9"/>
        <v>0</v>
      </c>
      <c r="D46" s="36">
        <v>0</v>
      </c>
      <c r="E46" s="53">
        <f t="shared" si="5"/>
        <v>0</v>
      </c>
      <c r="F46" s="54">
        <f t="shared" si="6"/>
        <v>0</v>
      </c>
      <c r="G46" s="36">
        <v>0</v>
      </c>
      <c r="H46" s="55">
        <f t="shared" si="7"/>
        <v>0</v>
      </c>
      <c r="I46" s="56">
        <f t="shared" si="8"/>
        <v>0</v>
      </c>
    </row>
    <row r="47" spans="2:9" x14ac:dyDescent="0.25">
      <c r="B47" s="52">
        <f>0.7*$H$11</f>
        <v>0</v>
      </c>
      <c r="C47" s="53">
        <f t="shared" si="9"/>
        <v>0</v>
      </c>
      <c r="D47" s="36">
        <v>0</v>
      </c>
      <c r="E47" s="53">
        <f t="shared" si="5"/>
        <v>0</v>
      </c>
      <c r="F47" s="54">
        <f t="shared" si="6"/>
        <v>0</v>
      </c>
      <c r="G47" s="36">
        <v>0</v>
      </c>
      <c r="H47" s="55">
        <f t="shared" si="7"/>
        <v>0</v>
      </c>
      <c r="I47" s="56">
        <f t="shared" si="8"/>
        <v>0</v>
      </c>
    </row>
    <row r="48" spans="2:9" x14ac:dyDescent="0.25">
      <c r="B48" s="52">
        <f>0.75*$H$11</f>
        <v>0</v>
      </c>
      <c r="C48" s="53">
        <f t="shared" si="9"/>
        <v>0</v>
      </c>
      <c r="D48" s="36">
        <v>0</v>
      </c>
      <c r="E48" s="53">
        <f t="shared" si="5"/>
        <v>0</v>
      </c>
      <c r="F48" s="54">
        <f t="shared" si="6"/>
        <v>0</v>
      </c>
      <c r="G48" s="36">
        <v>0</v>
      </c>
      <c r="H48" s="55">
        <f t="shared" si="7"/>
        <v>0</v>
      </c>
      <c r="I48" s="56">
        <f t="shared" si="8"/>
        <v>0</v>
      </c>
    </row>
    <row r="49" spans="2:9" x14ac:dyDescent="0.25">
      <c r="B49" s="52">
        <f>0.8*$H$11</f>
        <v>0</v>
      </c>
      <c r="C49" s="53">
        <f t="shared" si="9"/>
        <v>0</v>
      </c>
      <c r="D49" s="36">
        <v>0</v>
      </c>
      <c r="E49" s="53">
        <f t="shared" si="5"/>
        <v>0</v>
      </c>
      <c r="F49" s="54">
        <f t="shared" si="6"/>
        <v>0</v>
      </c>
      <c r="G49" s="36">
        <v>0</v>
      </c>
      <c r="H49" s="55">
        <f t="shared" si="7"/>
        <v>0</v>
      </c>
      <c r="I49" s="56">
        <f t="shared" si="8"/>
        <v>0</v>
      </c>
    </row>
    <row r="50" spans="2:9" x14ac:dyDescent="0.25">
      <c r="B50" s="52">
        <f>0.85*$H$11</f>
        <v>0</v>
      </c>
      <c r="C50" s="53">
        <f t="shared" si="9"/>
        <v>0</v>
      </c>
      <c r="D50" s="36">
        <v>0</v>
      </c>
      <c r="E50" s="53">
        <f t="shared" si="5"/>
        <v>0</v>
      </c>
      <c r="F50" s="54">
        <f t="shared" si="6"/>
        <v>0</v>
      </c>
      <c r="G50" s="36">
        <v>0</v>
      </c>
      <c r="H50" s="55">
        <f t="shared" si="7"/>
        <v>0</v>
      </c>
      <c r="I50" s="56">
        <f t="shared" si="8"/>
        <v>0</v>
      </c>
    </row>
    <row r="51" spans="2:9" x14ac:dyDescent="0.25">
      <c r="B51" s="52">
        <f>0.9*$H$11</f>
        <v>0</v>
      </c>
      <c r="C51" s="53">
        <f t="shared" si="9"/>
        <v>0</v>
      </c>
      <c r="D51" s="36">
        <v>0</v>
      </c>
      <c r="E51" s="53">
        <f t="shared" si="5"/>
        <v>0</v>
      </c>
      <c r="F51" s="54">
        <f t="shared" si="6"/>
        <v>0</v>
      </c>
      <c r="G51" s="36">
        <v>0</v>
      </c>
      <c r="H51" s="55">
        <f t="shared" si="7"/>
        <v>0</v>
      </c>
      <c r="I51" s="56">
        <f t="shared" si="8"/>
        <v>0</v>
      </c>
    </row>
    <row r="52" spans="2:9" x14ac:dyDescent="0.25">
      <c r="B52" s="52">
        <f>0.95*$H$11</f>
        <v>0</v>
      </c>
      <c r="C52" s="53">
        <f t="shared" si="9"/>
        <v>0</v>
      </c>
      <c r="D52" s="36">
        <v>0</v>
      </c>
      <c r="E52" s="53">
        <f t="shared" si="5"/>
        <v>0</v>
      </c>
      <c r="F52" s="54">
        <f t="shared" si="6"/>
        <v>0</v>
      </c>
      <c r="G52" s="36">
        <v>0</v>
      </c>
      <c r="H52" s="55">
        <f t="shared" si="7"/>
        <v>0</v>
      </c>
      <c r="I52" s="56">
        <f t="shared" si="8"/>
        <v>0</v>
      </c>
    </row>
    <row r="53" spans="2:9" x14ac:dyDescent="0.25">
      <c r="B53" s="52">
        <f>1*$H$11</f>
        <v>0</v>
      </c>
      <c r="C53" s="53">
        <f>(2350/61.7)*B53*0.395</f>
        <v>0</v>
      </c>
      <c r="D53" s="36">
        <v>0</v>
      </c>
      <c r="E53" s="53">
        <f t="shared" si="5"/>
        <v>0</v>
      </c>
      <c r="F53" s="54">
        <f t="shared" si="6"/>
        <v>0</v>
      </c>
      <c r="G53" s="36">
        <v>0</v>
      </c>
      <c r="H53" s="55">
        <f t="shared" si="7"/>
        <v>0</v>
      </c>
      <c r="I53" s="56">
        <f t="shared" si="8"/>
        <v>0</v>
      </c>
    </row>
    <row r="54" spans="2:9" x14ac:dyDescent="0.25">
      <c r="G54" s="61" t="s">
        <v>143</v>
      </c>
    </row>
    <row r="55" spans="2:9" x14ac:dyDescent="0.25">
      <c r="B55" s="64"/>
      <c r="C55" s="64"/>
      <c r="D55" s="64"/>
      <c r="G55" s="61" t="s">
        <v>144</v>
      </c>
      <c r="H55" s="62"/>
    </row>
    <row r="56" spans="2:9" x14ac:dyDescent="0.25">
      <c r="B56" s="2"/>
      <c r="C56" s="64"/>
      <c r="D56" s="64"/>
      <c r="E56" s="63"/>
      <c r="F56" s="63"/>
      <c r="G56" s="61" t="s">
        <v>145</v>
      </c>
      <c r="H56" s="62"/>
    </row>
    <row r="57" spans="2:9" x14ac:dyDescent="0.25">
      <c r="B57" s="65"/>
      <c r="C57" s="64"/>
      <c r="D57" s="64"/>
      <c r="E57" s="63"/>
      <c r="F57" s="63"/>
      <c r="G57" s="61" t="s">
        <v>146</v>
      </c>
      <c r="H57" s="62"/>
    </row>
    <row r="58" spans="2:9" x14ac:dyDescent="0.25">
      <c r="B58" s="65"/>
      <c r="C58" s="64"/>
      <c r="D58" s="64"/>
      <c r="E58" s="64"/>
      <c r="F58" s="64"/>
    </row>
    <row r="59" spans="2:9" x14ac:dyDescent="0.25">
      <c r="B59" s="2"/>
      <c r="C59" s="64"/>
      <c r="D59" s="64"/>
      <c r="E59" s="64"/>
      <c r="F59" s="64"/>
    </row>
    <row r="61" spans="2:9" x14ac:dyDescent="0.25">
      <c r="B61" s="46" t="s">
        <v>125</v>
      </c>
      <c r="D61" s="43" t="str">
        <f>B6</f>
        <v>Substrate Diameter(inch)</v>
      </c>
    </row>
    <row r="63" spans="2:9" x14ac:dyDescent="0.25">
      <c r="B63" s="46" t="s">
        <v>126</v>
      </c>
      <c r="D63" s="33"/>
      <c r="E63" t="s">
        <v>127</v>
      </c>
      <c r="H63" s="45"/>
      <c r="I63" s="45"/>
    </row>
    <row r="64" spans="2:9" x14ac:dyDescent="0.25">
      <c r="B64" s="46" t="s">
        <v>128</v>
      </c>
      <c r="D64" s="33"/>
      <c r="E64" t="s">
        <v>129</v>
      </c>
      <c r="H64" s="45"/>
      <c r="I64" s="45"/>
    </row>
    <row r="65" spans="2:9" x14ac:dyDescent="0.25">
      <c r="B65" s="46" t="s">
        <v>130</v>
      </c>
      <c r="D65" s="36"/>
      <c r="H65" s="66"/>
      <c r="I65" s="66"/>
    </row>
    <row r="66" spans="2:9" x14ac:dyDescent="0.25">
      <c r="B66" s="47" t="s">
        <v>131</v>
      </c>
      <c r="C66" s="48" t="s">
        <v>132</v>
      </c>
      <c r="D66" s="49" t="s">
        <v>133</v>
      </c>
      <c r="E66" s="49" t="s">
        <v>134</v>
      </c>
      <c r="F66" s="63"/>
      <c r="G66" s="50" t="s">
        <v>135</v>
      </c>
      <c r="H66" s="49"/>
      <c r="I66" s="49"/>
    </row>
    <row r="67" spans="2:9" x14ac:dyDescent="0.25">
      <c r="B67" s="49" t="s">
        <v>136</v>
      </c>
      <c r="C67" s="49" t="s">
        <v>137</v>
      </c>
      <c r="D67" s="49" t="s">
        <v>138</v>
      </c>
      <c r="E67" s="49" t="s">
        <v>137</v>
      </c>
      <c r="F67" s="49" t="s">
        <v>139</v>
      </c>
      <c r="G67" s="50" t="s">
        <v>140</v>
      </c>
      <c r="H67" s="49" t="s">
        <v>137</v>
      </c>
      <c r="I67" s="49" t="s">
        <v>141</v>
      </c>
    </row>
    <row r="68" spans="2:9" x14ac:dyDescent="0.25">
      <c r="B68" s="52">
        <f>0.25*$H$11</f>
        <v>0</v>
      </c>
      <c r="C68" s="53">
        <f>(2350/61.7)*B68*0.395</f>
        <v>0</v>
      </c>
      <c r="D68" s="36">
        <v>0</v>
      </c>
      <c r="E68" s="53">
        <f t="shared" ref="E68:E78" si="10">C68-(34.4764881*D68-4.325744048*D68^2+0.369475446*D68^3-0.01733631*D68^4+0.000339472*D68^5)</f>
        <v>0</v>
      </c>
      <c r="F68" s="53">
        <f t="shared" ref="F68:F78" si="11">(E68*60)/Volume</f>
        <v>0</v>
      </c>
      <c r="G68" s="36">
        <v>0</v>
      </c>
      <c r="H68" s="55">
        <f t="shared" ref="H68:H78" si="12">G68*Volume/60</f>
        <v>0</v>
      </c>
      <c r="I68" s="56">
        <f t="shared" ref="I68:I78" si="13">G68^2*P2a+G68*P2b+P2c</f>
        <v>0</v>
      </c>
    </row>
    <row r="69" spans="2:9" x14ac:dyDescent="0.25">
      <c r="B69" s="52">
        <f>0.4*$H$11</f>
        <v>0</v>
      </c>
      <c r="C69" s="53">
        <f t="shared" ref="C69:C78" si="14">(2350/61.7)*B69*0.395</f>
        <v>0</v>
      </c>
      <c r="D69" s="36">
        <v>0</v>
      </c>
      <c r="E69" s="53">
        <f t="shared" si="10"/>
        <v>0</v>
      </c>
      <c r="F69" s="53">
        <f t="shared" si="11"/>
        <v>0</v>
      </c>
      <c r="G69" s="36">
        <v>0</v>
      </c>
      <c r="H69" s="55">
        <f t="shared" si="12"/>
        <v>0</v>
      </c>
      <c r="I69" s="56">
        <f t="shared" si="13"/>
        <v>0</v>
      </c>
    </row>
    <row r="70" spans="2:9" x14ac:dyDescent="0.25">
      <c r="B70" s="52">
        <f>0.5*$H$11</f>
        <v>0</v>
      </c>
      <c r="C70" s="53">
        <f t="shared" si="14"/>
        <v>0</v>
      </c>
      <c r="D70" s="36">
        <v>0</v>
      </c>
      <c r="E70" s="53">
        <f t="shared" si="10"/>
        <v>0</v>
      </c>
      <c r="F70" s="53">
        <f t="shared" si="11"/>
        <v>0</v>
      </c>
      <c r="G70" s="36">
        <v>0</v>
      </c>
      <c r="H70" s="55">
        <f t="shared" si="12"/>
        <v>0</v>
      </c>
      <c r="I70" s="56">
        <f t="shared" si="13"/>
        <v>0</v>
      </c>
    </row>
    <row r="71" spans="2:9" x14ac:dyDescent="0.25">
      <c r="B71" s="52">
        <f>0.6*$H$11</f>
        <v>0</v>
      </c>
      <c r="C71" s="53">
        <f t="shared" si="14"/>
        <v>0</v>
      </c>
      <c r="D71" s="36">
        <v>0</v>
      </c>
      <c r="E71" s="53">
        <f t="shared" si="10"/>
        <v>0</v>
      </c>
      <c r="F71" s="53">
        <f t="shared" si="11"/>
        <v>0</v>
      </c>
      <c r="G71" s="36">
        <v>0</v>
      </c>
      <c r="H71" s="55">
        <f t="shared" si="12"/>
        <v>0</v>
      </c>
      <c r="I71" s="56">
        <f t="shared" si="13"/>
        <v>0</v>
      </c>
    </row>
    <row r="72" spans="2:9" x14ac:dyDescent="0.25">
      <c r="B72" s="52">
        <f>0.7*$H$11</f>
        <v>0</v>
      </c>
      <c r="C72" s="53">
        <f t="shared" si="14"/>
        <v>0</v>
      </c>
      <c r="D72" s="36">
        <v>0</v>
      </c>
      <c r="E72" s="53">
        <f t="shared" si="10"/>
        <v>0</v>
      </c>
      <c r="F72" s="53">
        <f t="shared" si="11"/>
        <v>0</v>
      </c>
      <c r="G72" s="36">
        <v>0</v>
      </c>
      <c r="H72" s="55">
        <f t="shared" si="12"/>
        <v>0</v>
      </c>
      <c r="I72" s="56">
        <f t="shared" si="13"/>
        <v>0</v>
      </c>
    </row>
    <row r="73" spans="2:9" x14ac:dyDescent="0.25">
      <c r="B73" s="52">
        <f>0.75*$H$11</f>
        <v>0</v>
      </c>
      <c r="C73" s="53">
        <f t="shared" si="14"/>
        <v>0</v>
      </c>
      <c r="D73" s="36">
        <v>0</v>
      </c>
      <c r="E73" s="53">
        <f t="shared" si="10"/>
        <v>0</v>
      </c>
      <c r="F73" s="53">
        <f t="shared" si="11"/>
        <v>0</v>
      </c>
      <c r="G73" s="36">
        <v>0</v>
      </c>
      <c r="H73" s="55">
        <f t="shared" si="12"/>
        <v>0</v>
      </c>
      <c r="I73" s="56">
        <f t="shared" si="13"/>
        <v>0</v>
      </c>
    </row>
    <row r="74" spans="2:9" x14ac:dyDescent="0.25">
      <c r="B74" s="52">
        <f>0.8*$H$11</f>
        <v>0</v>
      </c>
      <c r="C74" s="53">
        <f t="shared" si="14"/>
        <v>0</v>
      </c>
      <c r="D74" s="36">
        <v>0</v>
      </c>
      <c r="E74" s="53">
        <f t="shared" si="10"/>
        <v>0</v>
      </c>
      <c r="F74" s="53">
        <f t="shared" si="11"/>
        <v>0</v>
      </c>
      <c r="G74" s="36">
        <v>0</v>
      </c>
      <c r="H74" s="55">
        <f t="shared" si="12"/>
        <v>0</v>
      </c>
      <c r="I74" s="56">
        <f t="shared" si="13"/>
        <v>0</v>
      </c>
    </row>
    <row r="75" spans="2:9" x14ac:dyDescent="0.25">
      <c r="B75" s="52">
        <f>0.85*$H$11</f>
        <v>0</v>
      </c>
      <c r="C75" s="53">
        <f t="shared" si="14"/>
        <v>0</v>
      </c>
      <c r="D75" s="36">
        <v>0</v>
      </c>
      <c r="E75" s="53">
        <f t="shared" si="10"/>
        <v>0</v>
      </c>
      <c r="F75" s="53">
        <f t="shared" si="11"/>
        <v>0</v>
      </c>
      <c r="G75" s="36">
        <v>0</v>
      </c>
      <c r="H75" s="55">
        <f t="shared" si="12"/>
        <v>0</v>
      </c>
      <c r="I75" s="56">
        <f t="shared" si="13"/>
        <v>0</v>
      </c>
    </row>
    <row r="76" spans="2:9" x14ac:dyDescent="0.25">
      <c r="B76" s="52">
        <f>0.9*$H$11</f>
        <v>0</v>
      </c>
      <c r="C76" s="53">
        <f t="shared" si="14"/>
        <v>0</v>
      </c>
      <c r="D76" s="36">
        <v>0</v>
      </c>
      <c r="E76" s="53">
        <f t="shared" si="10"/>
        <v>0</v>
      </c>
      <c r="F76" s="53">
        <f t="shared" si="11"/>
        <v>0</v>
      </c>
      <c r="G76" s="36">
        <v>0</v>
      </c>
      <c r="H76" s="55">
        <f t="shared" si="12"/>
        <v>0</v>
      </c>
      <c r="I76" s="56">
        <f t="shared" si="13"/>
        <v>0</v>
      </c>
    </row>
    <row r="77" spans="2:9" x14ac:dyDescent="0.25">
      <c r="B77" s="52">
        <f>0.95*$H$11</f>
        <v>0</v>
      </c>
      <c r="C77" s="53">
        <f t="shared" si="14"/>
        <v>0</v>
      </c>
      <c r="D77" s="36">
        <v>0</v>
      </c>
      <c r="E77" s="53">
        <f t="shared" si="10"/>
        <v>0</v>
      </c>
      <c r="F77" s="53">
        <f t="shared" si="11"/>
        <v>0</v>
      </c>
      <c r="G77" s="36">
        <v>0</v>
      </c>
      <c r="H77" s="55">
        <f t="shared" si="12"/>
        <v>0</v>
      </c>
      <c r="I77" s="56">
        <f t="shared" si="13"/>
        <v>0</v>
      </c>
    </row>
    <row r="78" spans="2:9" x14ac:dyDescent="0.25">
      <c r="B78" s="52">
        <f>1*$H$11</f>
        <v>0</v>
      </c>
      <c r="C78" s="53">
        <f t="shared" si="14"/>
        <v>0</v>
      </c>
      <c r="D78" s="36">
        <v>0</v>
      </c>
      <c r="E78" s="53">
        <f t="shared" si="10"/>
        <v>0</v>
      </c>
      <c r="F78" s="53">
        <f t="shared" si="11"/>
        <v>0</v>
      </c>
      <c r="G78" s="36">
        <v>0</v>
      </c>
      <c r="H78" s="55">
        <f t="shared" si="12"/>
        <v>0</v>
      </c>
      <c r="I78" s="56">
        <f t="shared" si="13"/>
        <v>0</v>
      </c>
    </row>
    <row r="79" spans="2:9" x14ac:dyDescent="0.25">
      <c r="G79" s="61" t="s">
        <v>143</v>
      </c>
    </row>
    <row r="80" spans="2:9" x14ac:dyDescent="0.25">
      <c r="F80" s="67"/>
      <c r="G80" s="61" t="s">
        <v>144</v>
      </c>
      <c r="H80" s="62"/>
    </row>
    <row r="81" spans="2:8" x14ac:dyDescent="0.25">
      <c r="B81" s="65"/>
      <c r="C81" s="63"/>
      <c r="D81" s="63"/>
      <c r="F81" s="57"/>
      <c r="G81" s="61" t="s">
        <v>145</v>
      </c>
      <c r="H81" s="62"/>
    </row>
    <row r="82" spans="2:8" x14ac:dyDescent="0.25">
      <c r="B82" s="65"/>
      <c r="C82" s="63"/>
      <c r="D82" s="63"/>
      <c r="E82" s="58"/>
      <c r="F82" s="57"/>
      <c r="G82" s="61" t="s">
        <v>146</v>
      </c>
      <c r="H82" s="33"/>
    </row>
    <row r="83" spans="2:8" x14ac:dyDescent="0.25">
      <c r="B83" s="2"/>
      <c r="C83" s="68"/>
      <c r="D83" s="64"/>
      <c r="F83" s="5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590550</xdr:colOff>
                <xdr:row>5</xdr:row>
                <xdr:rowOff>104775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2019-02-10T17:29:47Z</dcterms:modified>
</cp:coreProperties>
</file>