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2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4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drawings/drawing5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drawings/drawing6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drawings/drawing7.xml" ContentType="application/vnd.openxmlformats-officedocument.drawing+xml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drawings/drawing8.xml" ContentType="application/vnd.openxmlformats-officedocument.drawing+xml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9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drawings/drawing10.xml" ContentType="application/vnd.openxmlformats-officedocument.drawing+xml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drawings/drawing11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drawings/drawing12.xml" ContentType="application/vnd.openxmlformats-officedocument.drawing+xml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629" codeName="{54D0D2CB-4C12-4D6E-6EDF-ACB5E8E520A3}"/>
  <workbookPr codeName="ThisWorkbook"/>
  <mc:AlternateContent xmlns:mc="http://schemas.openxmlformats.org/markup-compatibility/2006">
    <mc:Choice Requires="x15">
      <x15ac:absPath xmlns:x15ac="http://schemas.microsoft.com/office/spreadsheetml/2010/11/ac" url="C:\Projects\DP\DP\Excel\"/>
    </mc:Choice>
  </mc:AlternateContent>
  <xr:revisionPtr revIDLastSave="0" documentId="13_ncr:1_{EC67D1A6-F407-4069-BBC2-80206066D0DB}" xr6:coauthVersionLast="43" xr6:coauthVersionMax="43" xr10:uidLastSave="{00000000-0000-0000-0000-000000000000}"/>
  <bookViews>
    <workbookView xWindow="38280" yWindow="-1095" windowWidth="29040" windowHeight="15990" xr2:uid="{00000000-000D-0000-FFFF-FFFF00000000}"/>
  </bookViews>
  <sheets>
    <sheet name="Menu" sheetId="8" r:id="rId1"/>
    <sheet name="Company" sheetId="2" state="hidden" r:id="rId2"/>
    <sheet name="CompanyLocation" sheetId="7" state="hidden" r:id="rId3"/>
    <sheet name="Contacts" sheetId="15" state="hidden" r:id="rId4"/>
    <sheet name="Vehicle" sheetId="10" state="hidden" r:id="rId5"/>
    <sheet name="Engine" sheetId="12" state="hidden" r:id="rId6"/>
    <sheet name="Manufacturer" sheetId="11" state="hidden" r:id="rId7"/>
    <sheet name="ECD" sheetId="14" state="hidden" r:id="rId8"/>
    <sheet name="DPF" sheetId="16" state="hidden" r:id="rId9"/>
    <sheet name="OutData" sheetId="21" state="hidden" r:id="rId10"/>
    <sheet name="Report" sheetId="20" state="hidden" r:id="rId11"/>
    <sheet name="Quality" sheetId="18" state="hidden" r:id="rId12"/>
    <sheet name="QAProcess" sheetId="19" state="hidden" r:id="rId13"/>
  </sheets>
  <functionGroups builtInGroupCount="19"/>
  <externalReferences>
    <externalReference r:id="rId14"/>
  </externalReferences>
  <definedNames>
    <definedName name="CleanChannels">Quality!$B$16</definedName>
    <definedName name="company" localSheetId="1">Company!$C$2:$C$9</definedName>
    <definedName name="company" localSheetId="8">DPF!#REF!</definedName>
    <definedName name="companylocation" localSheetId="2">CompanyLocation!$B$4:$B$9</definedName>
    <definedName name="companylocation" localSheetId="8">DPF!#REF!</definedName>
    <definedName name="contacts" localSheetId="3">Contacts!$B$4:$B$13</definedName>
    <definedName name="contacts" localSheetId="8">DPF!$C$13:$C$13</definedName>
    <definedName name="dpf" localSheetId="8">DPF!$C$5:$C$26</definedName>
    <definedName name="dpf" localSheetId="11">Quality!$B$3:$B$5</definedName>
    <definedName name="ecd" localSheetId="8">DPF!#REF!</definedName>
    <definedName name="ecd" localSheetId="7">ECD!$B$3:$B$12</definedName>
    <definedName name="ecd" localSheetId="11">Quality!$B$3:$B$5</definedName>
    <definedName name="engine" localSheetId="8">DPF!#REF!</definedName>
    <definedName name="engine" localSheetId="5">Engine!$B$3:$B$6</definedName>
    <definedName name="InletCells" localSheetId="11">Quality!$B$18:$D$22</definedName>
    <definedName name="manufacturer" localSheetId="6">Manufacturer!$B$3:$B$3</definedName>
    <definedName name="Mass0" localSheetId="11">Quality!$B$11</definedName>
    <definedName name="Mass1" localSheetId="11">Quality!$C$11</definedName>
    <definedName name="Mass2" localSheetId="11">Quality!$D$11</definedName>
    <definedName name="MaxHertz" localSheetId="12">QAProcess!$F$6</definedName>
    <definedName name="MaxSpaceVelocity" localSheetId="12">QAProcess!$F$5</definedName>
    <definedName name="ML_HR" localSheetId="8">DPF!$C$14:$C$15</definedName>
    <definedName name="NoteCompany">Company!$E$3</definedName>
    <definedName name="NoteCompanyLocation">CompanyLocation!$D$4</definedName>
    <definedName name="NoteContacts">Contacts!$D$3</definedName>
    <definedName name="NoteDPF">DPF!$E$4</definedName>
    <definedName name="NoteECD">ECD!$E$3</definedName>
    <definedName name="NoteEngine">Engine!$D$3</definedName>
    <definedName name="NoteManufacturer" localSheetId="6">Manufacturer!$E$3</definedName>
    <definedName name="NoteQAProcess">QAProcess!$I$4</definedName>
    <definedName name="NoteQuality">Quality!$F$4</definedName>
    <definedName name="NoteReport">Report!$A$1</definedName>
    <definedName name="NoteVehicle">Vehicle!$D$3</definedName>
    <definedName name="P0a" localSheetId="12">QAProcess!$I$11</definedName>
    <definedName name="P0AirTemp" localSheetId="12">QAProcess!$D$11</definedName>
    <definedName name="P0b" localSheetId="12">QAProcess!$I$12</definedName>
    <definedName name="P0BackPress" localSheetId="12">QAProcess!$D$13</definedName>
    <definedName name="P0BaroPress" localSheetId="12">QAProcess!$D$12</definedName>
    <definedName name="P0c" localSheetId="10">[1]QAProcess!$H$36</definedName>
    <definedName name="P0c">QAProcess!$I$13</definedName>
    <definedName name="P0PSI" localSheetId="12">QAProcess!$D$16:$D$26</definedName>
    <definedName name="P0SV" localSheetId="12">QAProcess!$G$16:$G$26</definedName>
    <definedName name="P1a" localSheetId="12">QAProcess!$I$28</definedName>
    <definedName name="P1AirTemp" localSheetId="12">QAProcess!$D$28</definedName>
    <definedName name="P1b" localSheetId="12">QAProcess!$I$29</definedName>
    <definedName name="P1BackPress" localSheetId="12">QAProcess!$D$30</definedName>
    <definedName name="P1BaroPress" localSheetId="12">QAProcess!$D$29</definedName>
    <definedName name="P1c" localSheetId="12">QAProcess!$I$30</definedName>
    <definedName name="P1PSI" localSheetId="12">QAProcess!$D$33:$D$43</definedName>
    <definedName name="P1SV" localSheetId="12">QAProcess!$G$33:$G$43</definedName>
    <definedName name="P2a" localSheetId="12">QAProcess!$I$45</definedName>
    <definedName name="P2AirTemp" localSheetId="12">QAProcess!$D$45</definedName>
    <definedName name="P2b" localSheetId="12">QAProcess!$I$46</definedName>
    <definedName name="P2BackPress" localSheetId="12">QAProcess!$D$47</definedName>
    <definedName name="P2BaroPress" localSheetId="12">QAProcess!$D$46</definedName>
    <definedName name="P2c" localSheetId="12">QAProcess!$I$47</definedName>
    <definedName name="P2PSI">QAProcess!$D$50:$D$60</definedName>
    <definedName name="P2SV" localSheetId="12">QAProcess!$G$50:$G$60</definedName>
    <definedName name="SubDiameter" localSheetId="12">QAProcess!$C$5</definedName>
    <definedName name="SubDiameter">Quality!$B$4</definedName>
    <definedName name="SubLength" localSheetId="12">QAProcess!$C$6</definedName>
    <definedName name="SubLength">Quality!$B$5</definedName>
    <definedName name="vehicle" localSheetId="8">DPF!#REF!</definedName>
    <definedName name="vehicle" localSheetId="4">Vehicle!$B$3:$B$9</definedName>
    <definedName name="Volume" localSheetId="12">QAProcess!$C$7</definedName>
    <definedName name="Volume">Quality!$B$6</definedName>
    <definedName name="WorkorderIDQAProcess">QAProcess!$C$3</definedName>
    <definedName name="WorkOrderIDQuality">Quality!$B$2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6" i="18" l="1"/>
  <c r="B7" i="18" s="1"/>
  <c r="E11" i="18" l="1"/>
  <c r="I60" i="19" l="1"/>
  <c r="I59" i="19"/>
  <c r="I58" i="19"/>
  <c r="I57" i="19"/>
  <c r="I56" i="19"/>
  <c r="I55" i="19"/>
  <c r="I54" i="19"/>
  <c r="I53" i="19"/>
  <c r="I52" i="19"/>
  <c r="I51" i="19"/>
  <c r="I50" i="19"/>
  <c r="I43" i="19"/>
  <c r="I42" i="19"/>
  <c r="I41" i="19"/>
  <c r="I40" i="19"/>
  <c r="I39" i="19"/>
  <c r="I38" i="19"/>
  <c r="I37" i="19"/>
  <c r="I36" i="19"/>
  <c r="I35" i="19"/>
  <c r="I34" i="19"/>
  <c r="I33" i="19"/>
  <c r="I26" i="19"/>
  <c r="I25" i="19"/>
  <c r="I24" i="19"/>
  <c r="I23" i="19"/>
  <c r="I22" i="19"/>
  <c r="I21" i="19"/>
  <c r="I20" i="19"/>
  <c r="I19" i="19"/>
  <c r="I18" i="19"/>
  <c r="I17" i="19"/>
  <c r="I16" i="19"/>
  <c r="C7" i="19"/>
  <c r="C8" i="19" s="1"/>
  <c r="F7" i="19" l="1"/>
  <c r="F8" i="19" s="1"/>
  <c r="H60" i="19"/>
  <c r="H59" i="19"/>
  <c r="H58" i="19"/>
  <c r="H57" i="19"/>
  <c r="H56" i="19"/>
  <c r="H55" i="19"/>
  <c r="H54" i="19"/>
  <c r="H53" i="19"/>
  <c r="H52" i="19"/>
  <c r="H51" i="19"/>
  <c r="H50" i="19"/>
  <c r="H43" i="19"/>
  <c r="H42" i="19"/>
  <c r="H41" i="19"/>
  <c r="H40" i="19"/>
  <c r="H39" i="19"/>
  <c r="H38" i="19"/>
  <c r="H37" i="19"/>
  <c r="H36" i="19"/>
  <c r="H35" i="19"/>
  <c r="H34" i="19"/>
  <c r="H33" i="19"/>
  <c r="H26" i="19"/>
  <c r="H25" i="19"/>
  <c r="H24" i="19"/>
  <c r="H23" i="19"/>
  <c r="H22" i="19"/>
  <c r="H21" i="19"/>
  <c r="H20" i="19"/>
  <c r="H19" i="19"/>
  <c r="H18" i="19"/>
  <c r="H17" i="19"/>
  <c r="H16" i="19"/>
  <c r="B60" i="19" l="1"/>
  <c r="C60" i="19" s="1"/>
  <c r="E60" i="19" s="1"/>
  <c r="F60" i="19" s="1"/>
  <c r="B59" i="19"/>
  <c r="C59" i="19" s="1"/>
  <c r="E59" i="19" s="1"/>
  <c r="F59" i="19" s="1"/>
  <c r="B58" i="19"/>
  <c r="C58" i="19" s="1"/>
  <c r="E58" i="19" s="1"/>
  <c r="F58" i="19" s="1"/>
  <c r="B57" i="19"/>
  <c r="C57" i="19" s="1"/>
  <c r="E57" i="19" s="1"/>
  <c r="F57" i="19" s="1"/>
  <c r="B56" i="19"/>
  <c r="C56" i="19" s="1"/>
  <c r="E56" i="19" s="1"/>
  <c r="F56" i="19" s="1"/>
  <c r="B55" i="19"/>
  <c r="C55" i="19" s="1"/>
  <c r="E55" i="19" s="1"/>
  <c r="F55" i="19" s="1"/>
  <c r="B54" i="19"/>
  <c r="C54" i="19" s="1"/>
  <c r="E54" i="19" s="1"/>
  <c r="F54" i="19" s="1"/>
  <c r="B53" i="19"/>
  <c r="C53" i="19" s="1"/>
  <c r="E53" i="19" s="1"/>
  <c r="F53" i="19" s="1"/>
  <c r="B52" i="19"/>
  <c r="C52" i="19" s="1"/>
  <c r="E52" i="19" s="1"/>
  <c r="F52" i="19" s="1"/>
  <c r="B51" i="19"/>
  <c r="C51" i="19" s="1"/>
  <c r="E51" i="19" s="1"/>
  <c r="F51" i="19" s="1"/>
  <c r="B50" i="19"/>
  <c r="C50" i="19" s="1"/>
  <c r="E50" i="19" s="1"/>
  <c r="F50" i="19" s="1"/>
  <c r="B43" i="19"/>
  <c r="C43" i="19" s="1"/>
  <c r="E43" i="19" s="1"/>
  <c r="F43" i="19" s="1"/>
  <c r="B42" i="19"/>
  <c r="C42" i="19" s="1"/>
  <c r="E42" i="19" s="1"/>
  <c r="F42" i="19" s="1"/>
  <c r="B41" i="19"/>
  <c r="C41" i="19" s="1"/>
  <c r="E41" i="19" s="1"/>
  <c r="F41" i="19" s="1"/>
  <c r="B40" i="19"/>
  <c r="C40" i="19" s="1"/>
  <c r="E40" i="19" s="1"/>
  <c r="F40" i="19" s="1"/>
  <c r="B39" i="19"/>
  <c r="C39" i="19" s="1"/>
  <c r="E39" i="19" s="1"/>
  <c r="F39" i="19" s="1"/>
  <c r="B38" i="19"/>
  <c r="C38" i="19" s="1"/>
  <c r="E38" i="19" s="1"/>
  <c r="F38" i="19" s="1"/>
  <c r="B37" i="19"/>
  <c r="C37" i="19" s="1"/>
  <c r="E37" i="19" s="1"/>
  <c r="F37" i="19" s="1"/>
  <c r="B36" i="19"/>
  <c r="C36" i="19" s="1"/>
  <c r="E36" i="19" s="1"/>
  <c r="F36" i="19" s="1"/>
  <c r="B35" i="19"/>
  <c r="C35" i="19" s="1"/>
  <c r="E35" i="19" s="1"/>
  <c r="F35" i="19" s="1"/>
  <c r="B34" i="19"/>
  <c r="C34" i="19" s="1"/>
  <c r="E34" i="19" s="1"/>
  <c r="F34" i="19" s="1"/>
  <c r="B33" i="19"/>
  <c r="C33" i="19" s="1"/>
  <c r="E33" i="19" s="1"/>
  <c r="F33" i="19" s="1"/>
  <c r="B26" i="19"/>
  <c r="C26" i="19" s="1"/>
  <c r="E26" i="19" s="1"/>
  <c r="F26" i="19" s="1"/>
  <c r="B25" i="19"/>
  <c r="C25" i="19" s="1"/>
  <c r="E25" i="19" s="1"/>
  <c r="F25" i="19" s="1"/>
  <c r="B24" i="19"/>
  <c r="C24" i="19" s="1"/>
  <c r="E24" i="19" s="1"/>
  <c r="F24" i="19" s="1"/>
  <c r="B23" i="19"/>
  <c r="C23" i="19" s="1"/>
  <c r="E23" i="19" s="1"/>
  <c r="F23" i="19" s="1"/>
  <c r="B22" i="19"/>
  <c r="C22" i="19" s="1"/>
  <c r="E22" i="19" s="1"/>
  <c r="F22" i="19" s="1"/>
  <c r="B21" i="19"/>
  <c r="C21" i="19" s="1"/>
  <c r="E21" i="19" s="1"/>
  <c r="F21" i="19" s="1"/>
  <c r="B20" i="19"/>
  <c r="C20" i="19" s="1"/>
  <c r="E20" i="19" s="1"/>
  <c r="F20" i="19" s="1"/>
  <c r="B19" i="19"/>
  <c r="C19" i="19" s="1"/>
  <c r="E19" i="19" s="1"/>
  <c r="F19" i="19" s="1"/>
  <c r="B18" i="19"/>
  <c r="C18" i="19" s="1"/>
  <c r="E18" i="19" s="1"/>
  <c r="F18" i="19" s="1"/>
  <c r="B16" i="19"/>
  <c r="C16" i="19" s="1"/>
  <c r="E16" i="19" s="1"/>
  <c r="F16" i="19" s="1"/>
  <c r="B17" i="19"/>
  <c r="C17" i="19" s="1"/>
  <c r="E17" i="19" s="1"/>
  <c r="F17" i="19" s="1"/>
</calcChain>
</file>

<file path=xl/sharedStrings.xml><?xml version="1.0" encoding="utf-8"?>
<sst xmlns="http://schemas.openxmlformats.org/spreadsheetml/2006/main" count="461" uniqueCount="260">
  <si>
    <t>Sales Order No</t>
  </si>
  <si>
    <t>Address</t>
  </si>
  <si>
    <t>City</t>
  </si>
  <si>
    <t>State</t>
  </si>
  <si>
    <t>Zip</t>
  </si>
  <si>
    <t>First Name</t>
  </si>
  <si>
    <t>Last Name</t>
  </si>
  <si>
    <t xml:space="preserve"> </t>
  </si>
  <si>
    <t>Vehicle / Equipment Information</t>
  </si>
  <si>
    <t>Make</t>
  </si>
  <si>
    <t>Model</t>
  </si>
  <si>
    <t>Year</t>
  </si>
  <si>
    <t>Engine Information</t>
  </si>
  <si>
    <t>Other Number</t>
  </si>
  <si>
    <t>Manufacturer</t>
  </si>
  <si>
    <t>Outer Diameter(inch)</t>
  </si>
  <si>
    <t>Substrate Diameter(inch)</t>
  </si>
  <si>
    <t>Outer Length(inch)</t>
  </si>
  <si>
    <t>Substrate Length(inch)</t>
  </si>
  <si>
    <t>Over the Road/Highway</t>
  </si>
  <si>
    <t>Start and Stop</t>
  </si>
  <si>
    <t>High Idle</t>
  </si>
  <si>
    <t>Other</t>
  </si>
  <si>
    <t>Preventive Maint./Ash Cleaning Interval</t>
  </si>
  <si>
    <t>High Soot Load / CEL Warning</t>
  </si>
  <si>
    <t>Engine Failure/Fluids in Exhaust Stream</t>
  </si>
  <si>
    <t>Other (please describe)</t>
  </si>
  <si>
    <t>Active</t>
  </si>
  <si>
    <t>Address2</t>
  </si>
  <si>
    <t>Location</t>
  </si>
  <si>
    <t>Location Name</t>
  </si>
  <si>
    <t>Serial #</t>
  </si>
  <si>
    <t>Asset #</t>
  </si>
  <si>
    <t xml:space="preserve">Manufacturer </t>
  </si>
  <si>
    <t>Company</t>
  </si>
  <si>
    <t xml:space="preserve">Type of ECD </t>
  </si>
  <si>
    <t xml:space="preserve">Serial Number </t>
  </si>
  <si>
    <t xml:space="preserve">Part Number </t>
  </si>
  <si>
    <t xml:space="preserve">Type of Substrate </t>
  </si>
  <si>
    <t>Email</t>
  </si>
  <si>
    <t>Phone</t>
  </si>
  <si>
    <t>Contacts</t>
  </si>
  <si>
    <t>Contacts ID</t>
  </si>
  <si>
    <t>Company:</t>
  </si>
  <si>
    <t>Address:</t>
  </si>
  <si>
    <t>Address2:</t>
  </si>
  <si>
    <t>City:</t>
  </si>
  <si>
    <t>State:</t>
  </si>
  <si>
    <t>Zip:</t>
  </si>
  <si>
    <t>Active:</t>
  </si>
  <si>
    <t>As</t>
  </si>
  <si>
    <t>Post</t>
  </si>
  <si>
    <t>Received</t>
  </si>
  <si>
    <t>Process 1</t>
  </si>
  <si>
    <t>Process 2</t>
  </si>
  <si>
    <t>ECD Mass</t>
  </si>
  <si>
    <t>Ultrasound Signal Received</t>
  </si>
  <si>
    <t>ECD Pin Drop Depth</t>
  </si>
  <si>
    <t>Inlet cells</t>
  </si>
  <si>
    <t>As Received</t>
  </si>
  <si>
    <t>Post Process</t>
  </si>
  <si>
    <t>12 o'clock</t>
  </si>
  <si>
    <t>3 o'clock</t>
  </si>
  <si>
    <t>6 o'clock</t>
  </si>
  <si>
    <t>9 o'clock</t>
  </si>
  <si>
    <t>center</t>
  </si>
  <si>
    <t>Ash on Face</t>
  </si>
  <si>
    <t>Breach</t>
  </si>
  <si>
    <t xml:space="preserve">Substrate </t>
  </si>
  <si>
    <t>Red color ash</t>
  </si>
  <si>
    <t>Indication of Coolant</t>
  </si>
  <si>
    <t>Staining/Color</t>
  </si>
  <si>
    <t>Measured Air Temperature</t>
  </si>
  <si>
    <t>oF</t>
  </si>
  <si>
    <t>Measured Barometric Pressure</t>
  </si>
  <si>
    <t>psi</t>
  </si>
  <si>
    <t>Measured Back Pressure</t>
  </si>
  <si>
    <t>Blower Settings</t>
  </si>
  <si>
    <t>Theoretical</t>
  </si>
  <si>
    <t>Measured</t>
  </si>
  <si>
    <t>Corrected</t>
  </si>
  <si>
    <t>Modeled Data</t>
  </si>
  <si>
    <t>HZ</t>
  </si>
  <si>
    <t>ACFM</t>
  </si>
  <si>
    <t>PSI</t>
  </si>
  <si>
    <t>Space Vel. 1/hr</t>
  </si>
  <si>
    <t>Space Velocity</t>
  </si>
  <si>
    <t>BP - Psi</t>
  </si>
  <si>
    <t>Coefficients:</t>
  </si>
  <si>
    <t>a</t>
  </si>
  <si>
    <t>b</t>
  </si>
  <si>
    <t>c</t>
  </si>
  <si>
    <t>1 /hour</t>
  </si>
  <si>
    <t>Hertz</t>
  </si>
  <si>
    <t>WorkOrderID</t>
  </si>
  <si>
    <t>PreventMaintAshCleanInter</t>
  </si>
  <si>
    <t>HighSootCEL</t>
  </si>
  <si>
    <t>EngineFailureFluidsInExhaust</t>
  </si>
  <si>
    <t>RoadHighway</t>
  </si>
  <si>
    <t>StartStop</t>
  </si>
  <si>
    <t>HighIdle</t>
  </si>
  <si>
    <t>CompanyName</t>
  </si>
  <si>
    <t>BillingAddress1</t>
  </si>
  <si>
    <t>BillingAddress2</t>
  </si>
  <si>
    <t>BillingCity</t>
  </si>
  <si>
    <t>BillingZip</t>
  </si>
  <si>
    <t>Address1</t>
  </si>
  <si>
    <t>SerialNumber</t>
  </si>
  <si>
    <t>AssetNumber</t>
  </si>
  <si>
    <t>SubstrateType</t>
  </si>
  <si>
    <t>DeviceType</t>
  </si>
  <si>
    <t>TimesCleaned</t>
  </si>
  <si>
    <t>PartNumber</t>
  </si>
  <si>
    <t>OtherNumber</t>
  </si>
  <si>
    <t>OuterDiameter</t>
  </si>
  <si>
    <t>SubstrateDiameter</t>
  </si>
  <si>
    <t>OuterLength</t>
  </si>
  <si>
    <t>SubstrateLength</t>
  </si>
  <si>
    <t>Caterpillar</t>
  </si>
  <si>
    <t>DPF</t>
  </si>
  <si>
    <t>Coolant</t>
  </si>
  <si>
    <t>RedAsh</t>
  </si>
  <si>
    <t>USignalReceived</t>
  </si>
  <si>
    <t>ECDPinDropDepth</t>
  </si>
  <si>
    <t>CleanChannels</t>
  </si>
  <si>
    <t>TargetMaxSpaceVelocity</t>
  </si>
  <si>
    <t>MaxHertz</t>
  </si>
  <si>
    <t>ProcessID</t>
  </si>
  <si>
    <t>AirTemp</t>
  </si>
  <si>
    <t>BarometricPressure</t>
  </si>
  <si>
    <t>BackPressure</t>
  </si>
  <si>
    <t>ECDMass</t>
  </si>
  <si>
    <t>InletCell03</t>
  </si>
  <si>
    <t>InletCell06</t>
  </si>
  <si>
    <t>InletCell09</t>
  </si>
  <si>
    <t>InletCell12</t>
  </si>
  <si>
    <t>InletCellCenter</t>
  </si>
  <si>
    <t>Coefficient_a</t>
  </si>
  <si>
    <t>Coefficient_b</t>
  </si>
  <si>
    <t>Coefficient_c</t>
  </si>
  <si>
    <t>PSI1</t>
  </si>
  <si>
    <t>PSI2</t>
  </si>
  <si>
    <t>PSI3</t>
  </si>
  <si>
    <t>PSI4</t>
  </si>
  <si>
    <t>PSI5</t>
  </si>
  <si>
    <t>PSI6</t>
  </si>
  <si>
    <t>PSI7</t>
  </si>
  <si>
    <t>PSI8</t>
  </si>
  <si>
    <t>PSI9</t>
  </si>
  <si>
    <t>PSI10</t>
  </si>
  <si>
    <t>PSI11</t>
  </si>
  <si>
    <t>SV1</t>
  </si>
  <si>
    <t>SV2</t>
  </si>
  <si>
    <t>SV3</t>
  </si>
  <si>
    <t>SV4</t>
  </si>
  <si>
    <t>SV5</t>
  </si>
  <si>
    <t>SV6</t>
  </si>
  <si>
    <t>SV7</t>
  </si>
  <si>
    <t>SV8</t>
  </si>
  <si>
    <t>SV9</t>
  </si>
  <si>
    <t>SV10</t>
  </si>
  <si>
    <t>SV11</t>
  </si>
  <si>
    <t>Soot On  Face</t>
  </si>
  <si>
    <t>Ash Color</t>
  </si>
  <si>
    <t>Contact</t>
  </si>
  <si>
    <t>WorkOrderStatus</t>
  </si>
  <si>
    <t>CleaningReason</t>
  </si>
  <si>
    <t>DrivingType</t>
  </si>
  <si>
    <t>Billing Contact:</t>
  </si>
  <si>
    <t>Volume ft3</t>
  </si>
  <si>
    <t>Volume Liter</t>
  </si>
  <si>
    <t xml:space="preserve">Billing Company Information </t>
  </si>
  <si>
    <t xml:space="preserve">Customer Information </t>
  </si>
  <si>
    <t>Work Order ID</t>
  </si>
  <si>
    <t>BillingCompanyName</t>
  </si>
  <si>
    <t>BillingState</t>
  </si>
  <si>
    <t>WODate</t>
  </si>
  <si>
    <t>Fuel /Oil</t>
  </si>
  <si>
    <t>Engine / EGR Coolant</t>
  </si>
  <si>
    <t>Wear / Corrosion (rust)</t>
  </si>
  <si>
    <t>Substrate Overal Condition</t>
  </si>
  <si>
    <t>Report Template</t>
  </si>
  <si>
    <t>EngineEGRCoolant</t>
  </si>
  <si>
    <t>WearCorrosion</t>
  </si>
  <si>
    <t>FuelOil</t>
  </si>
  <si>
    <t>ContaminantsOther</t>
  </si>
  <si>
    <t>Company Initials:</t>
  </si>
  <si>
    <t>Miliage as of last knowen cleaning</t>
  </si>
  <si>
    <t>Hours as of last knowen cleaning</t>
  </si>
  <si>
    <t/>
  </si>
  <si>
    <t>Record Saved</t>
  </si>
  <si>
    <t>Aqua Wastewater Management Inc.</t>
  </si>
  <si>
    <t>60 Schoolhouse &amp; Rd.</t>
  </si>
  <si>
    <t>Souderton</t>
  </si>
  <si>
    <t>18964</t>
  </si>
  <si>
    <t>AWM</t>
  </si>
  <si>
    <t>Description</t>
  </si>
  <si>
    <t>Chevy</t>
  </si>
  <si>
    <t>VIN / Serial #</t>
  </si>
  <si>
    <t>Contaminats</t>
  </si>
  <si>
    <t>SalesNo</t>
  </si>
  <si>
    <t>VehicleMileage</t>
  </si>
  <si>
    <t>VehicleHours</t>
  </si>
  <si>
    <t>CompanyInitials</t>
  </si>
  <si>
    <t>MileageInitialCleaning</t>
  </si>
  <si>
    <t>HoursInitialCleaning</t>
  </si>
  <si>
    <t>Frank Desimone</t>
  </si>
  <si>
    <t>Delta</t>
  </si>
  <si>
    <t>WorkOrder ID</t>
  </si>
  <si>
    <t>Max Hz Allowed</t>
  </si>
  <si>
    <t>Target Max Space Vl</t>
  </si>
  <si>
    <t>Hz @ Target Max Space Vl</t>
  </si>
  <si>
    <t>Max Hz Set Point</t>
  </si>
  <si>
    <t>serial #2</t>
  </si>
  <si>
    <t>frank tesdt</t>
  </si>
  <si>
    <t>75 Creamery RF</t>
  </si>
  <si>
    <t>Pottstown</t>
  </si>
  <si>
    <t>Job Site Address</t>
  </si>
  <si>
    <t>Job Contact Name</t>
  </si>
  <si>
    <t>Emission Control Unit (ECU) Information</t>
  </si>
  <si>
    <t>Vehicle / Equipment Current Mileage</t>
  </si>
  <si>
    <t>Vehicle / Equipment Current Hours</t>
  </si>
  <si>
    <t>Tracking #</t>
  </si>
  <si>
    <t>111222 / 222111</t>
  </si>
  <si>
    <t>Substrate description - Post Cleaning</t>
  </si>
  <si>
    <t>Substrate Volume (ft)</t>
  </si>
  <si>
    <t>Substratge Volume (L)</t>
  </si>
  <si>
    <t>ECU ID No</t>
  </si>
  <si>
    <t>Work Order No</t>
  </si>
  <si>
    <t xml:space="preserve">Silicon carbide_x000D_
</t>
  </si>
  <si>
    <t>111222</t>
  </si>
  <si>
    <t>222111</t>
  </si>
  <si>
    <t>TrackingNo</t>
  </si>
  <si>
    <t>QAAshOnFace</t>
  </si>
  <si>
    <t>QASootOnFace</t>
  </si>
  <si>
    <t>QASubstrateOveralCondition</t>
  </si>
  <si>
    <t>QASubstrateCraking</t>
  </si>
  <si>
    <t>serial # a</t>
  </si>
  <si>
    <t>asset a</t>
  </si>
  <si>
    <t>model a</t>
  </si>
  <si>
    <t>ECDManufacturer</t>
  </si>
  <si>
    <t>AshColor</t>
  </si>
  <si>
    <t>QAOutletColor</t>
  </si>
  <si>
    <t>QABreachChannels</t>
  </si>
  <si>
    <t>AWM-39</t>
  </si>
  <si>
    <t>Contact 1</t>
  </si>
  <si>
    <t>Tracking # 1</t>
  </si>
  <si>
    <t>Vehicle Sale / Purchase</t>
  </si>
  <si>
    <t>Non-Road / Off-Road</t>
  </si>
  <si>
    <t>NJ</t>
  </si>
  <si>
    <t>Serial123</t>
  </si>
  <si>
    <t>Modl123</t>
  </si>
  <si>
    <t>Heavy</t>
  </si>
  <si>
    <t>WHite</t>
  </si>
  <si>
    <t>Light</t>
  </si>
  <si>
    <t>Grey</t>
  </si>
  <si>
    <t>Like New</t>
  </si>
  <si>
    <t>None</t>
  </si>
  <si>
    <t>&lt;15</t>
  </si>
  <si>
    <t>v 1.0.5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</si>
</sst>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mm/dd/yy;@"/>
    <numFmt numFmtId="165" formatCode="0.000"/>
    <numFmt numFmtId="166" formatCode="0.0"/>
    <numFmt numFmtId="167" formatCode="#,##0.000"/>
    <numFmt numFmtId="168" formatCode="0.000E+00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sz val="11"/>
      <color theme="1"/>
      <name val="Calibri"/>
      <family val="2"/>
    </font>
    <font>
      <sz val="11"/>
      <color rgb="FFC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7" tint="0.59996337778862885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15">
    <xf numFmtId="0" fontId="0" fillId="0" borderId="0" xfId="0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1" fillId="0" borderId="0" xfId="0" applyFont="1" applyAlignment="1">
      <alignment horizontal="center" vertical="center"/>
    </xf>
    <xf numFmtId="2" fontId="0" fillId="0" borderId="0" xfId="0" applyNumberFormat="1" applyAlignment="1">
      <alignment horizontal="left"/>
    </xf>
    <xf numFmtId="0" fontId="2" fillId="0" borderId="0" xfId="0" applyFont="1" applyAlignment="1">
      <alignment horizontal="right" vertical="center" indent="2"/>
    </xf>
    <xf numFmtId="1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indent="2"/>
    </xf>
    <xf numFmtId="0" fontId="0" fillId="0" borderId="0" xfId="0" applyAlignment="1">
      <alignment horizontal="left" indent="2"/>
    </xf>
    <xf numFmtId="0" fontId="0" fillId="0" borderId="0" xfId="0" applyAlignment="1">
      <alignment horizontal="right"/>
    </xf>
    <xf numFmtId="0" fontId="2" fillId="0" borderId="1" xfId="0" applyFont="1" applyBorder="1" applyAlignment="1">
      <alignment horizontal="right" vertical="center" indent="2"/>
    </xf>
    <xf numFmtId="2" fontId="0" fillId="3" borderId="1" xfId="0" applyNumberFormat="1" applyFill="1" applyBorder="1" applyAlignment="1" applyProtection="1">
      <alignment horizontal="left" vertical="center" indent="2"/>
      <protection locked="0"/>
    </xf>
    <xf numFmtId="0" fontId="4" fillId="2" borderId="1" xfId="0" applyFont="1" applyFill="1" applyBorder="1" applyAlignment="1" applyProtection="1">
      <alignment horizontal="left" vertical="center" indent="2"/>
      <protection locked="0"/>
    </xf>
    <xf numFmtId="0" fontId="0" fillId="3" borderId="1" xfId="0" applyFill="1" applyBorder="1" applyAlignment="1" applyProtection="1">
      <alignment horizontal="left" vertical="center" indent="2"/>
      <protection locked="0"/>
    </xf>
    <xf numFmtId="0" fontId="4" fillId="3" borderId="1" xfId="0" applyFont="1" applyFill="1" applyBorder="1" applyAlignment="1" applyProtection="1">
      <alignment horizontal="left" vertical="center" indent="2"/>
      <protection locked="0"/>
    </xf>
    <xf numFmtId="0" fontId="5" fillId="3" borderId="1" xfId="1" applyFill="1" applyBorder="1" applyAlignment="1" applyProtection="1">
      <alignment horizontal="left" vertical="center" indent="2"/>
      <protection locked="0"/>
    </xf>
    <xf numFmtId="0" fontId="6" fillId="0" borderId="0" xfId="0" applyFont="1" applyAlignment="1">
      <alignment horizontal="centerContinuous" vertical="center"/>
    </xf>
    <xf numFmtId="0" fontId="7" fillId="0" borderId="0" xfId="0" applyFont="1" applyAlignment="1" applyProtection="1">
      <alignment horizontal="left" vertical="center"/>
      <protection locked="0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center"/>
    </xf>
    <xf numFmtId="2" fontId="0" fillId="0" borderId="0" xfId="0" applyNumberFormat="1"/>
    <xf numFmtId="2" fontId="0" fillId="0" borderId="0" xfId="0" applyNumberFormat="1" applyAlignment="1">
      <alignment horizontal="left" indent="1"/>
    </xf>
    <xf numFmtId="165" fontId="0" fillId="0" borderId="0" xfId="0" applyNumberFormat="1"/>
    <xf numFmtId="3" fontId="0" fillId="0" borderId="0" xfId="0" applyNumberFormat="1"/>
    <xf numFmtId="0" fontId="8" fillId="0" borderId="0" xfId="0" applyFont="1"/>
    <xf numFmtId="11" fontId="0" fillId="0" borderId="0" xfId="0" applyNumberFormat="1"/>
    <xf numFmtId="164" fontId="0" fillId="0" borderId="0" xfId="0" applyNumberFormat="1" applyAlignment="1">
      <alignment horizontal="left"/>
    </xf>
    <xf numFmtId="167" fontId="0" fillId="0" borderId="0" xfId="0" applyNumberFormat="1"/>
    <xf numFmtId="0" fontId="0" fillId="3" borderId="2" xfId="0" applyFill="1" applyBorder="1"/>
    <xf numFmtId="0" fontId="0" fillId="3" borderId="3" xfId="0" applyFill="1" applyBorder="1"/>
    <xf numFmtId="0" fontId="0" fillId="3" borderId="5" xfId="0" applyFill="1" applyBorder="1"/>
    <xf numFmtId="0" fontId="0" fillId="3" borderId="0" xfId="0" applyFill="1"/>
    <xf numFmtId="0" fontId="0" fillId="3" borderId="8" xfId="0" applyFill="1" applyBorder="1"/>
    <xf numFmtId="0" fontId="10" fillId="0" borderId="0" xfId="0" applyFont="1"/>
    <xf numFmtId="0" fontId="0" fillId="3" borderId="1" xfId="0" applyFill="1" applyBorder="1" applyAlignment="1" applyProtection="1">
      <alignment horizontal="left" vertical="center"/>
      <protection locked="0"/>
    </xf>
    <xf numFmtId="14" fontId="0" fillId="0" borderId="0" xfId="0" applyNumberFormat="1"/>
    <xf numFmtId="0" fontId="7" fillId="0" borderId="0" xfId="0" applyFont="1" applyAlignment="1">
      <alignment vertical="top"/>
    </xf>
    <xf numFmtId="0" fontId="0" fillId="0" borderId="0" xfId="0" applyAlignment="1">
      <alignment horizontal="right" vertical="top"/>
    </xf>
    <xf numFmtId="2" fontId="0" fillId="0" borderId="0" xfId="0" applyNumberFormat="1" applyAlignment="1">
      <alignment horizontal="right"/>
    </xf>
    <xf numFmtId="0" fontId="2" fillId="0" borderId="0" xfId="0" applyFont="1" applyAlignment="1">
      <alignment horizontal="right" vertical="center"/>
    </xf>
    <xf numFmtId="2" fontId="0" fillId="0" borderId="0" xfId="0" applyNumberFormat="1" applyAlignment="1">
      <alignment horizontal="right" vertical="center"/>
    </xf>
    <xf numFmtId="165" fontId="0" fillId="0" borderId="0" xfId="0" applyNumberFormat="1" applyAlignment="1">
      <alignment horizontal="right" vertical="center"/>
    </xf>
    <xf numFmtId="2" fontId="7" fillId="0" borderId="0" xfId="0" applyNumberFormat="1" applyFont="1" applyAlignment="1">
      <alignment horizontal="left" vertical="center"/>
    </xf>
    <xf numFmtId="2" fontId="0" fillId="3" borderId="1" xfId="0" applyNumberFormat="1" applyFill="1" applyBorder="1" applyAlignment="1">
      <alignment horizontal="right" vertical="center"/>
    </xf>
    <xf numFmtId="0" fontId="7" fillId="0" borderId="0" xfId="0" applyFont="1"/>
    <xf numFmtId="0" fontId="0" fillId="6" borderId="3" xfId="0" applyFill="1" applyBorder="1"/>
    <xf numFmtId="0" fontId="0" fillId="6" borderId="4" xfId="0" applyFill="1" applyBorder="1"/>
    <xf numFmtId="0" fontId="0" fillId="6" borderId="0" xfId="0" applyFill="1"/>
    <xf numFmtId="0" fontId="0" fillId="6" borderId="6" xfId="0" applyFill="1" applyBorder="1"/>
    <xf numFmtId="0" fontId="0" fillId="6" borderId="8" xfId="0" applyFill="1" applyBorder="1"/>
    <xf numFmtId="0" fontId="0" fillId="6" borderId="9" xfId="0" applyFill="1" applyBorder="1"/>
    <xf numFmtId="0" fontId="3" fillId="3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3" fontId="0" fillId="3" borderId="0" xfId="0" applyNumberFormat="1" applyFill="1" applyAlignment="1">
      <alignment horizontal="center"/>
    </xf>
    <xf numFmtId="0" fontId="11" fillId="3" borderId="7" xfId="0" applyFont="1" applyFill="1" applyBorder="1"/>
    <xf numFmtId="0" fontId="7" fillId="7" borderId="0" xfId="0" applyFont="1" applyFill="1" applyAlignment="1">
      <alignment vertical="top"/>
    </xf>
    <xf numFmtId="0" fontId="0" fillId="8" borderId="1" xfId="0" applyFill="1" applyBorder="1" applyAlignment="1" applyProtection="1">
      <alignment horizontal="left" vertical="center" indent="2"/>
      <protection locked="0"/>
    </xf>
    <xf numFmtId="0" fontId="12" fillId="8" borderId="1" xfId="0" applyFont="1" applyFill="1" applyBorder="1" applyAlignment="1" applyProtection="1">
      <alignment horizontal="left" vertical="center" indent="2"/>
      <protection locked="0"/>
    </xf>
    <xf numFmtId="165" fontId="0" fillId="0" borderId="0" xfId="0" applyNumberFormat="1" applyAlignment="1">
      <alignment horizontal="center" vertical="center"/>
    </xf>
    <xf numFmtId="2" fontId="0" fillId="9" borderId="1" xfId="0" applyNumberFormat="1" applyFill="1" applyBorder="1" applyAlignment="1">
      <alignment horizontal="right" vertical="center"/>
    </xf>
    <xf numFmtId="0" fontId="0" fillId="0" borderId="3" xfId="0" applyBorder="1"/>
    <xf numFmtId="3" fontId="0" fillId="0" borderId="3" xfId="0" applyNumberFormat="1" applyBorder="1" applyAlignment="1">
      <alignment horizontal="center"/>
    </xf>
    <xf numFmtId="0" fontId="9" fillId="0" borderId="5" xfId="0" applyFont="1" applyBorder="1" applyAlignment="1">
      <alignment horizontal="left"/>
    </xf>
    <xf numFmtId="0" fontId="0" fillId="0" borderId="0" xfId="0" applyBorder="1"/>
    <xf numFmtId="0" fontId="0" fillId="4" borderId="0" xfId="0" applyFill="1" applyBorder="1"/>
    <xf numFmtId="3" fontId="0" fillId="0" borderId="0" xfId="0" applyNumberFormat="1" applyBorder="1" applyAlignment="1">
      <alignment horizontal="center"/>
    </xf>
    <xf numFmtId="0" fontId="0" fillId="0" borderId="6" xfId="0" applyBorder="1"/>
    <xf numFmtId="165" fontId="0" fillId="4" borderId="0" xfId="0" applyNumberFormat="1" applyFill="1" applyBorder="1" applyAlignment="1">
      <alignment horizontal="center"/>
    </xf>
    <xf numFmtId="0" fontId="8" fillId="0" borderId="5" xfId="0" applyFont="1" applyBorder="1" applyAlignment="1">
      <alignment horizontal="left"/>
    </xf>
    <xf numFmtId="0" fontId="8" fillId="0" borderId="0" xfId="0" applyFont="1" applyBorder="1" applyAlignment="1">
      <alignment horizontal="center"/>
    </xf>
    <xf numFmtId="0" fontId="8" fillId="0" borderId="6" xfId="0" applyFont="1" applyBorder="1" applyAlignment="1">
      <alignment horizontal="center"/>
    </xf>
    <xf numFmtId="0" fontId="8" fillId="0" borderId="5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166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0" xfId="0" applyNumberFormat="1" applyFill="1" applyBorder="1"/>
    <xf numFmtId="1" fontId="0" fillId="5" borderId="0" xfId="0" applyNumberFormat="1" applyFill="1" applyBorder="1"/>
    <xf numFmtId="165" fontId="0" fillId="5" borderId="6" xfId="0" applyNumberFormat="1" applyFill="1" applyBorder="1"/>
    <xf numFmtId="166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" fontId="0" fillId="2" borderId="8" xfId="0" applyNumberFormat="1" applyFill="1" applyBorder="1"/>
    <xf numFmtId="1" fontId="0" fillId="5" borderId="8" xfId="0" applyNumberFormat="1" applyFill="1" applyBorder="1"/>
    <xf numFmtId="165" fontId="0" fillId="5" borderId="9" xfId="0" applyNumberFormat="1" applyFill="1" applyBorder="1"/>
    <xf numFmtId="0" fontId="8" fillId="0" borderId="0" xfId="0" applyFont="1" applyBorder="1"/>
    <xf numFmtId="0" fontId="8" fillId="0" borderId="5" xfId="0" applyFont="1" applyBorder="1" applyAlignment="1">
      <alignment horizontal="center"/>
    </xf>
    <xf numFmtId="0" fontId="9" fillId="0" borderId="2" xfId="0" applyFont="1" applyBorder="1" applyAlignment="1">
      <alignment horizontal="left"/>
    </xf>
    <xf numFmtId="0" fontId="0" fillId="4" borderId="3" xfId="0" applyFill="1" applyBorder="1"/>
    <xf numFmtId="3" fontId="0" fillId="4" borderId="0" xfId="0" applyNumberFormat="1" applyFill="1" applyBorder="1" applyAlignment="1">
      <alignment horizontal="center"/>
    </xf>
    <xf numFmtId="3" fontId="0" fillId="4" borderId="8" xfId="0" applyNumberFormat="1" applyFill="1" applyBorder="1" applyAlignment="1">
      <alignment horizontal="center"/>
    </xf>
    <xf numFmtId="168" fontId="0" fillId="4" borderId="4" xfId="0" applyNumberFormat="1" applyFill="1" applyBorder="1"/>
    <xf numFmtId="168" fontId="0" fillId="4" borderId="6" xfId="0" applyNumberFormat="1" applyFill="1" applyBorder="1"/>
    <xf numFmtId="0" fontId="2" fillId="0" borderId="0" xfId="0" applyFont="1" applyAlignment="1">
      <alignment vertical="center"/>
    </xf>
    <xf numFmtId="3" fontId="0" fillId="2" borderId="3" xfId="0" applyNumberFormat="1" applyFill="1" applyBorder="1" applyAlignment="1">
      <alignment horizontal="right"/>
    </xf>
    <xf numFmtId="0" fontId="8" fillId="0" borderId="4" xfId="0" applyFont="1" applyBorder="1"/>
    <xf numFmtId="0" fontId="2" fillId="0" borderId="5" xfId="0" applyFont="1" applyBorder="1" applyAlignment="1">
      <alignment horizontal="right" vertical="center" indent="2"/>
    </xf>
    <xf numFmtId="166" fontId="0" fillId="2" borderId="0" xfId="0" applyNumberFormat="1" applyFill="1" applyBorder="1"/>
    <xf numFmtId="166" fontId="0" fillId="2" borderId="0" xfId="0" applyNumberFormat="1" applyFill="1" applyBorder="1" applyAlignment="1">
      <alignment horizontal="right"/>
    </xf>
    <xf numFmtId="0" fontId="8" fillId="0" borderId="5" xfId="0" applyFont="1" applyBorder="1"/>
    <xf numFmtId="0" fontId="8" fillId="0" borderId="0" xfId="0" applyFont="1" applyBorder="1" applyAlignment="1">
      <alignment horizontal="left" vertical="center"/>
    </xf>
    <xf numFmtId="0" fontId="8" fillId="0" borderId="7" xfId="0" applyFont="1" applyBorder="1"/>
    <xf numFmtId="166" fontId="0" fillId="2" borderId="8" xfId="0" applyNumberFormat="1" applyFill="1" applyBorder="1"/>
    <xf numFmtId="0" fontId="8" fillId="0" borderId="8" xfId="0" applyFont="1" applyBorder="1" applyAlignment="1">
      <alignment horizontal="left" vertical="center"/>
    </xf>
    <xf numFmtId="0" fontId="0" fillId="0" borderId="8" xfId="0" applyBorder="1"/>
    <xf numFmtId="0" fontId="0" fillId="0" borderId="9" xfId="0" applyBorder="1"/>
    <xf numFmtId="166" fontId="0" fillId="2" borderId="8" xfId="0" applyNumberFormat="1" applyFill="1" applyBorder="1" applyAlignment="1">
      <alignment horizontal="right"/>
    </xf>
    <xf numFmtId="0" fontId="2" fillId="0" borderId="2" xfId="0" applyFont="1" applyBorder="1" applyAlignment="1">
      <alignment horizontal="right" vertical="center" indent="2"/>
    </xf>
    <xf numFmtId="166" fontId="0" fillId="2" borderId="3" xfId="0" applyNumberFormat="1" applyFill="1" applyBorder="1"/>
    <xf numFmtId="0" fontId="0" fillId="10" borderId="1" xfId="0" applyFill="1" applyBorder="1" applyAlignment="1">
      <alignment horizontal="center"/>
    </xf>
    <xf numFmtId="0" fontId="0" fillId="10" borderId="1" xfId="0" applyFill="1" applyBorder="1" applyAlignment="1">
      <alignment vertical="center"/>
    </xf>
    <xf numFmtId="0" fontId="0" fillId="3" borderId="1" xfId="0" applyFill="1" applyBorder="1" applyAlignment="1" applyProtection="1">
      <alignment horizontal="left" vertical="center" wrapText="1" indent="2"/>
      <protection locked="0"/>
    </xf>
    <xf numFmtId="166" fontId="0" fillId="10" borderId="1" xfId="0" applyNumberFormat="1" applyFill="1" applyBorder="1" applyAlignment="1">
      <alignment horizontal="center"/>
    </xf>
    <xf numFmtId="166" fontId="0" fillId="10" borderId="1" xfId="0" applyNumberFormat="1" applyFill="1" applyBorder="1" applyAlignment="1">
      <alignment horizontal="center" wrapText="1"/>
    </xf>
    <xf numFmtId="0" fontId="0" fillId="0" borderId="0" xfId="0" applyAlignment="1">
      <alignment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5.emf"/><Relationship Id="rId7" Type="http://schemas.openxmlformats.org/officeDocument/2006/relationships/image" Target="../media/image1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2.emf"/><Relationship Id="rId1" Type="http://schemas.openxmlformats.org/officeDocument/2006/relationships/image" Target="../media/image13.emf"/><Relationship Id="rId6" Type="http://schemas.openxmlformats.org/officeDocument/2006/relationships/image" Target="../media/image9.emf"/><Relationship Id="rId5" Type="http://schemas.openxmlformats.org/officeDocument/2006/relationships/image" Target="../media/image14.emf"/><Relationship Id="rId4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.emf"/><Relationship Id="rId2" Type="http://schemas.openxmlformats.org/officeDocument/2006/relationships/image" Target="../media/image18.emf"/><Relationship Id="rId1" Type="http://schemas.openxmlformats.org/officeDocument/2006/relationships/image" Target="../media/image19.emf"/><Relationship Id="rId6" Type="http://schemas.openxmlformats.org/officeDocument/2006/relationships/image" Target="../media/image20.emf"/><Relationship Id="rId5" Type="http://schemas.openxmlformats.org/officeDocument/2006/relationships/image" Target="../media/image15.emf"/><Relationship Id="rId4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Relationship Id="rId6" Type="http://schemas.openxmlformats.org/officeDocument/2006/relationships/image" Target="../media/image21.emf"/><Relationship Id="rId5" Type="http://schemas.openxmlformats.org/officeDocument/2006/relationships/image" Target="../media/image26.emf"/><Relationship Id="rId4" Type="http://schemas.openxmlformats.org/officeDocument/2006/relationships/image" Target="../media/image2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9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6" Type="http://schemas.openxmlformats.org/officeDocument/2006/relationships/image" Target="../media/image27.emf"/><Relationship Id="rId5" Type="http://schemas.openxmlformats.org/officeDocument/2006/relationships/image" Target="../media/image32.emf"/><Relationship Id="rId4" Type="http://schemas.openxmlformats.org/officeDocument/2006/relationships/image" Target="../media/image28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6" Type="http://schemas.openxmlformats.org/officeDocument/2006/relationships/image" Target="../media/image38.emf"/><Relationship Id="rId5" Type="http://schemas.openxmlformats.org/officeDocument/2006/relationships/image" Target="../media/image37.emf"/><Relationship Id="rId4" Type="http://schemas.openxmlformats.org/officeDocument/2006/relationships/image" Target="../media/image33.emf"/></Relationships>
</file>

<file path=xl/drawings/_rels/vmlDrawing7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1.emf"/><Relationship Id="rId1" Type="http://schemas.openxmlformats.org/officeDocument/2006/relationships/image" Target="../media/image40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45.emf"/><Relationship Id="rId7" Type="http://schemas.openxmlformats.org/officeDocument/2006/relationships/image" Target="../media/image48.emf"/><Relationship Id="rId2" Type="http://schemas.openxmlformats.org/officeDocument/2006/relationships/image" Target="../media/image44.emf"/><Relationship Id="rId1" Type="http://schemas.openxmlformats.org/officeDocument/2006/relationships/image" Target="../media/image43.emf"/><Relationship Id="rId6" Type="http://schemas.openxmlformats.org/officeDocument/2006/relationships/image" Target="../media/image42.emf"/><Relationship Id="rId5" Type="http://schemas.openxmlformats.org/officeDocument/2006/relationships/image" Target="../media/image47.emf"/><Relationship Id="rId4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8" Type="http://schemas.openxmlformats.org/officeDocument/2006/relationships/image" Target="../media/image57.emf"/><Relationship Id="rId13" Type="http://schemas.openxmlformats.org/officeDocument/2006/relationships/image" Target="../media/image62.emf"/><Relationship Id="rId3" Type="http://schemas.openxmlformats.org/officeDocument/2006/relationships/image" Target="../media/image51.emf"/><Relationship Id="rId7" Type="http://schemas.openxmlformats.org/officeDocument/2006/relationships/image" Target="../media/image50.emf"/><Relationship Id="rId12" Type="http://schemas.openxmlformats.org/officeDocument/2006/relationships/image" Target="../media/image61.emf"/><Relationship Id="rId2" Type="http://schemas.openxmlformats.org/officeDocument/2006/relationships/image" Target="../media/image52.emf"/><Relationship Id="rId16" Type="http://schemas.openxmlformats.org/officeDocument/2006/relationships/image" Target="../media/image64.emf"/><Relationship Id="rId1" Type="http://schemas.openxmlformats.org/officeDocument/2006/relationships/image" Target="../media/image53.emf"/><Relationship Id="rId6" Type="http://schemas.openxmlformats.org/officeDocument/2006/relationships/image" Target="../media/image56.emf"/><Relationship Id="rId11" Type="http://schemas.openxmlformats.org/officeDocument/2006/relationships/image" Target="../media/image60.emf"/><Relationship Id="rId5" Type="http://schemas.openxmlformats.org/officeDocument/2006/relationships/image" Target="../media/image55.emf"/><Relationship Id="rId15" Type="http://schemas.openxmlformats.org/officeDocument/2006/relationships/image" Target="../media/image49.emf"/><Relationship Id="rId10" Type="http://schemas.openxmlformats.org/officeDocument/2006/relationships/image" Target="../media/image59.emf"/><Relationship Id="rId4" Type="http://schemas.openxmlformats.org/officeDocument/2006/relationships/image" Target="../media/image54.emf"/><Relationship Id="rId9" Type="http://schemas.openxmlformats.org/officeDocument/2006/relationships/image" Target="../media/image58.emf"/><Relationship Id="rId14" Type="http://schemas.openxmlformats.org/officeDocument/2006/relationships/image" Target="../media/image63.emf"/></Relationships>
</file>

<file path=xl/drawings/_rels/vmlDrawing10.vml.rels><?xml version="1.0" encoding="UTF-8" standalone="yes"?>
<Relationships xmlns="http://schemas.openxmlformats.org/package/2006/relationships"><Relationship Id="rId3" Type="http://schemas.openxmlformats.org/officeDocument/2006/relationships/image" Target="../media/image68.emf"/><Relationship Id="rId2" Type="http://schemas.openxmlformats.org/officeDocument/2006/relationships/image" Target="../media/image67.emf"/><Relationship Id="rId1" Type="http://schemas.openxmlformats.org/officeDocument/2006/relationships/image" Target="../media/image66.emf"/><Relationship Id="rId5" Type="http://schemas.openxmlformats.org/officeDocument/2006/relationships/image" Target="../media/image65.emf"/><Relationship Id="rId4" Type="http://schemas.openxmlformats.org/officeDocument/2006/relationships/image" Target="../media/image69.emf"/></Relationships>
</file>

<file path=xl/drawings/_rels/vmlDrawing1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6.emf"/><Relationship Id="rId3" Type="http://schemas.openxmlformats.org/officeDocument/2006/relationships/image" Target="../media/image81.emf"/><Relationship Id="rId7" Type="http://schemas.openxmlformats.org/officeDocument/2006/relationships/image" Target="../media/image77.emf"/><Relationship Id="rId12" Type="http://schemas.openxmlformats.org/officeDocument/2006/relationships/image" Target="../media/image70.emf"/><Relationship Id="rId2" Type="http://schemas.openxmlformats.org/officeDocument/2006/relationships/image" Target="../media/image73.emf"/><Relationship Id="rId1" Type="http://schemas.openxmlformats.org/officeDocument/2006/relationships/image" Target="../media/image74.emf"/><Relationship Id="rId6" Type="http://schemas.openxmlformats.org/officeDocument/2006/relationships/image" Target="../media/image78.emf"/><Relationship Id="rId11" Type="http://schemas.openxmlformats.org/officeDocument/2006/relationships/image" Target="../media/image71.emf"/><Relationship Id="rId5" Type="http://schemas.openxmlformats.org/officeDocument/2006/relationships/image" Target="../media/image79.emf"/><Relationship Id="rId10" Type="http://schemas.openxmlformats.org/officeDocument/2006/relationships/image" Target="../media/image72.emf"/><Relationship Id="rId4" Type="http://schemas.openxmlformats.org/officeDocument/2006/relationships/image" Target="../media/image80.emf"/><Relationship Id="rId9" Type="http://schemas.openxmlformats.org/officeDocument/2006/relationships/image" Target="../media/image75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2.emf"/><Relationship Id="rId2" Type="http://schemas.openxmlformats.org/officeDocument/2006/relationships/image" Target="../media/image83.emf"/><Relationship Id="rId1" Type="http://schemas.openxmlformats.org/officeDocument/2006/relationships/image" Target="../media/image8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2</xdr:row>
          <xdr:rowOff>123825</xdr:rowOff>
        </xdr:from>
        <xdr:to>
          <xdr:col>7</xdr:col>
          <xdr:colOff>466725</xdr:colOff>
          <xdr:row>4</xdr:row>
          <xdr:rowOff>152400</xdr:rowOff>
        </xdr:to>
        <xdr:sp macro="" textlink="">
          <xdr:nvSpPr>
            <xdr:cNvPr id="7169" name="cmdCompany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8</xdr:row>
          <xdr:rowOff>0</xdr:rowOff>
        </xdr:from>
        <xdr:to>
          <xdr:col>7</xdr:col>
          <xdr:colOff>466725</xdr:colOff>
          <xdr:row>10</xdr:row>
          <xdr:rowOff>47625</xdr:rowOff>
        </xdr:to>
        <xdr:sp macro="" textlink="">
          <xdr:nvSpPr>
            <xdr:cNvPr id="7170" name="cmdLocatio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10</xdr:row>
          <xdr:rowOff>123825</xdr:rowOff>
        </xdr:from>
        <xdr:to>
          <xdr:col>7</xdr:col>
          <xdr:colOff>466725</xdr:colOff>
          <xdr:row>12</xdr:row>
          <xdr:rowOff>171450</xdr:rowOff>
        </xdr:to>
        <xdr:sp macro="" textlink="">
          <xdr:nvSpPr>
            <xdr:cNvPr id="7171" name="cmdVehicle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</xdr:row>
          <xdr:rowOff>152400</xdr:rowOff>
        </xdr:from>
        <xdr:to>
          <xdr:col>10</xdr:col>
          <xdr:colOff>257175</xdr:colOff>
          <xdr:row>4</xdr:row>
          <xdr:rowOff>180975</xdr:rowOff>
        </xdr:to>
        <xdr:sp macro="" textlink="">
          <xdr:nvSpPr>
            <xdr:cNvPr id="7172" name="cmdEngine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10</xdr:row>
          <xdr:rowOff>123825</xdr:rowOff>
        </xdr:from>
        <xdr:to>
          <xdr:col>10</xdr:col>
          <xdr:colOff>257175</xdr:colOff>
          <xdr:row>12</xdr:row>
          <xdr:rowOff>171450</xdr:rowOff>
        </xdr:to>
        <xdr:sp macro="" textlink="">
          <xdr:nvSpPr>
            <xdr:cNvPr id="7173" name="cmdManufacturer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0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2</xdr:row>
          <xdr:rowOff>123825</xdr:rowOff>
        </xdr:from>
        <xdr:to>
          <xdr:col>4</xdr:col>
          <xdr:colOff>180975</xdr:colOff>
          <xdr:row>4</xdr:row>
          <xdr:rowOff>152400</xdr:rowOff>
        </xdr:to>
        <xdr:sp macro="" textlink="">
          <xdr:nvSpPr>
            <xdr:cNvPr id="7175" name="cmdDPF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0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209550</xdr:colOff>
          <xdr:row>5</xdr:row>
          <xdr:rowOff>66675</xdr:rowOff>
        </xdr:from>
        <xdr:to>
          <xdr:col>7</xdr:col>
          <xdr:colOff>466725</xdr:colOff>
          <xdr:row>7</xdr:row>
          <xdr:rowOff>114300</xdr:rowOff>
        </xdr:to>
        <xdr:sp macro="" textlink="">
          <xdr:nvSpPr>
            <xdr:cNvPr id="7177" name="cmdContacts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0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200025</xdr:colOff>
          <xdr:row>5</xdr:row>
          <xdr:rowOff>66675</xdr:rowOff>
        </xdr:from>
        <xdr:to>
          <xdr:col>4</xdr:col>
          <xdr:colOff>180975</xdr:colOff>
          <xdr:row>7</xdr:row>
          <xdr:rowOff>95250</xdr:rowOff>
        </xdr:to>
        <xdr:sp macro="" textlink="">
          <xdr:nvSpPr>
            <xdr:cNvPr id="7180" name="cmdReport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0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</xdr:row>
          <xdr:rowOff>28575</xdr:rowOff>
        </xdr:from>
        <xdr:to>
          <xdr:col>2</xdr:col>
          <xdr:colOff>2762250</xdr:colOff>
          <xdr:row>1</xdr:row>
          <xdr:rowOff>352425</xdr:rowOff>
        </xdr:to>
        <xdr:sp macro="" textlink="">
          <xdr:nvSpPr>
            <xdr:cNvPr id="3073" name="cbCompany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257175</xdr:colOff>
          <xdr:row>9</xdr:row>
          <xdr:rowOff>95250</xdr:rowOff>
        </xdr:from>
        <xdr:to>
          <xdr:col>2</xdr:col>
          <xdr:colOff>447675</xdr:colOff>
          <xdr:row>9</xdr:row>
          <xdr:rowOff>304800</xdr:rowOff>
        </xdr:to>
        <xdr:sp macro="" textlink="">
          <xdr:nvSpPr>
            <xdr:cNvPr id="3074" name="chkActive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7</xdr:row>
          <xdr:rowOff>28575</xdr:rowOff>
        </xdr:from>
        <xdr:to>
          <xdr:col>2</xdr:col>
          <xdr:colOff>2762250</xdr:colOff>
          <xdr:row>7</xdr:row>
          <xdr:rowOff>352425</xdr:rowOff>
        </xdr:to>
        <xdr:sp macro="" textlink="">
          <xdr:nvSpPr>
            <xdr:cNvPr id="3075" name="cbStat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0</xdr:rowOff>
        </xdr:from>
        <xdr:to>
          <xdr:col>4</xdr:col>
          <xdr:colOff>1400175</xdr:colOff>
          <xdr:row>1</xdr:row>
          <xdr:rowOff>333375</xdr:rowOff>
        </xdr:to>
        <xdr:sp macro="" textlink="">
          <xdr:nvSpPr>
            <xdr:cNvPr id="3077" name="cmdSave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10</xdr:row>
          <xdr:rowOff>19050</xdr:rowOff>
        </xdr:from>
        <xdr:to>
          <xdr:col>2</xdr:col>
          <xdr:colOff>2771775</xdr:colOff>
          <xdr:row>10</xdr:row>
          <xdr:rowOff>342900</xdr:rowOff>
        </xdr:to>
        <xdr:sp macro="" textlink="">
          <xdr:nvSpPr>
            <xdr:cNvPr id="3078" name="cbCompContac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3</xdr:row>
          <xdr:rowOff>19050</xdr:rowOff>
        </xdr:from>
        <xdr:to>
          <xdr:col>4</xdr:col>
          <xdr:colOff>1419225</xdr:colOff>
          <xdr:row>3</xdr:row>
          <xdr:rowOff>352425</xdr:rowOff>
        </xdr:to>
        <xdr:sp macro="" textlink="">
          <xdr:nvSpPr>
            <xdr:cNvPr id="3079" name="cmdMenu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47625</xdr:colOff>
          <xdr:row>2</xdr:row>
          <xdr:rowOff>9525</xdr:rowOff>
        </xdr:to>
        <xdr:sp macro="" textlink="">
          <xdr:nvSpPr>
            <xdr:cNvPr id="6145" name="cbCompany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7</xdr:row>
          <xdr:rowOff>28575</xdr:rowOff>
        </xdr:from>
        <xdr:to>
          <xdr:col>2</xdr:col>
          <xdr:colOff>47625</xdr:colOff>
          <xdr:row>8</xdr:row>
          <xdr:rowOff>9525</xdr:rowOff>
        </xdr:to>
        <xdr:sp macro="" textlink="">
          <xdr:nvSpPr>
            <xdr:cNvPr id="6147" name="cbState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19050</xdr:rowOff>
        </xdr:from>
        <xdr:to>
          <xdr:col>3</xdr:col>
          <xdr:colOff>1409700</xdr:colOff>
          <xdr:row>2</xdr:row>
          <xdr:rowOff>342900</xdr:rowOff>
        </xdr:to>
        <xdr:sp macro="" textlink="">
          <xdr:nvSpPr>
            <xdr:cNvPr id="6148" name="cmdSave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2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47625</xdr:colOff>
          <xdr:row>2</xdr:row>
          <xdr:rowOff>371475</xdr:rowOff>
        </xdr:to>
        <xdr:sp macro="" textlink="">
          <xdr:nvSpPr>
            <xdr:cNvPr id="6149" name="cbCompLocation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2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4</xdr:row>
          <xdr:rowOff>85725</xdr:rowOff>
        </xdr:from>
        <xdr:to>
          <xdr:col>3</xdr:col>
          <xdr:colOff>1409700</xdr:colOff>
          <xdr:row>5</xdr:row>
          <xdr:rowOff>28575</xdr:rowOff>
        </xdr:to>
        <xdr:sp macro="" textlink="">
          <xdr:nvSpPr>
            <xdr:cNvPr id="6150" name="cmdMenu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19050</xdr:rowOff>
        </xdr:from>
        <xdr:to>
          <xdr:col>2</xdr:col>
          <xdr:colOff>47625</xdr:colOff>
          <xdr:row>9</xdr:row>
          <xdr:rowOff>333375</xdr:rowOff>
        </xdr:to>
        <xdr:sp macro="" textlink="">
          <xdr:nvSpPr>
            <xdr:cNvPr id="6151" name="cbContacts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6385" name="cbCompany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3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9</xdr:row>
          <xdr:rowOff>28575</xdr:rowOff>
        </xdr:from>
        <xdr:to>
          <xdr:col>2</xdr:col>
          <xdr:colOff>19050</xdr:colOff>
          <xdr:row>10</xdr:row>
          <xdr:rowOff>9525</xdr:rowOff>
        </xdr:to>
        <xdr:sp macro="" textlink="">
          <xdr:nvSpPr>
            <xdr:cNvPr id="16386" name="cbState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00000000-0008-0000-0300-000002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</xdr:row>
          <xdr:rowOff>28575</xdr:rowOff>
        </xdr:from>
        <xdr:to>
          <xdr:col>3</xdr:col>
          <xdr:colOff>1571625</xdr:colOff>
          <xdr:row>1</xdr:row>
          <xdr:rowOff>352425</xdr:rowOff>
        </xdr:to>
        <xdr:sp macro="" textlink="">
          <xdr:nvSpPr>
            <xdr:cNvPr id="16387" name="cmdSave" hidden="1">
              <a:extLst>
                <a:ext uri="{63B3BB69-23CF-44E3-9099-C40C66FF867C}">
                  <a14:compatExt spid="_x0000_s16387"/>
                </a:ext>
                <a:ext uri="{FF2B5EF4-FFF2-40B4-BE49-F238E27FC236}">
                  <a16:creationId xmlns:a16="http://schemas.microsoft.com/office/drawing/2014/main" id="{00000000-0008-0000-0300-000003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</xdr:row>
          <xdr:rowOff>57150</xdr:rowOff>
        </xdr:from>
        <xdr:to>
          <xdr:col>2</xdr:col>
          <xdr:colOff>19050</xdr:colOff>
          <xdr:row>2</xdr:row>
          <xdr:rowOff>371475</xdr:rowOff>
        </xdr:to>
        <xdr:sp macro="" textlink="">
          <xdr:nvSpPr>
            <xdr:cNvPr id="16388" name="cbContacts" hidden="1">
              <a:extLst>
                <a:ext uri="{63B3BB69-23CF-44E3-9099-C40C66FF867C}">
                  <a14:compatExt spid="_x0000_s16388"/>
                </a:ext>
                <a:ext uri="{FF2B5EF4-FFF2-40B4-BE49-F238E27FC236}">
                  <a16:creationId xmlns:a16="http://schemas.microsoft.com/office/drawing/2014/main" id="{00000000-0008-0000-0300-000004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257175</xdr:colOff>
          <xdr:row>13</xdr:row>
          <xdr:rowOff>95250</xdr:rowOff>
        </xdr:from>
        <xdr:to>
          <xdr:col>1</xdr:col>
          <xdr:colOff>419100</xdr:colOff>
          <xdr:row>13</xdr:row>
          <xdr:rowOff>257175</xdr:rowOff>
        </xdr:to>
        <xdr:sp macro="" textlink="">
          <xdr:nvSpPr>
            <xdr:cNvPr id="16389" name="chkActive" hidden="1">
              <a:extLst>
                <a:ext uri="{63B3BB69-23CF-44E3-9099-C40C66FF867C}">
                  <a14:compatExt spid="_x0000_s16389"/>
                </a:ext>
                <a:ext uri="{FF2B5EF4-FFF2-40B4-BE49-F238E27FC236}">
                  <a16:creationId xmlns:a16="http://schemas.microsoft.com/office/drawing/2014/main" id="{00000000-0008-0000-0300-000005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3</xdr:row>
          <xdr:rowOff>66675</xdr:rowOff>
        </xdr:from>
        <xdr:to>
          <xdr:col>3</xdr:col>
          <xdr:colOff>1590675</xdr:colOff>
          <xdr:row>4</xdr:row>
          <xdr:rowOff>9525</xdr:rowOff>
        </xdr:to>
        <xdr:sp macro="" textlink="">
          <xdr:nvSpPr>
            <xdr:cNvPr id="16390" name="cmdMenu" hidden="1">
              <a:extLst>
                <a:ext uri="{63B3BB69-23CF-44E3-9099-C40C66FF867C}">
                  <a14:compatExt spid="_x0000_s16390"/>
                </a:ext>
                <a:ext uri="{FF2B5EF4-FFF2-40B4-BE49-F238E27FC236}">
                  <a16:creationId xmlns:a16="http://schemas.microsoft.com/office/drawing/2014/main" id="{00000000-0008-0000-0300-000006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2</xdr:col>
          <xdr:colOff>19050</xdr:colOff>
          <xdr:row>2</xdr:row>
          <xdr:rowOff>9525</xdr:rowOff>
        </xdr:to>
        <xdr:sp macro="" textlink="">
          <xdr:nvSpPr>
            <xdr:cNvPr id="11265" name="cbCompany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4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371475</xdr:rowOff>
        </xdr:from>
        <xdr:to>
          <xdr:col>2</xdr:col>
          <xdr:colOff>19050</xdr:colOff>
          <xdr:row>4</xdr:row>
          <xdr:rowOff>352425</xdr:rowOff>
        </xdr:to>
        <xdr:sp macro="" textlink="">
          <xdr:nvSpPr>
            <xdr:cNvPr id="11266" name="cbManufacturer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4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28575</xdr:rowOff>
        </xdr:from>
        <xdr:to>
          <xdr:col>3</xdr:col>
          <xdr:colOff>1371600</xdr:colOff>
          <xdr:row>1</xdr:row>
          <xdr:rowOff>352425</xdr:rowOff>
        </xdr:to>
        <xdr:sp macro="" textlink="">
          <xdr:nvSpPr>
            <xdr:cNvPr id="11267" name="cmdSave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4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47625</xdr:rowOff>
        </xdr:from>
        <xdr:to>
          <xdr:col>3</xdr:col>
          <xdr:colOff>1371600</xdr:colOff>
          <xdr:row>5</xdr:row>
          <xdr:rowOff>371475</xdr:rowOff>
        </xdr:to>
        <xdr:sp macro="" textlink="">
          <xdr:nvSpPr>
            <xdr:cNvPr id="11269" name="cmdMenu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4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4</xdr:row>
          <xdr:rowOff>38100</xdr:rowOff>
        </xdr:from>
        <xdr:to>
          <xdr:col>3</xdr:col>
          <xdr:colOff>1371600</xdr:colOff>
          <xdr:row>4</xdr:row>
          <xdr:rowOff>361950</xdr:rowOff>
        </xdr:to>
        <xdr:sp macro="" textlink="">
          <xdr:nvSpPr>
            <xdr:cNvPr id="11270" name="cmdBack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4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28575</xdr:rowOff>
        </xdr:from>
        <xdr:to>
          <xdr:col>3</xdr:col>
          <xdr:colOff>1371600</xdr:colOff>
          <xdr:row>3</xdr:row>
          <xdr:rowOff>352425</xdr:rowOff>
        </xdr:to>
        <xdr:sp macro="" textlink="">
          <xdr:nvSpPr>
            <xdr:cNvPr id="11271" name="cmdLookup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4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19050</xdr:rowOff>
        </xdr:from>
        <xdr:to>
          <xdr:col>2</xdr:col>
          <xdr:colOff>0</xdr:colOff>
          <xdr:row>2</xdr:row>
          <xdr:rowOff>0</xdr:rowOff>
        </xdr:to>
        <xdr:sp macro="" textlink="">
          <xdr:nvSpPr>
            <xdr:cNvPr id="13313" name="cbCompany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5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</xdr:row>
          <xdr:rowOff>19050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3314" name="cbManufacturer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5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0</xdr:row>
          <xdr:rowOff>352425</xdr:rowOff>
        </xdr:from>
        <xdr:to>
          <xdr:col>3</xdr:col>
          <xdr:colOff>676275</xdr:colOff>
          <xdr:row>1</xdr:row>
          <xdr:rowOff>295275</xdr:rowOff>
        </xdr:to>
        <xdr:sp macro="" textlink="">
          <xdr:nvSpPr>
            <xdr:cNvPr id="13315" name="cmdSave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5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419100</xdr:colOff>
          <xdr:row>5</xdr:row>
          <xdr:rowOff>190500</xdr:rowOff>
        </xdr:from>
        <xdr:to>
          <xdr:col>3</xdr:col>
          <xdr:colOff>666750</xdr:colOff>
          <xdr:row>6</xdr:row>
          <xdr:rowOff>133350</xdr:rowOff>
        </xdr:to>
        <xdr:sp macro="" textlink="">
          <xdr:nvSpPr>
            <xdr:cNvPr id="13317" name="cmdMenu" hidden="1">
              <a:extLst>
                <a:ext uri="{63B3BB69-23CF-44E3-9099-C40C66FF867C}">
                  <a14:compatExt spid="_x0000_s13317"/>
                </a:ext>
                <a:ext uri="{FF2B5EF4-FFF2-40B4-BE49-F238E27FC236}">
                  <a16:creationId xmlns:a16="http://schemas.microsoft.com/office/drawing/2014/main" id="{00000000-0008-0000-0500-000005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4</xdr:row>
          <xdr:rowOff>133350</xdr:rowOff>
        </xdr:from>
        <xdr:to>
          <xdr:col>3</xdr:col>
          <xdr:colOff>676275</xdr:colOff>
          <xdr:row>5</xdr:row>
          <xdr:rowOff>76200</xdr:rowOff>
        </xdr:to>
        <xdr:sp macro="" textlink="">
          <xdr:nvSpPr>
            <xdr:cNvPr id="13318" name="cmdBack" hidden="1">
              <a:extLst>
                <a:ext uri="{63B3BB69-23CF-44E3-9099-C40C66FF867C}">
                  <a14:compatExt spid="_x0000_s13318"/>
                </a:ext>
                <a:ext uri="{FF2B5EF4-FFF2-40B4-BE49-F238E27FC236}">
                  <a16:creationId xmlns:a16="http://schemas.microsoft.com/office/drawing/2014/main" id="{00000000-0008-0000-0500-000006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428625</xdr:colOff>
          <xdr:row>3</xdr:row>
          <xdr:rowOff>85725</xdr:rowOff>
        </xdr:from>
        <xdr:to>
          <xdr:col>3</xdr:col>
          <xdr:colOff>676275</xdr:colOff>
          <xdr:row>4</xdr:row>
          <xdr:rowOff>0</xdr:rowOff>
        </xdr:to>
        <xdr:sp macro="" textlink="">
          <xdr:nvSpPr>
            <xdr:cNvPr id="13319" name="cmdLookup" hidden="1">
              <a:extLst>
                <a:ext uri="{63B3BB69-23CF-44E3-9099-C40C66FF867C}">
                  <a14:compatExt spid="_x0000_s13319"/>
                </a:ext>
                <a:ext uri="{FF2B5EF4-FFF2-40B4-BE49-F238E27FC236}">
                  <a16:creationId xmlns:a16="http://schemas.microsoft.com/office/drawing/2014/main" id="{00000000-0008-0000-0500-000007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9525</xdr:rowOff>
        </xdr:from>
        <xdr:to>
          <xdr:col>2</xdr:col>
          <xdr:colOff>85725</xdr:colOff>
          <xdr:row>1</xdr:row>
          <xdr:rowOff>371475</xdr:rowOff>
        </xdr:to>
        <xdr:sp macro="" textlink="">
          <xdr:nvSpPr>
            <xdr:cNvPr id="12289" name="cbManufacturer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581025</xdr:colOff>
          <xdr:row>1</xdr:row>
          <xdr:rowOff>28575</xdr:rowOff>
        </xdr:from>
        <xdr:to>
          <xdr:col>5</xdr:col>
          <xdr:colOff>9525</xdr:colOff>
          <xdr:row>1</xdr:row>
          <xdr:rowOff>323850</xdr:rowOff>
        </xdr:to>
        <xdr:sp macro="" textlink="">
          <xdr:nvSpPr>
            <xdr:cNvPr id="12292" name="cmdSave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6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600075</xdr:colOff>
          <xdr:row>3</xdr:row>
          <xdr:rowOff>209550</xdr:rowOff>
        </xdr:from>
        <xdr:to>
          <xdr:col>5</xdr:col>
          <xdr:colOff>19050</xdr:colOff>
          <xdr:row>4</xdr:row>
          <xdr:rowOff>123825</xdr:rowOff>
        </xdr:to>
        <xdr:sp macro="" textlink="">
          <xdr:nvSpPr>
            <xdr:cNvPr id="12293" name="cmdMenu" hidden="1">
              <a:extLst>
                <a:ext uri="{63B3BB69-23CF-44E3-9099-C40C66FF867C}">
                  <a14:compatExt spid="_x0000_s12293"/>
                </a:ext>
                <a:ext uri="{FF2B5EF4-FFF2-40B4-BE49-F238E27FC236}">
                  <a16:creationId xmlns:a16="http://schemas.microsoft.com/office/drawing/2014/main" id="{00000000-0008-0000-0600-000005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</xdr:row>
          <xdr:rowOff>28575</xdr:rowOff>
        </xdr:from>
        <xdr:to>
          <xdr:col>1</xdr:col>
          <xdr:colOff>3086100</xdr:colOff>
          <xdr:row>2</xdr:row>
          <xdr:rowOff>9525</xdr:rowOff>
        </xdr:to>
        <xdr:sp macro="" textlink="">
          <xdr:nvSpPr>
            <xdr:cNvPr id="15361" name="cbCompany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6</xdr:row>
          <xdr:rowOff>19050</xdr:rowOff>
        </xdr:from>
        <xdr:to>
          <xdr:col>2</xdr:col>
          <xdr:colOff>0</xdr:colOff>
          <xdr:row>7</xdr:row>
          <xdr:rowOff>0</xdr:rowOff>
        </xdr:to>
        <xdr:sp macro="" textlink="">
          <xdr:nvSpPr>
            <xdr:cNvPr id="15362" name="cbManufacturer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1</xdr:row>
          <xdr:rowOff>28575</xdr:rowOff>
        </xdr:from>
        <xdr:to>
          <xdr:col>4</xdr:col>
          <xdr:colOff>1038225</xdr:colOff>
          <xdr:row>1</xdr:row>
          <xdr:rowOff>323850</xdr:rowOff>
        </xdr:to>
        <xdr:sp macro="" textlink="">
          <xdr:nvSpPr>
            <xdr:cNvPr id="15363" name="cmdSave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00000000-0008-0000-0700-000003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</xdr:row>
          <xdr:rowOff>9525</xdr:rowOff>
        </xdr:from>
        <xdr:to>
          <xdr:col>1</xdr:col>
          <xdr:colOff>3086100</xdr:colOff>
          <xdr:row>5</xdr:row>
          <xdr:rowOff>371475</xdr:rowOff>
        </xdr:to>
        <xdr:sp macro="" textlink="">
          <xdr:nvSpPr>
            <xdr:cNvPr id="15365" name="cbECDType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7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7</xdr:row>
          <xdr:rowOff>9525</xdr:rowOff>
        </xdr:from>
        <xdr:to>
          <xdr:col>1</xdr:col>
          <xdr:colOff>3095625</xdr:colOff>
          <xdr:row>7</xdr:row>
          <xdr:rowOff>371475</xdr:rowOff>
        </xdr:to>
        <xdr:sp macro="" textlink="">
          <xdr:nvSpPr>
            <xdr:cNvPr id="15366" name="cbSubStrateType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00000000-0008-0000-07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3</xdr:row>
          <xdr:rowOff>0</xdr:rowOff>
        </xdr:from>
        <xdr:to>
          <xdr:col>4</xdr:col>
          <xdr:colOff>1047750</xdr:colOff>
          <xdr:row>3</xdr:row>
          <xdr:rowOff>295275</xdr:rowOff>
        </xdr:to>
        <xdr:sp macro="" textlink="">
          <xdr:nvSpPr>
            <xdr:cNvPr id="15367" name="cmdLookup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00000000-0008-0000-0700-000007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3</xdr:row>
          <xdr:rowOff>352425</xdr:rowOff>
        </xdr:from>
        <xdr:to>
          <xdr:col>4</xdr:col>
          <xdr:colOff>1028700</xdr:colOff>
          <xdr:row>4</xdr:row>
          <xdr:rowOff>295275</xdr:rowOff>
        </xdr:to>
        <xdr:sp macro="" textlink="">
          <xdr:nvSpPr>
            <xdr:cNvPr id="15368" name="cmdBack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00000000-0008-0000-0700-000008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16</xdr:row>
          <xdr:rowOff>38100</xdr:rowOff>
        </xdr:from>
        <xdr:to>
          <xdr:col>2</xdr:col>
          <xdr:colOff>200025</xdr:colOff>
          <xdr:row>16</xdr:row>
          <xdr:rowOff>171450</xdr:rowOff>
        </xdr:to>
        <xdr:sp macro="" textlink="">
          <xdr:nvSpPr>
            <xdr:cNvPr id="21505" name="chkOvrRdHw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8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28575</xdr:rowOff>
        </xdr:from>
        <xdr:to>
          <xdr:col>2</xdr:col>
          <xdr:colOff>200025</xdr:colOff>
          <xdr:row>17</xdr:row>
          <xdr:rowOff>190500</xdr:rowOff>
        </xdr:to>
        <xdr:sp macro="" textlink="">
          <xdr:nvSpPr>
            <xdr:cNvPr id="21506" name="chkStartStop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8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18</xdr:row>
          <xdr:rowOff>28575</xdr:rowOff>
        </xdr:from>
        <xdr:to>
          <xdr:col>2</xdr:col>
          <xdr:colOff>200025</xdr:colOff>
          <xdr:row>18</xdr:row>
          <xdr:rowOff>190500</xdr:rowOff>
        </xdr:to>
        <xdr:sp macro="" textlink="">
          <xdr:nvSpPr>
            <xdr:cNvPr id="21507" name="chkHighIdle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8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21</xdr:row>
          <xdr:rowOff>9525</xdr:rowOff>
        </xdr:from>
        <xdr:to>
          <xdr:col>2</xdr:col>
          <xdr:colOff>200025</xdr:colOff>
          <xdr:row>21</xdr:row>
          <xdr:rowOff>171450</xdr:rowOff>
        </xdr:to>
        <xdr:sp macro="" textlink="">
          <xdr:nvSpPr>
            <xdr:cNvPr id="21508" name="chkPreventMaint" hidden="1">
              <a:extLst>
                <a:ext uri="{63B3BB69-23CF-44E3-9099-C40C66FF867C}">
                  <a14:compatExt spid="_x0000_s21508"/>
                </a:ext>
                <a:ext uri="{FF2B5EF4-FFF2-40B4-BE49-F238E27FC236}">
                  <a16:creationId xmlns:a16="http://schemas.microsoft.com/office/drawing/2014/main" id="{00000000-0008-0000-0800-00000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22</xdr:row>
          <xdr:rowOff>9525</xdr:rowOff>
        </xdr:from>
        <xdr:to>
          <xdr:col>2</xdr:col>
          <xdr:colOff>200025</xdr:colOff>
          <xdr:row>22</xdr:row>
          <xdr:rowOff>171450</xdr:rowOff>
        </xdr:to>
        <xdr:sp macro="" textlink="">
          <xdr:nvSpPr>
            <xdr:cNvPr id="21509" name="chkHighSootLoad" hidden="1">
              <a:extLst>
                <a:ext uri="{63B3BB69-23CF-44E3-9099-C40C66FF867C}">
                  <a14:compatExt spid="_x0000_s21509"/>
                </a:ext>
                <a:ext uri="{FF2B5EF4-FFF2-40B4-BE49-F238E27FC236}">
                  <a16:creationId xmlns:a16="http://schemas.microsoft.com/office/drawing/2014/main" id="{00000000-0008-0000-0800-00000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23</xdr:row>
          <xdr:rowOff>19050</xdr:rowOff>
        </xdr:from>
        <xdr:to>
          <xdr:col>2</xdr:col>
          <xdr:colOff>200025</xdr:colOff>
          <xdr:row>23</xdr:row>
          <xdr:rowOff>180975</xdr:rowOff>
        </xdr:to>
        <xdr:sp macro="" textlink="">
          <xdr:nvSpPr>
            <xdr:cNvPr id="21510" name="chkEngineFail" hidden="1">
              <a:extLst>
                <a:ext uri="{63B3BB69-23CF-44E3-9099-C40C66FF867C}">
                  <a14:compatExt spid="_x0000_s21510"/>
                </a:ext>
                <a:ext uri="{FF2B5EF4-FFF2-40B4-BE49-F238E27FC236}">
                  <a16:creationId xmlns:a16="http://schemas.microsoft.com/office/drawing/2014/main" id="{00000000-0008-0000-0800-00000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</xdr:row>
          <xdr:rowOff>114300</xdr:rowOff>
        </xdr:from>
        <xdr:to>
          <xdr:col>4</xdr:col>
          <xdr:colOff>1371600</xdr:colOff>
          <xdr:row>2</xdr:row>
          <xdr:rowOff>209550</xdr:rowOff>
        </xdr:to>
        <xdr:sp macro="" textlink="">
          <xdr:nvSpPr>
            <xdr:cNvPr id="21518" name="cmdSave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:a16="http://schemas.microsoft.com/office/drawing/2014/main" id="{00000000-0008-0000-08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9</xdr:row>
          <xdr:rowOff>0</xdr:rowOff>
        </xdr:from>
        <xdr:to>
          <xdr:col>3</xdr:col>
          <xdr:colOff>38100</xdr:colOff>
          <xdr:row>10</xdr:row>
          <xdr:rowOff>9525</xdr:rowOff>
        </xdr:to>
        <xdr:sp macro="" textlink="">
          <xdr:nvSpPr>
            <xdr:cNvPr id="21522" name="cbDPF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:a16="http://schemas.microsoft.com/office/drawing/2014/main" id="{00000000-0008-0000-08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4</xdr:row>
          <xdr:rowOff>9525</xdr:rowOff>
        </xdr:from>
        <xdr:to>
          <xdr:col>3</xdr:col>
          <xdr:colOff>38100</xdr:colOff>
          <xdr:row>5</xdr:row>
          <xdr:rowOff>19050</xdr:rowOff>
        </xdr:to>
        <xdr:sp macro="" textlink="">
          <xdr:nvSpPr>
            <xdr:cNvPr id="21523" name="cbCompany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:a16="http://schemas.microsoft.com/office/drawing/2014/main" id="{00000000-0008-0000-08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6</xdr:row>
          <xdr:rowOff>28575</xdr:rowOff>
        </xdr:from>
        <xdr:to>
          <xdr:col>3</xdr:col>
          <xdr:colOff>38100</xdr:colOff>
          <xdr:row>7</xdr:row>
          <xdr:rowOff>38100</xdr:rowOff>
        </xdr:to>
        <xdr:sp macro="" textlink="">
          <xdr:nvSpPr>
            <xdr:cNvPr id="21525" name="cbCompLocation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:a16="http://schemas.microsoft.com/office/drawing/2014/main" id="{00000000-0008-0000-08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9525</xdr:rowOff>
        </xdr:from>
        <xdr:to>
          <xdr:col>3</xdr:col>
          <xdr:colOff>38100</xdr:colOff>
          <xdr:row>11</xdr:row>
          <xdr:rowOff>19050</xdr:rowOff>
        </xdr:to>
        <xdr:sp macro="" textlink="">
          <xdr:nvSpPr>
            <xdr:cNvPr id="21526" name="cbVehicle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:a16="http://schemas.microsoft.com/office/drawing/2014/main" id="{00000000-0008-0000-08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3</xdr:col>
          <xdr:colOff>38100</xdr:colOff>
          <xdr:row>12</xdr:row>
          <xdr:rowOff>19050</xdr:rowOff>
        </xdr:to>
        <xdr:sp macro="" textlink="">
          <xdr:nvSpPr>
            <xdr:cNvPr id="21527" name="cbEngine" hidden="1">
              <a:extLst>
                <a:ext uri="{63B3BB69-23CF-44E3-9099-C40C66FF867C}">
                  <a14:compatExt spid="_x0000_s21527"/>
                </a:ext>
                <a:ext uri="{FF2B5EF4-FFF2-40B4-BE49-F238E27FC236}">
                  <a16:creationId xmlns:a16="http://schemas.microsoft.com/office/drawing/2014/main" id="{00000000-0008-0000-0800-00001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12</xdr:row>
          <xdr:rowOff>9525</xdr:rowOff>
        </xdr:from>
        <xdr:to>
          <xdr:col>3</xdr:col>
          <xdr:colOff>38100</xdr:colOff>
          <xdr:row>13</xdr:row>
          <xdr:rowOff>19050</xdr:rowOff>
        </xdr:to>
        <xdr:sp macro="" textlink="">
          <xdr:nvSpPr>
            <xdr:cNvPr id="21528" name="cbECD" hidden="1">
              <a:extLst>
                <a:ext uri="{63B3BB69-23CF-44E3-9099-C40C66FF867C}">
                  <a14:compatExt spid="_x0000_s21528"/>
                </a:ext>
                <a:ext uri="{FF2B5EF4-FFF2-40B4-BE49-F238E27FC236}">
                  <a16:creationId xmlns:a16="http://schemas.microsoft.com/office/drawing/2014/main" id="{00000000-0008-0000-0800-00001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19</xdr:row>
          <xdr:rowOff>9525</xdr:rowOff>
        </xdr:from>
        <xdr:to>
          <xdr:col>3</xdr:col>
          <xdr:colOff>38100</xdr:colOff>
          <xdr:row>20</xdr:row>
          <xdr:rowOff>19050</xdr:rowOff>
        </xdr:to>
        <xdr:sp macro="" textlink="">
          <xdr:nvSpPr>
            <xdr:cNvPr id="21529" name="cbDrivingType" hidden="1">
              <a:extLst>
                <a:ext uri="{63B3BB69-23CF-44E3-9099-C40C66FF867C}">
                  <a14:compatExt spid="_x0000_s21529"/>
                </a:ext>
                <a:ext uri="{FF2B5EF4-FFF2-40B4-BE49-F238E27FC236}">
                  <a16:creationId xmlns:a16="http://schemas.microsoft.com/office/drawing/2014/main" id="{00000000-0008-0000-0800-000019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24</xdr:row>
          <xdr:rowOff>19050</xdr:rowOff>
        </xdr:from>
        <xdr:to>
          <xdr:col>3</xdr:col>
          <xdr:colOff>38100</xdr:colOff>
          <xdr:row>25</xdr:row>
          <xdr:rowOff>9525</xdr:rowOff>
        </xdr:to>
        <xdr:sp macro="" textlink="">
          <xdr:nvSpPr>
            <xdr:cNvPr id="21530" name="cbCleaningReason" hidden="1">
              <a:extLst>
                <a:ext uri="{63B3BB69-23CF-44E3-9099-C40C66FF867C}">
                  <a14:compatExt spid="_x0000_s21530"/>
                </a:ext>
                <a:ext uri="{FF2B5EF4-FFF2-40B4-BE49-F238E27FC236}">
                  <a16:creationId xmlns:a16="http://schemas.microsoft.com/office/drawing/2014/main" id="{00000000-0008-0000-0800-00001A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</xdr:row>
          <xdr:rowOff>209550</xdr:rowOff>
        </xdr:from>
        <xdr:to>
          <xdr:col>4</xdr:col>
          <xdr:colOff>1371600</xdr:colOff>
          <xdr:row>6</xdr:row>
          <xdr:rowOff>76200</xdr:rowOff>
        </xdr:to>
        <xdr:sp macro="" textlink="">
          <xdr:nvSpPr>
            <xdr:cNvPr id="21531" name="cmdMenu" hidden="1">
              <a:extLst>
                <a:ext uri="{63B3BB69-23CF-44E3-9099-C40C66FF867C}">
                  <a14:compatExt spid="_x0000_s21531"/>
                </a:ext>
                <a:ext uri="{FF2B5EF4-FFF2-40B4-BE49-F238E27FC236}">
                  <a16:creationId xmlns:a16="http://schemas.microsoft.com/office/drawing/2014/main" id="{00000000-0008-0000-0800-00001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3</xdr:row>
          <xdr:rowOff>19050</xdr:rowOff>
        </xdr:from>
        <xdr:to>
          <xdr:col>3</xdr:col>
          <xdr:colOff>38100</xdr:colOff>
          <xdr:row>4</xdr:row>
          <xdr:rowOff>28575</xdr:rowOff>
        </xdr:to>
        <xdr:sp macro="" textlink="">
          <xdr:nvSpPr>
            <xdr:cNvPr id="21532" name="cbBillingCompany" hidden="1">
              <a:extLst>
                <a:ext uri="{63B3BB69-23CF-44E3-9099-C40C66FF867C}">
                  <a14:compatExt spid="_x0000_s21532"/>
                </a:ext>
                <a:ext uri="{FF2B5EF4-FFF2-40B4-BE49-F238E27FC236}">
                  <a16:creationId xmlns:a16="http://schemas.microsoft.com/office/drawing/2014/main" id="{00000000-0008-0000-0800-00001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</xdr:row>
          <xdr:rowOff>0</xdr:rowOff>
        </xdr:from>
        <xdr:to>
          <xdr:col>3</xdr:col>
          <xdr:colOff>38100</xdr:colOff>
          <xdr:row>3</xdr:row>
          <xdr:rowOff>9525</xdr:rowOff>
        </xdr:to>
        <xdr:sp macro="" textlink="">
          <xdr:nvSpPr>
            <xdr:cNvPr id="21533" name="cbSalesID" hidden="1">
              <a:extLst>
                <a:ext uri="{63B3BB69-23CF-44E3-9099-C40C66FF867C}">
                  <a14:compatExt spid="_x0000_s21533"/>
                </a:ext>
                <a:ext uri="{FF2B5EF4-FFF2-40B4-BE49-F238E27FC236}">
                  <a16:creationId xmlns:a16="http://schemas.microsoft.com/office/drawing/2014/main" id="{00000000-0008-0000-0800-00001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7</xdr:row>
          <xdr:rowOff>28575</xdr:rowOff>
        </xdr:from>
        <xdr:to>
          <xdr:col>4</xdr:col>
          <xdr:colOff>1371600</xdr:colOff>
          <xdr:row>8</xdr:row>
          <xdr:rowOff>123825</xdr:rowOff>
        </xdr:to>
        <xdr:sp macro="" textlink="">
          <xdr:nvSpPr>
            <xdr:cNvPr id="21534" name="cmdVehicle" hidden="1">
              <a:extLst>
                <a:ext uri="{63B3BB69-23CF-44E3-9099-C40C66FF867C}">
                  <a14:compatExt spid="_x0000_s21534"/>
                </a:ext>
                <a:ext uri="{FF2B5EF4-FFF2-40B4-BE49-F238E27FC236}">
                  <a16:creationId xmlns:a16="http://schemas.microsoft.com/office/drawing/2014/main" id="{00000000-0008-0000-0800-00001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161925</xdr:rowOff>
        </xdr:from>
        <xdr:to>
          <xdr:col>4</xdr:col>
          <xdr:colOff>1371600</xdr:colOff>
          <xdr:row>10</xdr:row>
          <xdr:rowOff>28575</xdr:rowOff>
        </xdr:to>
        <xdr:sp macro="" textlink="">
          <xdr:nvSpPr>
            <xdr:cNvPr id="21535" name="cmdEngine" hidden="1">
              <a:extLst>
                <a:ext uri="{63B3BB69-23CF-44E3-9099-C40C66FF867C}">
                  <a14:compatExt spid="_x0000_s21535"/>
                </a:ext>
                <a:ext uri="{FF2B5EF4-FFF2-40B4-BE49-F238E27FC236}">
                  <a16:creationId xmlns:a16="http://schemas.microsoft.com/office/drawing/2014/main" id="{00000000-0008-0000-0800-00001F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10</xdr:row>
          <xdr:rowOff>66675</xdr:rowOff>
        </xdr:from>
        <xdr:to>
          <xdr:col>4</xdr:col>
          <xdr:colOff>1371600</xdr:colOff>
          <xdr:row>11</xdr:row>
          <xdr:rowOff>161925</xdr:rowOff>
        </xdr:to>
        <xdr:sp macro="" textlink="">
          <xdr:nvSpPr>
            <xdr:cNvPr id="21536" name="cmdECD" hidden="1">
              <a:extLst>
                <a:ext uri="{63B3BB69-23CF-44E3-9099-C40C66FF867C}">
                  <a14:compatExt spid="_x0000_s21536"/>
                </a:ext>
                <a:ext uri="{FF2B5EF4-FFF2-40B4-BE49-F238E27FC236}">
                  <a16:creationId xmlns:a16="http://schemas.microsoft.com/office/drawing/2014/main" id="{00000000-0008-0000-0800-00002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5</xdr:row>
          <xdr:rowOff>9525</xdr:rowOff>
        </xdr:from>
        <xdr:to>
          <xdr:col>8</xdr:col>
          <xdr:colOff>66675</xdr:colOff>
          <xdr:row>6</xdr:row>
          <xdr:rowOff>104775</xdr:rowOff>
        </xdr:to>
        <xdr:sp macro="" textlink="">
          <xdr:nvSpPr>
            <xdr:cNvPr id="21537" name="cmdQuality" hidden="1">
              <a:extLst>
                <a:ext uri="{63B3BB69-23CF-44E3-9099-C40C66FF867C}">
                  <a14:compatExt spid="_x0000_s21537"/>
                </a:ext>
                <a:ext uri="{FF2B5EF4-FFF2-40B4-BE49-F238E27FC236}">
                  <a16:creationId xmlns:a16="http://schemas.microsoft.com/office/drawing/2014/main" id="{00000000-0008-0000-0800-00002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371475</xdr:colOff>
          <xdr:row>6</xdr:row>
          <xdr:rowOff>161925</xdr:rowOff>
        </xdr:from>
        <xdr:to>
          <xdr:col>8</xdr:col>
          <xdr:colOff>66675</xdr:colOff>
          <xdr:row>8</xdr:row>
          <xdr:rowOff>28575</xdr:rowOff>
        </xdr:to>
        <xdr:sp macro="" textlink="">
          <xdr:nvSpPr>
            <xdr:cNvPr id="21538" name="cmdQAProcess" hidden="1">
              <a:extLst>
                <a:ext uri="{63B3BB69-23CF-44E3-9099-C40C66FF867C}">
                  <a14:compatExt spid="_x0000_s21538"/>
                </a:ext>
                <a:ext uri="{FF2B5EF4-FFF2-40B4-BE49-F238E27FC236}">
                  <a16:creationId xmlns:a16="http://schemas.microsoft.com/office/drawing/2014/main" id="{00000000-0008-0000-0800-00002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400050</xdr:colOff>
          <xdr:row>1</xdr:row>
          <xdr:rowOff>133350</xdr:rowOff>
        </xdr:from>
        <xdr:to>
          <xdr:col>8</xdr:col>
          <xdr:colOff>95250</xdr:colOff>
          <xdr:row>3</xdr:row>
          <xdr:rowOff>0</xdr:rowOff>
        </xdr:to>
        <xdr:sp macro="" textlink="">
          <xdr:nvSpPr>
            <xdr:cNvPr id="21539" name="cmdReport" hidden="1">
              <a:extLst>
                <a:ext uri="{63B3BB69-23CF-44E3-9099-C40C66FF867C}">
                  <a14:compatExt spid="_x0000_s21539"/>
                </a:ext>
                <a:ext uri="{FF2B5EF4-FFF2-40B4-BE49-F238E27FC236}">
                  <a16:creationId xmlns:a16="http://schemas.microsoft.com/office/drawing/2014/main" id="{00000000-0008-0000-0800-00002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5</xdr:row>
          <xdr:rowOff>19050</xdr:rowOff>
        </xdr:from>
        <xdr:to>
          <xdr:col>3</xdr:col>
          <xdr:colOff>28575</xdr:colOff>
          <xdr:row>6</xdr:row>
          <xdr:rowOff>19050</xdr:rowOff>
        </xdr:to>
        <xdr:sp macro="" textlink="">
          <xdr:nvSpPr>
            <xdr:cNvPr id="21540" name="txtTrackingNo" hidden="1">
              <a:extLst>
                <a:ext uri="{63B3BB69-23CF-44E3-9099-C40C66FF867C}">
                  <a14:compatExt spid="_x0000_s21540"/>
                </a:ext>
                <a:ext uri="{FF2B5EF4-FFF2-40B4-BE49-F238E27FC236}">
                  <a16:creationId xmlns:a16="http://schemas.microsoft.com/office/drawing/2014/main" id="{00000000-0008-0000-0800-00002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7</xdr:row>
          <xdr:rowOff>9525</xdr:rowOff>
        </xdr:from>
        <xdr:to>
          <xdr:col>3</xdr:col>
          <xdr:colOff>28575</xdr:colOff>
          <xdr:row>8</xdr:row>
          <xdr:rowOff>9525</xdr:rowOff>
        </xdr:to>
        <xdr:sp macro="" textlink="">
          <xdr:nvSpPr>
            <xdr:cNvPr id="21541" name="txtContact" hidden="1">
              <a:extLst>
                <a:ext uri="{63B3BB69-23CF-44E3-9099-C40C66FF867C}">
                  <a14:compatExt spid="_x0000_s21541"/>
                </a:ext>
                <a:ext uri="{FF2B5EF4-FFF2-40B4-BE49-F238E27FC236}">
                  <a16:creationId xmlns:a16="http://schemas.microsoft.com/office/drawing/2014/main" id="{00000000-0008-0000-0800-00002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1</xdr:row>
          <xdr:rowOff>161925</xdr:rowOff>
        </xdr:from>
        <xdr:to>
          <xdr:col>6</xdr:col>
          <xdr:colOff>523875</xdr:colOff>
          <xdr:row>3</xdr:row>
          <xdr:rowOff>57150</xdr:rowOff>
        </xdr:to>
        <xdr:sp macro="" textlink="">
          <xdr:nvSpPr>
            <xdr:cNvPr id="25601" name="cmdGenerate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0</xdr:rowOff>
        </xdr:from>
        <xdr:to>
          <xdr:col>3</xdr:col>
          <xdr:colOff>657225</xdr:colOff>
          <xdr:row>3</xdr:row>
          <xdr:rowOff>57150</xdr:rowOff>
        </xdr:to>
        <xdr:sp macro="" textlink="">
          <xdr:nvSpPr>
            <xdr:cNvPr id="25602" name="cbSalesID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A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533400</xdr:colOff>
          <xdr:row>4</xdr:row>
          <xdr:rowOff>19050</xdr:rowOff>
        </xdr:from>
        <xdr:to>
          <xdr:col>6</xdr:col>
          <xdr:colOff>561975</xdr:colOff>
          <xdr:row>5</xdr:row>
          <xdr:rowOff>123825</xdr:rowOff>
        </xdr:to>
        <xdr:sp macro="" textlink="">
          <xdr:nvSpPr>
            <xdr:cNvPr id="25603" name="cmdMenu" hidden="1">
              <a:extLst>
                <a:ext uri="{63B3BB69-23CF-44E3-9099-C40C66FF867C}">
                  <a14:compatExt spid="_x0000_s25603"/>
                </a:ext>
                <a:ext uri="{FF2B5EF4-FFF2-40B4-BE49-F238E27FC236}">
                  <a16:creationId xmlns:a16="http://schemas.microsoft.com/office/drawing/2014/main" id="{00000000-0008-0000-0A00-00000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3</xdr:col>
          <xdr:colOff>657225</xdr:colOff>
          <xdr:row>7</xdr:row>
          <xdr:rowOff>95250</xdr:rowOff>
        </xdr:to>
        <xdr:sp macro="" textlink="">
          <xdr:nvSpPr>
            <xdr:cNvPr id="25604" name="cbTemplate" hidden="1">
              <a:extLst>
                <a:ext uri="{63B3BB69-23CF-44E3-9099-C40C66FF867C}">
                  <a14:compatExt spid="_x0000_s25604"/>
                </a:ext>
                <a:ext uri="{FF2B5EF4-FFF2-40B4-BE49-F238E27FC236}">
                  <a16:creationId xmlns:a16="http://schemas.microsoft.com/office/drawing/2014/main" id="{00000000-0008-0000-0A00-00000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</xdr:row>
          <xdr:rowOff>9525</xdr:rowOff>
        </xdr:from>
        <xdr:to>
          <xdr:col>3</xdr:col>
          <xdr:colOff>657225</xdr:colOff>
          <xdr:row>5</xdr:row>
          <xdr:rowOff>66675</xdr:rowOff>
        </xdr:to>
        <xdr:sp macro="" textlink="">
          <xdr:nvSpPr>
            <xdr:cNvPr id="25605" name="cbDPF" hidden="1">
              <a:extLst>
                <a:ext uri="{63B3BB69-23CF-44E3-9099-C40C66FF867C}">
                  <a14:compatExt spid="_x0000_s25605"/>
                </a:ext>
                <a:ext uri="{FF2B5EF4-FFF2-40B4-BE49-F238E27FC236}">
                  <a16:creationId xmlns:a16="http://schemas.microsoft.com/office/drawing/2014/main" id="{00000000-0008-0000-0A00-00000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12</xdr:row>
          <xdr:rowOff>28575</xdr:rowOff>
        </xdr:from>
        <xdr:to>
          <xdr:col>8</xdr:col>
          <xdr:colOff>276225</xdr:colOff>
          <xdr:row>12</xdr:row>
          <xdr:rowOff>190500</xdr:rowOff>
        </xdr:to>
        <xdr:sp macro="" textlink="">
          <xdr:nvSpPr>
            <xdr:cNvPr id="23553" name="chkCoolant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B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13</xdr:row>
          <xdr:rowOff>28575</xdr:rowOff>
        </xdr:from>
        <xdr:to>
          <xdr:col>1</xdr:col>
          <xdr:colOff>323850</xdr:colOff>
          <xdr:row>13</xdr:row>
          <xdr:rowOff>190500</xdr:rowOff>
        </xdr:to>
        <xdr:sp macro="" textlink="">
          <xdr:nvSpPr>
            <xdr:cNvPr id="23554" name="chkUSignalReceived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B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152400</xdr:colOff>
          <xdr:row>14</xdr:row>
          <xdr:rowOff>47625</xdr:rowOff>
        </xdr:from>
        <xdr:to>
          <xdr:col>1</xdr:col>
          <xdr:colOff>323850</xdr:colOff>
          <xdr:row>14</xdr:row>
          <xdr:rowOff>209550</xdr:rowOff>
        </xdr:to>
        <xdr:sp macro="" textlink="">
          <xdr:nvSpPr>
            <xdr:cNvPr id="23555" name="chkECDPinDropDepth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B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57150</xdr:rowOff>
        </xdr:from>
        <xdr:to>
          <xdr:col>5</xdr:col>
          <xdr:colOff>1381125</xdr:colOff>
          <xdr:row>2</xdr:row>
          <xdr:rowOff>152400</xdr:rowOff>
        </xdr:to>
        <xdr:sp macro="" textlink="">
          <xdr:nvSpPr>
            <xdr:cNvPr id="23559" name="cmdSave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B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13</xdr:row>
          <xdr:rowOff>38100</xdr:rowOff>
        </xdr:from>
        <xdr:to>
          <xdr:col>8</xdr:col>
          <xdr:colOff>276225</xdr:colOff>
          <xdr:row>13</xdr:row>
          <xdr:rowOff>200025</xdr:rowOff>
        </xdr:to>
        <xdr:sp macro="" textlink="">
          <xdr:nvSpPr>
            <xdr:cNvPr id="23560" name="chkRedAsh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B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9525</xdr:rowOff>
        </xdr:from>
        <xdr:to>
          <xdr:col>9</xdr:col>
          <xdr:colOff>19050</xdr:colOff>
          <xdr:row>3</xdr:row>
          <xdr:rowOff>0</xdr:rowOff>
        </xdr:to>
        <xdr:sp macro="" textlink="">
          <xdr:nvSpPr>
            <xdr:cNvPr id="23570" name="cbSoot" hidden="1">
              <a:extLst>
                <a:ext uri="{63B3BB69-23CF-44E3-9099-C40C66FF867C}">
                  <a14:compatExt spid="_x0000_s23570"/>
                </a:ext>
                <a:ext uri="{FF2B5EF4-FFF2-40B4-BE49-F238E27FC236}">
                  <a16:creationId xmlns:a16="http://schemas.microsoft.com/office/drawing/2014/main" id="{00000000-0008-0000-0B00-00001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19050</xdr:rowOff>
        </xdr:from>
        <xdr:to>
          <xdr:col>9</xdr:col>
          <xdr:colOff>19050</xdr:colOff>
          <xdr:row>5</xdr:row>
          <xdr:rowOff>9525</xdr:rowOff>
        </xdr:to>
        <xdr:sp macro="" textlink="">
          <xdr:nvSpPr>
            <xdr:cNvPr id="23571" name="cbAsh" hidden="1">
              <a:extLst>
                <a:ext uri="{63B3BB69-23CF-44E3-9099-C40C66FF867C}">
                  <a14:compatExt spid="_x0000_s23571"/>
                </a:ext>
                <a:ext uri="{FF2B5EF4-FFF2-40B4-BE49-F238E27FC236}">
                  <a16:creationId xmlns:a16="http://schemas.microsoft.com/office/drawing/2014/main" id="{00000000-0008-0000-0B00-00001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9525</xdr:rowOff>
        </xdr:from>
        <xdr:to>
          <xdr:col>9</xdr:col>
          <xdr:colOff>19050</xdr:colOff>
          <xdr:row>6</xdr:row>
          <xdr:rowOff>0</xdr:rowOff>
        </xdr:to>
        <xdr:sp macro="" textlink="">
          <xdr:nvSpPr>
            <xdr:cNvPr id="23572" name="cbAshColor" hidden="1">
              <a:extLst>
                <a:ext uri="{63B3BB69-23CF-44E3-9099-C40C66FF867C}">
                  <a14:compatExt spid="_x0000_s23572"/>
                </a:ext>
                <a:ext uri="{FF2B5EF4-FFF2-40B4-BE49-F238E27FC236}">
                  <a16:creationId xmlns:a16="http://schemas.microsoft.com/office/drawing/2014/main" id="{00000000-0008-0000-0B00-00001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19050</xdr:rowOff>
        </xdr:from>
        <xdr:to>
          <xdr:col>9</xdr:col>
          <xdr:colOff>19050</xdr:colOff>
          <xdr:row>8</xdr:row>
          <xdr:rowOff>9525</xdr:rowOff>
        </xdr:to>
        <xdr:sp macro="" textlink="">
          <xdr:nvSpPr>
            <xdr:cNvPr id="23573" name="cbOutletColor" hidden="1">
              <a:extLst>
                <a:ext uri="{63B3BB69-23CF-44E3-9099-C40C66FF867C}">
                  <a14:compatExt spid="_x0000_s23573"/>
                </a:ext>
                <a:ext uri="{FF2B5EF4-FFF2-40B4-BE49-F238E27FC236}">
                  <a16:creationId xmlns:a16="http://schemas.microsoft.com/office/drawing/2014/main" id="{00000000-0008-0000-0B00-00001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23</xdr:row>
          <xdr:rowOff>28575</xdr:rowOff>
        </xdr:from>
        <xdr:to>
          <xdr:col>2</xdr:col>
          <xdr:colOff>228600</xdr:colOff>
          <xdr:row>24</xdr:row>
          <xdr:rowOff>19050</xdr:rowOff>
        </xdr:to>
        <xdr:sp macro="" textlink="">
          <xdr:nvSpPr>
            <xdr:cNvPr id="23574" name="cbBreachChannels" hidden="1">
              <a:extLst>
                <a:ext uri="{63B3BB69-23CF-44E3-9099-C40C66FF867C}">
                  <a14:compatExt spid="_x0000_s23574"/>
                </a:ext>
                <a:ext uri="{FF2B5EF4-FFF2-40B4-BE49-F238E27FC236}">
                  <a16:creationId xmlns:a16="http://schemas.microsoft.com/office/drawing/2014/main" id="{00000000-0008-0000-0B00-00001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24</xdr:row>
          <xdr:rowOff>47625</xdr:rowOff>
        </xdr:from>
        <xdr:to>
          <xdr:col>2</xdr:col>
          <xdr:colOff>228600</xdr:colOff>
          <xdr:row>25</xdr:row>
          <xdr:rowOff>38100</xdr:rowOff>
        </xdr:to>
        <xdr:sp macro="" textlink="">
          <xdr:nvSpPr>
            <xdr:cNvPr id="23575" name="cbCracking" hidden="1">
              <a:extLst>
                <a:ext uri="{63B3BB69-23CF-44E3-9099-C40C66FF867C}">
                  <a14:compatExt spid="_x0000_s23575"/>
                </a:ext>
                <a:ext uri="{FF2B5EF4-FFF2-40B4-BE49-F238E27FC236}">
                  <a16:creationId xmlns:a16="http://schemas.microsoft.com/office/drawing/2014/main" id="{00000000-0008-0000-0B00-00001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16</xdr:row>
          <xdr:rowOff>28575</xdr:rowOff>
        </xdr:from>
        <xdr:to>
          <xdr:col>8</xdr:col>
          <xdr:colOff>276225</xdr:colOff>
          <xdr:row>16</xdr:row>
          <xdr:rowOff>190500</xdr:rowOff>
        </xdr:to>
        <xdr:sp macro="" textlink="">
          <xdr:nvSpPr>
            <xdr:cNvPr id="23579" name="chkFuelOil" hidden="1">
              <a:extLst>
                <a:ext uri="{63B3BB69-23CF-44E3-9099-C40C66FF867C}">
                  <a14:compatExt spid="_x0000_s23579"/>
                </a:ext>
                <a:ext uri="{FF2B5EF4-FFF2-40B4-BE49-F238E27FC236}">
                  <a16:creationId xmlns:a16="http://schemas.microsoft.com/office/drawing/2014/main" id="{00000000-0008-0000-0B00-00001B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17</xdr:row>
          <xdr:rowOff>38100</xdr:rowOff>
        </xdr:from>
        <xdr:to>
          <xdr:col>8</xdr:col>
          <xdr:colOff>276225</xdr:colOff>
          <xdr:row>17</xdr:row>
          <xdr:rowOff>200025</xdr:rowOff>
        </xdr:to>
        <xdr:sp macro="" textlink="">
          <xdr:nvSpPr>
            <xdr:cNvPr id="23580" name="chkEngineEGRCoolant" hidden="1">
              <a:extLst>
                <a:ext uri="{63B3BB69-23CF-44E3-9099-C40C66FF867C}">
                  <a14:compatExt spid="_x0000_s23580"/>
                </a:ext>
                <a:ext uri="{FF2B5EF4-FFF2-40B4-BE49-F238E27FC236}">
                  <a16:creationId xmlns:a16="http://schemas.microsoft.com/office/drawing/2014/main" id="{00000000-0008-0000-0B00-00001C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28575</xdr:rowOff>
        </xdr:from>
        <xdr:to>
          <xdr:col>8</xdr:col>
          <xdr:colOff>276225</xdr:colOff>
          <xdr:row>18</xdr:row>
          <xdr:rowOff>190500</xdr:rowOff>
        </xdr:to>
        <xdr:sp macro="" textlink="">
          <xdr:nvSpPr>
            <xdr:cNvPr id="23581" name="chkWearCorrosion" hidden="1">
              <a:extLst>
                <a:ext uri="{63B3BB69-23CF-44E3-9099-C40C66FF867C}">
                  <a14:compatExt spid="_x0000_s23581"/>
                </a:ext>
                <a:ext uri="{FF2B5EF4-FFF2-40B4-BE49-F238E27FC236}">
                  <a16:creationId xmlns:a16="http://schemas.microsoft.com/office/drawing/2014/main" id="{00000000-0008-0000-0B00-00001D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0</xdr:rowOff>
        </xdr:from>
        <xdr:to>
          <xdr:col>10</xdr:col>
          <xdr:colOff>428625</xdr:colOff>
          <xdr:row>19</xdr:row>
          <xdr:rowOff>219075</xdr:rowOff>
        </xdr:to>
        <xdr:sp macro="" textlink="">
          <xdr:nvSpPr>
            <xdr:cNvPr id="23584" name="txtContaminantsOther" hidden="1">
              <a:extLst>
                <a:ext uri="{63B3BB69-23CF-44E3-9099-C40C66FF867C}">
                  <a14:compatExt spid="_x0000_s23584"/>
                </a:ext>
                <a:ext uri="{FF2B5EF4-FFF2-40B4-BE49-F238E27FC236}">
                  <a16:creationId xmlns:a16="http://schemas.microsoft.com/office/drawing/2014/main" id="{00000000-0008-0000-0B00-000020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22</xdr:row>
          <xdr:rowOff>9525</xdr:rowOff>
        </xdr:from>
        <xdr:to>
          <xdr:col>9</xdr:col>
          <xdr:colOff>57150</xdr:colOff>
          <xdr:row>23</xdr:row>
          <xdr:rowOff>9525</xdr:rowOff>
        </xdr:to>
        <xdr:sp macro="" textlink="">
          <xdr:nvSpPr>
            <xdr:cNvPr id="23586" name="cbSubstrateOveralCondition" hidden="1">
              <a:extLst>
                <a:ext uri="{63B3BB69-23CF-44E3-9099-C40C66FF867C}">
                  <a14:compatExt spid="_x0000_s23586"/>
                </a:ext>
                <a:ext uri="{FF2B5EF4-FFF2-40B4-BE49-F238E27FC236}">
                  <a16:creationId xmlns:a16="http://schemas.microsoft.com/office/drawing/2014/main" id="{00000000-0008-0000-0B00-00002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4</xdr:row>
          <xdr:rowOff>95250</xdr:rowOff>
        </xdr:from>
        <xdr:to>
          <xdr:col>5</xdr:col>
          <xdr:colOff>1381125</xdr:colOff>
          <xdr:row>5</xdr:row>
          <xdr:rowOff>190500</xdr:rowOff>
        </xdr:to>
        <xdr:sp macro="" textlink="">
          <xdr:nvSpPr>
            <xdr:cNvPr id="23587" name="cmdBack" hidden="1">
              <a:extLst>
                <a:ext uri="{63B3BB69-23CF-44E3-9099-C40C66FF867C}">
                  <a14:compatExt spid="_x0000_s23587"/>
                </a:ext>
                <a:ext uri="{FF2B5EF4-FFF2-40B4-BE49-F238E27FC236}">
                  <a16:creationId xmlns:a16="http://schemas.microsoft.com/office/drawing/2014/main" id="{00000000-0008-0000-0B00-00002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</xdr:row>
          <xdr:rowOff>85725</xdr:rowOff>
        </xdr:from>
        <xdr:to>
          <xdr:col>8</xdr:col>
          <xdr:colOff>1323975</xdr:colOff>
          <xdr:row>2</xdr:row>
          <xdr:rowOff>171450</xdr:rowOff>
        </xdr:to>
        <xdr:sp macro="" textlink="">
          <xdr:nvSpPr>
            <xdr:cNvPr id="24580" name="cmdSave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C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85725</xdr:rowOff>
        </xdr:from>
        <xdr:to>
          <xdr:col>8</xdr:col>
          <xdr:colOff>1381125</xdr:colOff>
          <xdr:row>9</xdr:row>
          <xdr:rowOff>0</xdr:rowOff>
        </xdr:to>
        <xdr:sp macro="" textlink="">
          <xdr:nvSpPr>
            <xdr:cNvPr id="24584" name="cmdMenu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C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28575</xdr:rowOff>
        </xdr:from>
        <xdr:to>
          <xdr:col>8</xdr:col>
          <xdr:colOff>1371600</xdr:colOff>
          <xdr:row>5</xdr:row>
          <xdr:rowOff>161925</xdr:rowOff>
        </xdr:to>
        <xdr:sp macro="" textlink="">
          <xdr:nvSpPr>
            <xdr:cNvPr id="24586" name="cmdBack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C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temp/temp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Company"/>
      <sheetName val="CompanyLocation"/>
      <sheetName val="Contacts"/>
      <sheetName val="Vehicle"/>
      <sheetName val="Engine"/>
      <sheetName val="Manufacturer"/>
      <sheetName val="ECD"/>
      <sheetName val="Quality"/>
      <sheetName val="QAProces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.xml"/><Relationship Id="rId13" Type="http://schemas.openxmlformats.org/officeDocument/2006/relationships/image" Target="../media/image13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ntrol" Target="../activeX/activeX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0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5" Type="http://schemas.openxmlformats.org/officeDocument/2006/relationships/image" Target="../media/image14.emf"/><Relationship Id="rId10" Type="http://schemas.openxmlformats.org/officeDocument/2006/relationships/control" Target="../activeX/activeX12.xml"/><Relationship Id="rId4" Type="http://schemas.openxmlformats.org/officeDocument/2006/relationships/control" Target="../activeX/activeX9.xml"/><Relationship Id="rId9" Type="http://schemas.openxmlformats.org/officeDocument/2006/relationships/image" Target="../media/image11.emf"/><Relationship Id="rId14" Type="http://schemas.openxmlformats.org/officeDocument/2006/relationships/control" Target="../activeX/activeX1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5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2.emf"/><Relationship Id="rId12" Type="http://schemas.openxmlformats.org/officeDocument/2006/relationships/control" Target="../activeX/activeX2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2.xml"/><Relationship Id="rId11" Type="http://schemas.openxmlformats.org/officeDocument/2006/relationships/image" Target="../media/image24.emf"/><Relationship Id="rId5" Type="http://schemas.openxmlformats.org/officeDocument/2006/relationships/image" Target="../media/image21.emf"/><Relationship Id="rId15" Type="http://schemas.openxmlformats.org/officeDocument/2006/relationships/image" Target="../media/image26.emf"/><Relationship Id="rId10" Type="http://schemas.openxmlformats.org/officeDocument/2006/relationships/control" Target="../activeX/activeX24.xml"/><Relationship Id="rId4" Type="http://schemas.openxmlformats.org/officeDocument/2006/relationships/control" Target="../activeX/activeX21.xml"/><Relationship Id="rId9" Type="http://schemas.openxmlformats.org/officeDocument/2006/relationships/image" Target="../media/image23.emf"/><Relationship Id="rId14" Type="http://schemas.openxmlformats.org/officeDocument/2006/relationships/control" Target="../activeX/activeX2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9.xml"/><Relationship Id="rId13" Type="http://schemas.openxmlformats.org/officeDocument/2006/relationships/image" Target="../media/image31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8.emf"/><Relationship Id="rId12" Type="http://schemas.openxmlformats.org/officeDocument/2006/relationships/control" Target="../activeX/activeX3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8.xml"/><Relationship Id="rId11" Type="http://schemas.openxmlformats.org/officeDocument/2006/relationships/image" Target="../media/image30.emf"/><Relationship Id="rId5" Type="http://schemas.openxmlformats.org/officeDocument/2006/relationships/image" Target="../media/image27.emf"/><Relationship Id="rId15" Type="http://schemas.openxmlformats.org/officeDocument/2006/relationships/image" Target="../media/image32.emf"/><Relationship Id="rId10" Type="http://schemas.openxmlformats.org/officeDocument/2006/relationships/control" Target="../activeX/activeX30.xml"/><Relationship Id="rId4" Type="http://schemas.openxmlformats.org/officeDocument/2006/relationships/control" Target="../activeX/activeX27.xml"/><Relationship Id="rId9" Type="http://schemas.openxmlformats.org/officeDocument/2006/relationships/image" Target="../media/image29.emf"/><Relationship Id="rId14" Type="http://schemas.openxmlformats.org/officeDocument/2006/relationships/control" Target="../activeX/activeX32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5.xml"/><Relationship Id="rId13" Type="http://schemas.openxmlformats.org/officeDocument/2006/relationships/image" Target="../media/image37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34.emf"/><Relationship Id="rId12" Type="http://schemas.openxmlformats.org/officeDocument/2006/relationships/control" Target="../activeX/activeX3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4.xml"/><Relationship Id="rId11" Type="http://schemas.openxmlformats.org/officeDocument/2006/relationships/image" Target="../media/image36.emf"/><Relationship Id="rId5" Type="http://schemas.openxmlformats.org/officeDocument/2006/relationships/image" Target="../media/image33.emf"/><Relationship Id="rId15" Type="http://schemas.openxmlformats.org/officeDocument/2006/relationships/image" Target="../media/image38.emf"/><Relationship Id="rId10" Type="http://schemas.openxmlformats.org/officeDocument/2006/relationships/control" Target="../activeX/activeX36.xml"/><Relationship Id="rId4" Type="http://schemas.openxmlformats.org/officeDocument/2006/relationships/control" Target="../activeX/activeX33.xml"/><Relationship Id="rId9" Type="http://schemas.openxmlformats.org/officeDocument/2006/relationships/image" Target="../media/image35.emf"/><Relationship Id="rId14" Type="http://schemas.openxmlformats.org/officeDocument/2006/relationships/control" Target="../activeX/activeX38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1.xml"/><Relationship Id="rId3" Type="http://schemas.openxmlformats.org/officeDocument/2006/relationships/vmlDrawing" Target="../drawings/vmlDrawing7.vml"/><Relationship Id="rId7" Type="http://schemas.openxmlformats.org/officeDocument/2006/relationships/image" Target="../media/image40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40.xml"/><Relationship Id="rId5" Type="http://schemas.openxmlformats.org/officeDocument/2006/relationships/image" Target="../media/image39.emf"/><Relationship Id="rId4" Type="http://schemas.openxmlformats.org/officeDocument/2006/relationships/control" Target="../activeX/activeX39.xml"/><Relationship Id="rId9" Type="http://schemas.openxmlformats.org/officeDocument/2006/relationships/image" Target="../media/image41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4.xml"/><Relationship Id="rId13" Type="http://schemas.openxmlformats.org/officeDocument/2006/relationships/image" Target="../media/image46.emf"/><Relationship Id="rId3" Type="http://schemas.openxmlformats.org/officeDocument/2006/relationships/vmlDrawing" Target="../drawings/vmlDrawing8.vml"/><Relationship Id="rId7" Type="http://schemas.openxmlformats.org/officeDocument/2006/relationships/image" Target="../media/image43.emf"/><Relationship Id="rId12" Type="http://schemas.openxmlformats.org/officeDocument/2006/relationships/control" Target="../activeX/activeX46.xml"/><Relationship Id="rId17" Type="http://schemas.openxmlformats.org/officeDocument/2006/relationships/image" Target="../media/image48.emf"/><Relationship Id="rId2" Type="http://schemas.openxmlformats.org/officeDocument/2006/relationships/drawing" Target="../drawings/drawing8.xml"/><Relationship Id="rId16" Type="http://schemas.openxmlformats.org/officeDocument/2006/relationships/control" Target="../activeX/activeX4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3.xml"/><Relationship Id="rId11" Type="http://schemas.openxmlformats.org/officeDocument/2006/relationships/image" Target="../media/image45.emf"/><Relationship Id="rId5" Type="http://schemas.openxmlformats.org/officeDocument/2006/relationships/image" Target="../media/image42.emf"/><Relationship Id="rId15" Type="http://schemas.openxmlformats.org/officeDocument/2006/relationships/image" Target="../media/image47.emf"/><Relationship Id="rId10" Type="http://schemas.openxmlformats.org/officeDocument/2006/relationships/control" Target="../activeX/activeX45.xml"/><Relationship Id="rId4" Type="http://schemas.openxmlformats.org/officeDocument/2006/relationships/control" Target="../activeX/activeX42.xml"/><Relationship Id="rId9" Type="http://schemas.openxmlformats.org/officeDocument/2006/relationships/image" Target="../media/image44.emf"/><Relationship Id="rId14" Type="http://schemas.openxmlformats.org/officeDocument/2006/relationships/control" Target="../activeX/activeX4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1.xml"/><Relationship Id="rId13" Type="http://schemas.openxmlformats.org/officeDocument/2006/relationships/control" Target="../activeX/activeX54.xml"/><Relationship Id="rId18" Type="http://schemas.openxmlformats.org/officeDocument/2006/relationships/control" Target="../activeX/activeX58.xml"/><Relationship Id="rId26" Type="http://schemas.openxmlformats.org/officeDocument/2006/relationships/control" Target="../activeX/activeX64.xml"/><Relationship Id="rId39" Type="http://schemas.openxmlformats.org/officeDocument/2006/relationships/control" Target="../activeX/activeX71.xml"/><Relationship Id="rId3" Type="http://schemas.openxmlformats.org/officeDocument/2006/relationships/vmlDrawing" Target="../drawings/vmlDrawing9.vml"/><Relationship Id="rId21" Type="http://schemas.openxmlformats.org/officeDocument/2006/relationships/image" Target="../media/image55.emf"/><Relationship Id="rId34" Type="http://schemas.openxmlformats.org/officeDocument/2006/relationships/image" Target="../media/image59.emf"/><Relationship Id="rId42" Type="http://schemas.openxmlformats.org/officeDocument/2006/relationships/image" Target="../media/image63.emf"/><Relationship Id="rId7" Type="http://schemas.openxmlformats.org/officeDocument/2006/relationships/image" Target="../media/image50.emf"/><Relationship Id="rId12" Type="http://schemas.openxmlformats.org/officeDocument/2006/relationships/control" Target="../activeX/activeX53.xml"/><Relationship Id="rId17" Type="http://schemas.openxmlformats.org/officeDocument/2006/relationships/image" Target="../media/image53.emf"/><Relationship Id="rId25" Type="http://schemas.openxmlformats.org/officeDocument/2006/relationships/control" Target="../activeX/activeX63.xml"/><Relationship Id="rId33" Type="http://schemas.openxmlformats.org/officeDocument/2006/relationships/control" Target="../activeX/activeX68.xml"/><Relationship Id="rId38" Type="http://schemas.openxmlformats.org/officeDocument/2006/relationships/image" Target="../media/image61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57.xml"/><Relationship Id="rId20" Type="http://schemas.openxmlformats.org/officeDocument/2006/relationships/control" Target="../activeX/activeX59.xml"/><Relationship Id="rId29" Type="http://schemas.openxmlformats.org/officeDocument/2006/relationships/control" Target="../activeX/activeX66.xml"/><Relationship Id="rId41" Type="http://schemas.openxmlformats.org/officeDocument/2006/relationships/control" Target="../activeX/activeX7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50.xml"/><Relationship Id="rId11" Type="http://schemas.openxmlformats.org/officeDocument/2006/relationships/image" Target="../media/image52.emf"/><Relationship Id="rId24" Type="http://schemas.openxmlformats.org/officeDocument/2006/relationships/control" Target="../activeX/activeX62.xml"/><Relationship Id="rId32" Type="http://schemas.openxmlformats.org/officeDocument/2006/relationships/image" Target="../media/image58.emf"/><Relationship Id="rId37" Type="http://schemas.openxmlformats.org/officeDocument/2006/relationships/control" Target="../activeX/activeX70.xml"/><Relationship Id="rId40" Type="http://schemas.openxmlformats.org/officeDocument/2006/relationships/image" Target="../media/image62.emf"/><Relationship Id="rId45" Type="http://schemas.openxmlformats.org/officeDocument/2006/relationships/control" Target="../activeX/activeX74.xml"/><Relationship Id="rId5" Type="http://schemas.openxmlformats.org/officeDocument/2006/relationships/image" Target="../media/image49.emf"/><Relationship Id="rId15" Type="http://schemas.openxmlformats.org/officeDocument/2006/relationships/control" Target="../activeX/activeX56.xml"/><Relationship Id="rId23" Type="http://schemas.openxmlformats.org/officeDocument/2006/relationships/control" Target="../activeX/activeX61.xml"/><Relationship Id="rId28" Type="http://schemas.openxmlformats.org/officeDocument/2006/relationships/image" Target="../media/image56.emf"/><Relationship Id="rId36" Type="http://schemas.openxmlformats.org/officeDocument/2006/relationships/image" Target="../media/image60.emf"/><Relationship Id="rId10" Type="http://schemas.openxmlformats.org/officeDocument/2006/relationships/control" Target="../activeX/activeX52.xml"/><Relationship Id="rId19" Type="http://schemas.openxmlformats.org/officeDocument/2006/relationships/image" Target="../media/image54.emf"/><Relationship Id="rId31" Type="http://schemas.openxmlformats.org/officeDocument/2006/relationships/control" Target="../activeX/activeX67.xml"/><Relationship Id="rId44" Type="http://schemas.openxmlformats.org/officeDocument/2006/relationships/image" Target="../media/image64.emf"/><Relationship Id="rId4" Type="http://schemas.openxmlformats.org/officeDocument/2006/relationships/control" Target="../activeX/activeX49.xml"/><Relationship Id="rId9" Type="http://schemas.openxmlformats.org/officeDocument/2006/relationships/image" Target="../media/image51.emf"/><Relationship Id="rId14" Type="http://schemas.openxmlformats.org/officeDocument/2006/relationships/control" Target="../activeX/activeX55.xml"/><Relationship Id="rId22" Type="http://schemas.openxmlformats.org/officeDocument/2006/relationships/control" Target="../activeX/activeX60.xml"/><Relationship Id="rId27" Type="http://schemas.openxmlformats.org/officeDocument/2006/relationships/control" Target="../activeX/activeX65.xml"/><Relationship Id="rId30" Type="http://schemas.openxmlformats.org/officeDocument/2006/relationships/image" Target="../media/image57.emf"/><Relationship Id="rId35" Type="http://schemas.openxmlformats.org/officeDocument/2006/relationships/control" Target="../activeX/activeX69.xml"/><Relationship Id="rId43" Type="http://schemas.openxmlformats.org/officeDocument/2006/relationships/control" Target="../activeX/activeX7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7.xml"/><Relationship Id="rId13" Type="http://schemas.openxmlformats.org/officeDocument/2006/relationships/image" Target="../media/image69.emf"/><Relationship Id="rId3" Type="http://schemas.openxmlformats.org/officeDocument/2006/relationships/vmlDrawing" Target="../drawings/vmlDrawing10.vml"/><Relationship Id="rId7" Type="http://schemas.openxmlformats.org/officeDocument/2006/relationships/image" Target="../media/image66.emf"/><Relationship Id="rId12" Type="http://schemas.openxmlformats.org/officeDocument/2006/relationships/control" Target="../activeX/activeX79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76.xml"/><Relationship Id="rId11" Type="http://schemas.openxmlformats.org/officeDocument/2006/relationships/image" Target="../media/image68.emf"/><Relationship Id="rId5" Type="http://schemas.openxmlformats.org/officeDocument/2006/relationships/image" Target="../media/image65.emf"/><Relationship Id="rId10" Type="http://schemas.openxmlformats.org/officeDocument/2006/relationships/control" Target="../activeX/activeX78.xml"/><Relationship Id="rId4" Type="http://schemas.openxmlformats.org/officeDocument/2006/relationships/control" Target="../activeX/activeX75.xml"/><Relationship Id="rId9" Type="http://schemas.openxmlformats.org/officeDocument/2006/relationships/image" Target="../media/image67.emf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2.xml"/><Relationship Id="rId13" Type="http://schemas.openxmlformats.org/officeDocument/2006/relationships/control" Target="../activeX/activeX85.xml"/><Relationship Id="rId18" Type="http://schemas.openxmlformats.org/officeDocument/2006/relationships/image" Target="../media/image76.emf"/><Relationship Id="rId26" Type="http://schemas.openxmlformats.org/officeDocument/2006/relationships/image" Target="../media/image80.emf"/><Relationship Id="rId3" Type="http://schemas.openxmlformats.org/officeDocument/2006/relationships/vmlDrawing" Target="../drawings/vmlDrawing11.vml"/><Relationship Id="rId21" Type="http://schemas.openxmlformats.org/officeDocument/2006/relationships/control" Target="../activeX/activeX89.xml"/><Relationship Id="rId7" Type="http://schemas.openxmlformats.org/officeDocument/2006/relationships/image" Target="../media/image71.emf"/><Relationship Id="rId12" Type="http://schemas.openxmlformats.org/officeDocument/2006/relationships/control" Target="../activeX/activeX84.xml"/><Relationship Id="rId17" Type="http://schemas.openxmlformats.org/officeDocument/2006/relationships/control" Target="../activeX/activeX87.xml"/><Relationship Id="rId25" Type="http://schemas.openxmlformats.org/officeDocument/2006/relationships/control" Target="../activeX/activeX91.xml"/><Relationship Id="rId2" Type="http://schemas.openxmlformats.org/officeDocument/2006/relationships/drawing" Target="../drawings/drawing11.xml"/><Relationship Id="rId16" Type="http://schemas.openxmlformats.org/officeDocument/2006/relationships/image" Target="../media/image75.emf"/><Relationship Id="rId20" Type="http://schemas.openxmlformats.org/officeDocument/2006/relationships/image" Target="../media/image77.emf"/><Relationship Id="rId29" Type="http://schemas.openxmlformats.org/officeDocument/2006/relationships/image" Target="../media/image81.emf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81.xml"/><Relationship Id="rId11" Type="http://schemas.openxmlformats.org/officeDocument/2006/relationships/image" Target="../media/image73.emf"/><Relationship Id="rId24" Type="http://schemas.openxmlformats.org/officeDocument/2006/relationships/image" Target="../media/image79.emf"/><Relationship Id="rId32" Type="http://schemas.openxmlformats.org/officeDocument/2006/relationships/control" Target="../activeX/activeX96.xml"/><Relationship Id="rId5" Type="http://schemas.openxmlformats.org/officeDocument/2006/relationships/image" Target="../media/image70.emf"/><Relationship Id="rId15" Type="http://schemas.openxmlformats.org/officeDocument/2006/relationships/control" Target="../activeX/activeX86.xml"/><Relationship Id="rId23" Type="http://schemas.openxmlformats.org/officeDocument/2006/relationships/control" Target="../activeX/activeX90.xml"/><Relationship Id="rId28" Type="http://schemas.openxmlformats.org/officeDocument/2006/relationships/control" Target="../activeX/activeX93.xml"/><Relationship Id="rId10" Type="http://schemas.openxmlformats.org/officeDocument/2006/relationships/control" Target="../activeX/activeX83.xml"/><Relationship Id="rId19" Type="http://schemas.openxmlformats.org/officeDocument/2006/relationships/control" Target="../activeX/activeX88.xml"/><Relationship Id="rId31" Type="http://schemas.openxmlformats.org/officeDocument/2006/relationships/control" Target="../activeX/activeX95.xml"/><Relationship Id="rId4" Type="http://schemas.openxmlformats.org/officeDocument/2006/relationships/control" Target="../activeX/activeX80.xml"/><Relationship Id="rId9" Type="http://schemas.openxmlformats.org/officeDocument/2006/relationships/image" Target="../media/image72.emf"/><Relationship Id="rId14" Type="http://schemas.openxmlformats.org/officeDocument/2006/relationships/image" Target="../media/image74.emf"/><Relationship Id="rId22" Type="http://schemas.openxmlformats.org/officeDocument/2006/relationships/image" Target="../media/image78.emf"/><Relationship Id="rId27" Type="http://schemas.openxmlformats.org/officeDocument/2006/relationships/control" Target="../activeX/activeX92.xml"/><Relationship Id="rId30" Type="http://schemas.openxmlformats.org/officeDocument/2006/relationships/control" Target="../activeX/activeX94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9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83.emf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98.xml"/><Relationship Id="rId5" Type="http://schemas.openxmlformats.org/officeDocument/2006/relationships/image" Target="../media/image82.emf"/><Relationship Id="rId4" Type="http://schemas.openxmlformats.org/officeDocument/2006/relationships/control" Target="../activeX/activeX97.xml"/><Relationship Id="rId9" Type="http://schemas.openxmlformats.org/officeDocument/2006/relationships/image" Target="../media/image84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3:K14"/>
  <sheetViews>
    <sheetView showGridLines="0" tabSelected="1" zoomScaleNormal="100" workbookViewId="0">
      <selection activeCell="B14" sqref="B14"/>
    </sheetView>
  </sheetViews>
  <sheetFormatPr defaultRowHeight="15" customHeight="1" x14ac:dyDescent="0.25"/>
  <cols>
    <col min="2" max="2" width="4.140625" customWidth="1"/>
    <col min="11" max="11" width="7.5703125" customWidth="1"/>
  </cols>
  <sheetData>
    <row r="3" spans="2:11" ht="15" customHeight="1" x14ac:dyDescent="0.25">
      <c r="B3" s="29"/>
      <c r="C3" s="30"/>
      <c r="D3" s="30"/>
      <c r="E3" s="30"/>
      <c r="F3" s="46"/>
      <c r="G3" s="46"/>
      <c r="H3" s="46"/>
      <c r="I3" s="46"/>
      <c r="J3" s="46"/>
      <c r="K3" s="47"/>
    </row>
    <row r="4" spans="2:11" ht="15" customHeight="1" x14ac:dyDescent="0.25">
      <c r="B4" s="31"/>
      <c r="C4" s="32"/>
      <c r="D4" s="32"/>
      <c r="E4" s="32"/>
      <c r="F4" s="48"/>
      <c r="G4" s="48"/>
      <c r="H4" s="48"/>
      <c r="I4" s="48"/>
      <c r="J4" s="48"/>
      <c r="K4" s="49"/>
    </row>
    <row r="5" spans="2:11" ht="15" customHeight="1" x14ac:dyDescent="0.25">
      <c r="B5" s="31"/>
      <c r="C5" s="32"/>
      <c r="D5" s="32"/>
      <c r="E5" s="32"/>
      <c r="F5" s="48"/>
      <c r="G5" s="48"/>
      <c r="H5" s="48"/>
      <c r="I5" s="48"/>
      <c r="J5" s="48"/>
      <c r="K5" s="49"/>
    </row>
    <row r="6" spans="2:11" ht="15" customHeight="1" x14ac:dyDescent="0.25">
      <c r="B6" s="31"/>
      <c r="C6" s="32"/>
      <c r="D6" s="32"/>
      <c r="E6" s="32"/>
      <c r="F6" s="48"/>
      <c r="G6" s="48"/>
      <c r="H6" s="48"/>
      <c r="I6" s="48"/>
      <c r="J6" s="48"/>
      <c r="K6" s="49"/>
    </row>
    <row r="7" spans="2:11" ht="15" customHeight="1" x14ac:dyDescent="0.25">
      <c r="B7" s="31"/>
      <c r="C7" s="32"/>
      <c r="D7" s="32"/>
      <c r="E7" s="32"/>
      <c r="F7" s="48"/>
      <c r="G7" s="48"/>
      <c r="H7" s="48"/>
      <c r="I7" s="48"/>
      <c r="J7" s="48"/>
      <c r="K7" s="49"/>
    </row>
    <row r="8" spans="2:11" ht="15" customHeight="1" x14ac:dyDescent="0.25">
      <c r="B8" s="31"/>
      <c r="C8" s="32"/>
      <c r="D8" s="32"/>
      <c r="E8" s="32"/>
      <c r="F8" s="48"/>
      <c r="G8" s="48"/>
      <c r="H8" s="48"/>
      <c r="I8" s="48"/>
      <c r="J8" s="48"/>
      <c r="K8" s="49"/>
    </row>
    <row r="9" spans="2:11" ht="15" customHeight="1" x14ac:dyDescent="0.25">
      <c r="B9" s="31"/>
      <c r="C9" s="32"/>
      <c r="D9" s="32"/>
      <c r="E9" s="32"/>
      <c r="F9" s="48"/>
      <c r="G9" s="48"/>
      <c r="H9" s="48"/>
      <c r="I9" s="48"/>
      <c r="J9" s="48"/>
      <c r="K9" s="49"/>
    </row>
    <row r="10" spans="2:11" ht="15" customHeight="1" x14ac:dyDescent="0.25">
      <c r="B10" s="31"/>
      <c r="C10" s="32"/>
      <c r="D10" s="32"/>
      <c r="E10" s="32"/>
      <c r="F10" s="48"/>
      <c r="G10" s="48"/>
      <c r="H10" s="48"/>
      <c r="I10" s="48"/>
      <c r="J10" s="48"/>
      <c r="K10" s="49"/>
    </row>
    <row r="11" spans="2:11" ht="15" customHeight="1" x14ac:dyDescent="0.25">
      <c r="B11" s="31"/>
      <c r="C11" s="32"/>
      <c r="D11" s="32"/>
      <c r="E11" s="32"/>
      <c r="F11" s="48"/>
      <c r="G11" s="48"/>
      <c r="H11" s="48"/>
      <c r="I11" s="48"/>
      <c r="J11" s="48"/>
      <c r="K11" s="49"/>
    </row>
    <row r="12" spans="2:11" ht="15" customHeight="1" x14ac:dyDescent="0.25">
      <c r="B12" s="31"/>
      <c r="C12" s="32"/>
      <c r="D12" s="32"/>
      <c r="E12" s="32"/>
      <c r="F12" s="48"/>
      <c r="G12" s="48"/>
      <c r="H12" s="48"/>
      <c r="I12" s="48"/>
      <c r="J12" s="48"/>
      <c r="K12" s="49"/>
    </row>
    <row r="13" spans="2:11" ht="15" customHeight="1" x14ac:dyDescent="0.25">
      <c r="B13" s="31"/>
      <c r="C13" s="32"/>
      <c r="D13" s="32"/>
      <c r="E13" s="32"/>
      <c r="F13" s="48"/>
      <c r="G13" s="48"/>
      <c r="H13" s="48"/>
      <c r="I13" s="48"/>
      <c r="J13" s="48"/>
      <c r="K13" s="49"/>
    </row>
    <row r="14" spans="2:11" ht="18" customHeight="1" x14ac:dyDescent="0.25">
      <c r="B14" s="55" t="s">
        <v>259</v>
      </c>
      <c r="C14" s="33"/>
      <c r="D14" s="33"/>
      <c r="E14" s="33"/>
      <c r="F14" s="50"/>
      <c r="G14" s="50"/>
      <c r="H14" s="50"/>
      <c r="I14" s="50"/>
      <c r="J14" s="50"/>
      <c r="K14" s="51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77" r:id="rId4" name="cmdContacts">
          <controlPr defaultSize="0" autoLine="0" r:id="rId5">
            <anchor moveWithCells="1">
              <from>
                <xdr:col>5</xdr:col>
                <xdr:colOff>209550</xdr:colOff>
                <xdr:row>5</xdr:row>
                <xdr:rowOff>66675</xdr:rowOff>
              </from>
              <to>
                <xdr:col>7</xdr:col>
                <xdr:colOff>466725</xdr:colOff>
                <xdr:row>7</xdr:row>
                <xdr:rowOff>114300</xdr:rowOff>
              </to>
            </anchor>
          </controlPr>
        </control>
      </mc:Choice>
      <mc:Fallback>
        <control shapeId="7177" r:id="rId4" name="cmdContacts"/>
      </mc:Fallback>
    </mc:AlternateContent>
    <mc:AlternateContent xmlns:mc="http://schemas.openxmlformats.org/markup-compatibility/2006">
      <mc:Choice Requires="x14">
        <control shapeId="7175" r:id="rId6" name="cmdDPF">
          <controlPr defaultSize="0" autoLine="0" autoPict="0" r:id="rId7">
            <anchor moveWithCells="1">
              <from>
                <xdr:col>1</xdr:col>
                <xdr:colOff>200025</xdr:colOff>
                <xdr:row>2</xdr:row>
                <xdr:rowOff>123825</xdr:rowOff>
              </from>
              <to>
                <xdr:col>4</xdr:col>
                <xdr:colOff>180975</xdr:colOff>
                <xdr:row>4</xdr:row>
                <xdr:rowOff>152400</xdr:rowOff>
              </to>
            </anchor>
          </controlPr>
        </control>
      </mc:Choice>
      <mc:Fallback>
        <control shapeId="7175" r:id="rId6" name="cmdDPF"/>
      </mc:Fallback>
    </mc:AlternateContent>
    <mc:AlternateContent xmlns:mc="http://schemas.openxmlformats.org/markup-compatibility/2006">
      <mc:Choice Requires="x14">
        <control shapeId="7169" r:id="rId8" name="cmdCompany">
          <controlPr defaultSize="0" autoLine="0" r:id="rId9">
            <anchor moveWithCells="1">
              <from>
                <xdr:col>5</xdr:col>
                <xdr:colOff>209550</xdr:colOff>
                <xdr:row>2</xdr:row>
                <xdr:rowOff>123825</xdr:rowOff>
              </from>
              <to>
                <xdr:col>7</xdr:col>
                <xdr:colOff>466725</xdr:colOff>
                <xdr:row>4</xdr:row>
                <xdr:rowOff>152400</xdr:rowOff>
              </to>
            </anchor>
          </controlPr>
        </control>
      </mc:Choice>
      <mc:Fallback>
        <control shapeId="7169" r:id="rId8" name="cmdCompany"/>
      </mc:Fallback>
    </mc:AlternateContent>
    <mc:AlternateContent xmlns:mc="http://schemas.openxmlformats.org/markup-compatibility/2006">
      <mc:Choice Requires="x14">
        <control shapeId="7170" r:id="rId10" name="cmdLocation">
          <controlPr defaultSize="0" autoLine="0" r:id="rId11">
            <anchor moveWithCells="1">
              <from>
                <xdr:col>5</xdr:col>
                <xdr:colOff>209550</xdr:colOff>
                <xdr:row>8</xdr:row>
                <xdr:rowOff>0</xdr:rowOff>
              </from>
              <to>
                <xdr:col>7</xdr:col>
                <xdr:colOff>466725</xdr:colOff>
                <xdr:row>10</xdr:row>
                <xdr:rowOff>47625</xdr:rowOff>
              </to>
            </anchor>
          </controlPr>
        </control>
      </mc:Choice>
      <mc:Fallback>
        <control shapeId="7170" r:id="rId10" name="cmdLocation"/>
      </mc:Fallback>
    </mc:AlternateContent>
    <mc:AlternateContent xmlns:mc="http://schemas.openxmlformats.org/markup-compatibility/2006">
      <mc:Choice Requires="x14">
        <control shapeId="7171" r:id="rId12" name="cmdVehicle">
          <controlPr defaultSize="0" autoLine="0" r:id="rId13">
            <anchor moveWithCells="1">
              <from>
                <xdr:col>5</xdr:col>
                <xdr:colOff>209550</xdr:colOff>
                <xdr:row>10</xdr:row>
                <xdr:rowOff>123825</xdr:rowOff>
              </from>
              <to>
                <xdr:col>7</xdr:col>
                <xdr:colOff>466725</xdr:colOff>
                <xdr:row>12</xdr:row>
                <xdr:rowOff>171450</xdr:rowOff>
              </to>
            </anchor>
          </controlPr>
        </control>
      </mc:Choice>
      <mc:Fallback>
        <control shapeId="7171" r:id="rId12" name="cmdVehicle"/>
      </mc:Fallback>
    </mc:AlternateContent>
    <mc:AlternateContent xmlns:mc="http://schemas.openxmlformats.org/markup-compatibility/2006">
      <mc:Choice Requires="x14">
        <control shapeId="7172" r:id="rId14" name="cmdEngine">
          <controlPr defaultSize="0" autoLine="0" r:id="rId15">
            <anchor moveWithCells="1">
              <from>
                <xdr:col>8</xdr:col>
                <xdr:colOff>104775</xdr:colOff>
                <xdr:row>2</xdr:row>
                <xdr:rowOff>152400</xdr:rowOff>
              </from>
              <to>
                <xdr:col>10</xdr:col>
                <xdr:colOff>257175</xdr:colOff>
                <xdr:row>4</xdr:row>
                <xdr:rowOff>180975</xdr:rowOff>
              </to>
            </anchor>
          </controlPr>
        </control>
      </mc:Choice>
      <mc:Fallback>
        <control shapeId="7172" r:id="rId14" name="cmdEngine"/>
      </mc:Fallback>
    </mc:AlternateContent>
    <mc:AlternateContent xmlns:mc="http://schemas.openxmlformats.org/markup-compatibility/2006">
      <mc:Choice Requires="x14">
        <control shapeId="7173" r:id="rId16" name="cmdManufacturer">
          <controlPr defaultSize="0" autoLine="0" r:id="rId17">
            <anchor moveWithCells="1">
              <from>
                <xdr:col>8</xdr:col>
                <xdr:colOff>104775</xdr:colOff>
                <xdr:row>10</xdr:row>
                <xdr:rowOff>123825</xdr:rowOff>
              </from>
              <to>
                <xdr:col>10</xdr:col>
                <xdr:colOff>257175</xdr:colOff>
                <xdr:row>12</xdr:row>
                <xdr:rowOff>171450</xdr:rowOff>
              </to>
            </anchor>
          </controlPr>
        </control>
      </mc:Choice>
      <mc:Fallback>
        <control shapeId="7173" r:id="rId16" name="cmdManufacturer"/>
      </mc:Fallback>
    </mc:AlternateContent>
    <mc:AlternateContent xmlns:mc="http://schemas.openxmlformats.org/markup-compatibility/2006">
      <mc:Choice Requires="x14">
        <control shapeId="7180" r:id="rId18" name="cmdReports">
          <controlPr defaultSize="0" autoLine="0" r:id="rId19">
            <anchor moveWithCells="1">
              <from>
                <xdr:col>1</xdr:col>
                <xdr:colOff>200025</xdr:colOff>
                <xdr:row>5</xdr:row>
                <xdr:rowOff>66675</xdr:rowOff>
              </from>
              <to>
                <xdr:col>4</xdr:col>
                <xdr:colOff>180975</xdr:colOff>
                <xdr:row>7</xdr:row>
                <xdr:rowOff>95250</xdr:rowOff>
              </to>
            </anchor>
          </controlPr>
        </control>
      </mc:Choice>
      <mc:Fallback>
        <control shapeId="7180" r:id="rId18" name="cmdReport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E11"/>
  <sheetViews>
    <sheetView showGridLines="0" workbookViewId="0">
      <selection activeCell="C4" sqref="C4"/>
    </sheetView>
  </sheetViews>
  <sheetFormatPr defaultRowHeight="30" customHeight="1" x14ac:dyDescent="0.25"/>
  <cols>
    <col min="2" max="2" width="30.85546875" style="10" bestFit="1" customWidth="1"/>
    <col min="3" max="3" width="41.85546875" style="9" customWidth="1"/>
    <col min="5" max="5" width="32.5703125" customWidth="1"/>
  </cols>
  <sheetData>
    <row r="1" spans="2:5" ht="30" customHeight="1" x14ac:dyDescent="0.25">
      <c r="C1" s="8"/>
    </row>
    <row r="2" spans="2:5" ht="30" customHeight="1" x14ac:dyDescent="0.25">
      <c r="B2" s="11" t="s">
        <v>43</v>
      </c>
      <c r="C2" s="15">
        <v>18</v>
      </c>
    </row>
    <row r="3" spans="2:5" ht="30" customHeight="1" x14ac:dyDescent="0.25">
      <c r="B3" s="11" t="s">
        <v>43</v>
      </c>
      <c r="C3" s="14" t="s">
        <v>191</v>
      </c>
      <c r="E3" s="37"/>
    </row>
    <row r="4" spans="2:5" ht="30" customHeight="1" x14ac:dyDescent="0.25">
      <c r="B4" s="11" t="s">
        <v>186</v>
      </c>
      <c r="C4" s="14" t="s">
        <v>195</v>
      </c>
      <c r="E4" s="34"/>
    </row>
    <row r="5" spans="2:5" ht="30" customHeight="1" x14ac:dyDescent="0.25">
      <c r="B5" s="11" t="s">
        <v>44</v>
      </c>
      <c r="C5" s="14" t="s">
        <v>192</v>
      </c>
      <c r="E5" s="37"/>
    </row>
    <row r="6" spans="2:5" ht="30" customHeight="1" x14ac:dyDescent="0.25">
      <c r="B6" s="11" t="s">
        <v>45</v>
      </c>
      <c r="C6" s="14" t="s">
        <v>189</v>
      </c>
    </row>
    <row r="7" spans="2:5" ht="30" customHeight="1" x14ac:dyDescent="0.25">
      <c r="B7" s="11" t="s">
        <v>46</v>
      </c>
      <c r="C7" s="14" t="s">
        <v>193</v>
      </c>
    </row>
    <row r="8" spans="2:5" ht="30" customHeight="1" x14ac:dyDescent="0.25">
      <c r="B8" s="11" t="s">
        <v>47</v>
      </c>
      <c r="C8" s="14"/>
    </row>
    <row r="9" spans="2:5" ht="30" customHeight="1" x14ac:dyDescent="0.25">
      <c r="B9" s="11" t="s">
        <v>48</v>
      </c>
      <c r="C9" s="14" t="s">
        <v>194</v>
      </c>
    </row>
    <row r="10" spans="2:5" ht="30" customHeight="1" x14ac:dyDescent="0.25">
      <c r="B10" s="11" t="s">
        <v>49</v>
      </c>
      <c r="C10" s="14"/>
    </row>
    <row r="11" spans="2:5" ht="30" customHeight="1" x14ac:dyDescent="0.25">
      <c r="B11" s="11" t="s">
        <v>168</v>
      </c>
      <c r="C11" s="14"/>
    </row>
  </sheetData>
  <sheetProtection sheet="1" selectLockedCells="1"/>
  <protectedRanges>
    <protectedRange sqref="C3:C7" name="Main"/>
    <protectedRange sqref="E3" name="Note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mdMenu">
          <controlPr autoLine="0" r:id="rId5">
            <anchor moveWithCells="1">
              <from>
                <xdr:col>4</xdr:col>
                <xdr:colOff>47625</xdr:colOff>
                <xdr:row>3</xdr:row>
                <xdr:rowOff>19050</xdr:rowOff>
              </from>
              <to>
                <xdr:col>4</xdr:col>
                <xdr:colOff>1419225</xdr:colOff>
                <xdr:row>3</xdr:row>
                <xdr:rowOff>352425</xdr:rowOff>
              </to>
            </anchor>
          </controlPr>
        </control>
      </mc:Choice>
      <mc:Fallback>
        <control shapeId="3079" r:id="rId4" name="cmdMenu"/>
      </mc:Fallback>
    </mc:AlternateContent>
    <mc:AlternateContent xmlns:mc="http://schemas.openxmlformats.org/markup-compatibility/2006">
      <mc:Choice Requires="x14">
        <control shapeId="3077" r:id="rId6" name="cmdSave">
          <controlPr autoLine="0" r:id="rId7">
            <anchor moveWithCells="1">
              <from>
                <xdr:col>4</xdr:col>
                <xdr:colOff>28575</xdr:colOff>
                <xdr:row>1</xdr:row>
                <xdr:rowOff>0</xdr:rowOff>
              </from>
              <to>
                <xdr:col>4</xdr:col>
                <xdr:colOff>1400175</xdr:colOff>
                <xdr:row>1</xdr:row>
                <xdr:rowOff>333375</xdr:rowOff>
              </to>
            </anchor>
          </controlPr>
        </control>
      </mc:Choice>
      <mc:Fallback>
        <control shapeId="3077" r:id="rId6" name="cmdSave"/>
      </mc:Fallback>
    </mc:AlternateContent>
    <mc:AlternateContent xmlns:mc="http://schemas.openxmlformats.org/markup-compatibility/2006">
      <mc:Choice Requires="x14">
        <control shapeId="3075" r:id="rId8" name="cbState">
          <controlPr autoLine="0" r:id="rId9">
            <anchor moveWithCells="1">
              <from>
                <xdr:col>2</xdr:col>
                <xdr:colOff>19050</xdr:colOff>
                <xdr:row>7</xdr:row>
                <xdr:rowOff>28575</xdr:rowOff>
              </from>
              <to>
                <xdr:col>2</xdr:col>
                <xdr:colOff>2762250</xdr:colOff>
                <xdr:row>7</xdr:row>
                <xdr:rowOff>352425</xdr:rowOff>
              </to>
            </anchor>
          </controlPr>
        </control>
      </mc:Choice>
      <mc:Fallback>
        <control shapeId="3075" r:id="rId8" name="cbState"/>
      </mc:Fallback>
    </mc:AlternateContent>
    <mc:AlternateContent xmlns:mc="http://schemas.openxmlformats.org/markup-compatibility/2006">
      <mc:Choice Requires="x14">
        <control shapeId="3074" r:id="rId10" name="chkActive">
          <controlPr autoLine="0" autoPict="0" r:id="rId11">
            <anchor moveWithCells="1">
              <from>
                <xdr:col>2</xdr:col>
                <xdr:colOff>257175</xdr:colOff>
                <xdr:row>9</xdr:row>
                <xdr:rowOff>95250</xdr:rowOff>
              </from>
              <to>
                <xdr:col>2</xdr:col>
                <xdr:colOff>447675</xdr:colOff>
                <xdr:row>9</xdr:row>
                <xdr:rowOff>304800</xdr:rowOff>
              </to>
            </anchor>
          </controlPr>
        </control>
      </mc:Choice>
      <mc:Fallback>
        <control shapeId="3074" r:id="rId10" name="chkActive"/>
      </mc:Fallback>
    </mc:AlternateContent>
    <mc:AlternateContent xmlns:mc="http://schemas.openxmlformats.org/markup-compatibility/2006">
      <mc:Choice Requires="x14">
        <control shapeId="3073" r:id="rId12" name="cbCompany">
          <controlPr autoLine="0" r:id="rId13">
            <anchor moveWithCells="1">
              <from>
                <xdr:col>2</xdr:col>
                <xdr:colOff>19050</xdr:colOff>
                <xdr:row>1</xdr:row>
                <xdr:rowOff>28575</xdr:rowOff>
              </from>
              <to>
                <xdr:col>2</xdr:col>
                <xdr:colOff>2762250</xdr:colOff>
                <xdr:row>1</xdr:row>
                <xdr:rowOff>352425</xdr:rowOff>
              </to>
            </anchor>
          </controlPr>
        </control>
      </mc:Choice>
      <mc:Fallback>
        <control shapeId="3073" r:id="rId12" name="cbCompany"/>
      </mc:Fallback>
    </mc:AlternateContent>
    <mc:AlternateContent xmlns:mc="http://schemas.openxmlformats.org/markup-compatibility/2006">
      <mc:Choice Requires="x14">
        <control shapeId="3078" r:id="rId14" name="cbCompContact">
          <controlPr autoLine="0" autoPict="0" r:id="rId15">
            <anchor moveWithCells="1">
              <from>
                <xdr:col>2</xdr:col>
                <xdr:colOff>28575</xdr:colOff>
                <xdr:row>10</xdr:row>
                <xdr:rowOff>19050</xdr:rowOff>
              </from>
              <to>
                <xdr:col>2</xdr:col>
                <xdr:colOff>2771775</xdr:colOff>
                <xdr:row>10</xdr:row>
                <xdr:rowOff>342900</xdr:rowOff>
              </to>
            </anchor>
          </controlPr>
        </control>
      </mc:Choice>
      <mc:Fallback>
        <control shapeId="3078" r:id="rId14" name="cbCompContac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2:D11"/>
  <sheetViews>
    <sheetView showGridLines="0" workbookViewId="0">
      <selection activeCell="B6" sqref="B6"/>
    </sheetView>
  </sheetViews>
  <sheetFormatPr defaultRowHeight="30" customHeight="1" x14ac:dyDescent="0.25"/>
  <cols>
    <col min="1" max="1" width="30.85546875" bestFit="1" customWidth="1"/>
    <col min="2" max="2" width="45.5703125" style="9" customWidth="1"/>
    <col min="4" max="4" width="26.5703125" customWidth="1"/>
  </cols>
  <sheetData>
    <row r="2" spans="1:4" ht="30" customHeight="1" x14ac:dyDescent="0.25">
      <c r="A2" s="5" t="s">
        <v>34</v>
      </c>
      <c r="B2" s="12"/>
    </row>
    <row r="3" spans="1:4" ht="30" customHeight="1" x14ac:dyDescent="0.25">
      <c r="A3" s="5" t="s">
        <v>29</v>
      </c>
      <c r="B3" s="15">
        <v>28</v>
      </c>
    </row>
    <row r="4" spans="1:4" ht="30" customHeight="1" x14ac:dyDescent="0.25">
      <c r="A4" s="5" t="s">
        <v>30</v>
      </c>
      <c r="B4" s="14" t="s">
        <v>214</v>
      </c>
      <c r="D4" s="37"/>
    </row>
    <row r="5" spans="1:4" ht="30" customHeight="1" x14ac:dyDescent="0.25">
      <c r="A5" s="5" t="s">
        <v>1</v>
      </c>
      <c r="B5" s="14" t="s">
        <v>215</v>
      </c>
    </row>
    <row r="6" spans="1:4" ht="30" customHeight="1" x14ac:dyDescent="0.25">
      <c r="A6" s="5" t="s">
        <v>28</v>
      </c>
      <c r="B6" s="14"/>
    </row>
    <row r="7" spans="1:4" ht="30" customHeight="1" x14ac:dyDescent="0.25">
      <c r="A7" s="5" t="s">
        <v>2</v>
      </c>
      <c r="B7" s="14" t="s">
        <v>216</v>
      </c>
    </row>
    <row r="8" spans="1:4" ht="30" customHeight="1" x14ac:dyDescent="0.25">
      <c r="A8" s="5" t="s">
        <v>3</v>
      </c>
      <c r="B8" s="14"/>
    </row>
    <row r="9" spans="1:4" ht="30" customHeight="1" x14ac:dyDescent="0.25">
      <c r="A9" s="5" t="s">
        <v>4</v>
      </c>
      <c r="B9" s="14">
        <v>19465</v>
      </c>
    </row>
    <row r="10" spans="1:4" ht="30" customHeight="1" x14ac:dyDescent="0.25">
      <c r="A10" s="5" t="s">
        <v>164</v>
      </c>
      <c r="B10" s="14" t="s">
        <v>206</v>
      </c>
    </row>
    <row r="11" spans="1:4" ht="30" customHeight="1" x14ac:dyDescent="0.25">
      <c r="A11" s="5"/>
      <c r="B11" s="8"/>
    </row>
  </sheetData>
  <sheetProtection selectLockedCells="1"/>
  <protectedRanges>
    <protectedRange sqref="D4" name="CompanyLocationNote"/>
    <protectedRange sqref="B2:B9" name="CompanyLocation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6150" r:id="rId4" name="cmdMenu">
          <controlPr autoLine="0" r:id="rId5">
            <anchor moveWithCells="1">
              <from>
                <xdr:col>3</xdr:col>
                <xdr:colOff>38100</xdr:colOff>
                <xdr:row>4</xdr:row>
                <xdr:rowOff>85725</xdr:rowOff>
              </from>
              <to>
                <xdr:col>3</xdr:col>
                <xdr:colOff>1409700</xdr:colOff>
                <xdr:row>5</xdr:row>
                <xdr:rowOff>28575</xdr:rowOff>
              </to>
            </anchor>
          </controlPr>
        </control>
      </mc:Choice>
      <mc:Fallback>
        <control shapeId="6150" r:id="rId4" name="cmdMenu"/>
      </mc:Fallback>
    </mc:AlternateContent>
    <mc:AlternateContent xmlns:mc="http://schemas.openxmlformats.org/markup-compatibility/2006">
      <mc:Choice Requires="x14">
        <control shapeId="6149" r:id="rId6" name="cbCompLocation">
          <controlPr autoLine="0" r:id="rId7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47625</xdr:colOff>
                <xdr:row>2</xdr:row>
                <xdr:rowOff>371475</xdr:rowOff>
              </to>
            </anchor>
          </controlPr>
        </control>
      </mc:Choice>
      <mc:Fallback>
        <control shapeId="6149" r:id="rId6" name="cbCompLocation"/>
      </mc:Fallback>
    </mc:AlternateContent>
    <mc:AlternateContent xmlns:mc="http://schemas.openxmlformats.org/markup-compatibility/2006">
      <mc:Choice Requires="x14">
        <control shapeId="6148" r:id="rId8" name="cmdSave">
          <controlPr autoLine="0" r:id="rId9">
            <anchor moveWithCells="1">
              <from>
                <xdr:col>3</xdr:col>
                <xdr:colOff>38100</xdr:colOff>
                <xdr:row>2</xdr:row>
                <xdr:rowOff>19050</xdr:rowOff>
              </from>
              <to>
                <xdr:col>3</xdr:col>
                <xdr:colOff>1409700</xdr:colOff>
                <xdr:row>2</xdr:row>
                <xdr:rowOff>342900</xdr:rowOff>
              </to>
            </anchor>
          </controlPr>
        </control>
      </mc:Choice>
      <mc:Fallback>
        <control shapeId="6148" r:id="rId8" name="cmdSave"/>
      </mc:Fallback>
    </mc:AlternateContent>
    <mc:AlternateContent xmlns:mc="http://schemas.openxmlformats.org/markup-compatibility/2006">
      <mc:Choice Requires="x14">
        <control shapeId="6147" r:id="rId10" name="cbState">
          <controlPr autoLine="0" r:id="rId11">
            <anchor moveWithCells="1">
              <from>
                <xdr:col>1</xdr:col>
                <xdr:colOff>9525</xdr:colOff>
                <xdr:row>7</xdr:row>
                <xdr:rowOff>28575</xdr:rowOff>
              </from>
              <to>
                <xdr:col>2</xdr:col>
                <xdr:colOff>47625</xdr:colOff>
                <xdr:row>8</xdr:row>
                <xdr:rowOff>9525</xdr:rowOff>
              </to>
            </anchor>
          </controlPr>
        </control>
      </mc:Choice>
      <mc:Fallback>
        <control shapeId="6147" r:id="rId10" name="cbState"/>
      </mc:Fallback>
    </mc:AlternateContent>
    <mc:AlternateContent xmlns:mc="http://schemas.openxmlformats.org/markup-compatibility/2006">
      <mc:Choice Requires="x14">
        <control shapeId="614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47625</xdr:colOff>
                <xdr:row>2</xdr:row>
                <xdr:rowOff>9525</xdr:rowOff>
              </to>
            </anchor>
          </controlPr>
        </control>
      </mc:Choice>
      <mc:Fallback>
        <control shapeId="6145" r:id="rId12" name="cbCompany"/>
      </mc:Fallback>
    </mc:AlternateContent>
    <mc:AlternateContent xmlns:mc="http://schemas.openxmlformats.org/markup-compatibility/2006">
      <mc:Choice Requires="x14">
        <control shapeId="6151" r:id="rId14" name="cbContacts">
          <controlPr autoLine="0" r:id="rId15">
            <anchor moveWithCells="1">
              <from>
                <xdr:col>1</xdr:col>
                <xdr:colOff>9525</xdr:colOff>
                <xdr:row>9</xdr:row>
                <xdr:rowOff>19050</xdr:rowOff>
              </from>
              <to>
                <xdr:col>2</xdr:col>
                <xdr:colOff>47625</xdr:colOff>
                <xdr:row>9</xdr:row>
                <xdr:rowOff>333375</xdr:rowOff>
              </to>
            </anchor>
          </controlPr>
        </control>
      </mc:Choice>
      <mc:Fallback>
        <control shapeId="6151" r:id="rId14" name="cbContact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A1:G14"/>
  <sheetViews>
    <sheetView showGridLines="0" workbookViewId="0">
      <selection activeCell="F11" sqref="F11"/>
    </sheetView>
  </sheetViews>
  <sheetFormatPr defaultRowHeight="30" customHeight="1" x14ac:dyDescent="0.25"/>
  <cols>
    <col min="1" max="1" width="30.85546875" style="5" bestFit="1" customWidth="1"/>
    <col min="2" max="2" width="46" style="9" customWidth="1"/>
    <col min="4" max="4" width="35.5703125" customWidth="1"/>
  </cols>
  <sheetData>
    <row r="1" spans="1:7" ht="30" customHeight="1" x14ac:dyDescent="0.25">
      <c r="B1" s="8"/>
    </row>
    <row r="2" spans="1:7" ht="30" customHeight="1" x14ac:dyDescent="0.25">
      <c r="A2" s="5" t="s">
        <v>34</v>
      </c>
      <c r="B2" s="12"/>
    </row>
    <row r="3" spans="1:7" ht="30" customHeight="1" x14ac:dyDescent="0.25">
      <c r="A3" s="5" t="s">
        <v>41</v>
      </c>
      <c r="B3" s="15">
        <v>28</v>
      </c>
      <c r="D3" s="18"/>
      <c r="E3" s="17"/>
      <c r="F3" s="17"/>
      <c r="G3" s="17"/>
    </row>
    <row r="4" spans="1:7" ht="30" customHeight="1" x14ac:dyDescent="0.25">
      <c r="A4" s="5" t="s">
        <v>42</v>
      </c>
      <c r="B4" s="13"/>
    </row>
    <row r="5" spans="1:7" ht="30" customHeight="1" x14ac:dyDescent="0.25">
      <c r="A5" s="5" t="s">
        <v>5</v>
      </c>
      <c r="B5" s="14"/>
    </row>
    <row r="6" spans="1:7" ht="30" customHeight="1" x14ac:dyDescent="0.25">
      <c r="A6" s="5" t="s">
        <v>6</v>
      </c>
      <c r="B6" s="14"/>
    </row>
    <row r="7" spans="1:7" ht="30" customHeight="1" x14ac:dyDescent="0.25">
      <c r="A7" s="5" t="s">
        <v>1</v>
      </c>
      <c r="B7" s="14"/>
    </row>
    <row r="8" spans="1:7" ht="30" customHeight="1" x14ac:dyDescent="0.25">
      <c r="A8" s="5" t="s">
        <v>28</v>
      </c>
      <c r="B8" s="14"/>
    </row>
    <row r="9" spans="1:7" ht="30" customHeight="1" x14ac:dyDescent="0.25">
      <c r="A9" s="5" t="s">
        <v>2</v>
      </c>
      <c r="B9" s="14"/>
    </row>
    <row r="10" spans="1:7" ht="30" customHeight="1" x14ac:dyDescent="0.25">
      <c r="A10" s="5" t="s">
        <v>3</v>
      </c>
      <c r="B10" s="14"/>
    </row>
    <row r="11" spans="1:7" ht="30" customHeight="1" x14ac:dyDescent="0.25">
      <c r="A11" s="5" t="s">
        <v>4</v>
      </c>
      <c r="B11" s="14"/>
    </row>
    <row r="12" spans="1:7" ht="30" customHeight="1" x14ac:dyDescent="0.25">
      <c r="A12" s="5" t="s">
        <v>39</v>
      </c>
      <c r="B12" s="16"/>
    </row>
    <row r="13" spans="1:7" ht="30" customHeight="1" x14ac:dyDescent="0.25">
      <c r="A13" s="5" t="s">
        <v>40</v>
      </c>
      <c r="B13" s="14"/>
    </row>
    <row r="14" spans="1:7" ht="30" customHeight="1" x14ac:dyDescent="0.25">
      <c r="A14" s="5" t="s">
        <v>27</v>
      </c>
      <c r="B14" s="14"/>
    </row>
  </sheetData>
  <sheetProtection selectLockedCells="1"/>
  <protectedRanges>
    <protectedRange sqref="D3" name="ContactsNote"/>
    <protectedRange sqref="B2:B14" name="ContactsMain"/>
  </protectedRanges>
  <dataConsolidate link="1"/>
  <dataValidations count="1">
    <dataValidation type="textLength" errorStyle="information" operator="equal" allowBlank="1" showErrorMessage="1" errorTitle="Locked " error="Locked cell" sqref="D3" xr:uid="{00000000-0002-0000-0300-000000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6390" r:id="rId4" name="cmdMenu">
          <controlPr autoLine="0" autoPict="0" r:id="rId5">
            <anchor moveWithCells="1">
              <from>
                <xdr:col>3</xdr:col>
                <xdr:colOff>200025</xdr:colOff>
                <xdr:row>3</xdr:row>
                <xdr:rowOff>66675</xdr:rowOff>
              </from>
              <to>
                <xdr:col>3</xdr:col>
                <xdr:colOff>1590675</xdr:colOff>
                <xdr:row>4</xdr:row>
                <xdr:rowOff>9525</xdr:rowOff>
              </to>
            </anchor>
          </controlPr>
        </control>
      </mc:Choice>
      <mc:Fallback>
        <control shapeId="16390" r:id="rId4" name="cmdMenu"/>
      </mc:Fallback>
    </mc:AlternateContent>
    <mc:AlternateContent xmlns:mc="http://schemas.openxmlformats.org/markup-compatibility/2006">
      <mc:Choice Requires="x14">
        <control shapeId="16385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6385" r:id="rId6" name="cbCompany"/>
      </mc:Fallback>
    </mc:AlternateContent>
    <mc:AlternateContent xmlns:mc="http://schemas.openxmlformats.org/markup-compatibility/2006">
      <mc:Choice Requires="x14">
        <control shapeId="16386" r:id="rId8" name="cbState">
          <controlPr autoLine="0" r:id="rId9">
            <anchor moveWithCells="1">
              <from>
                <xdr:col>1</xdr:col>
                <xdr:colOff>9525</xdr:colOff>
                <xdr:row>9</xdr:row>
                <xdr:rowOff>28575</xdr:rowOff>
              </from>
              <to>
                <xdr:col>2</xdr:col>
                <xdr:colOff>19050</xdr:colOff>
                <xdr:row>10</xdr:row>
                <xdr:rowOff>9525</xdr:rowOff>
              </to>
            </anchor>
          </controlPr>
        </control>
      </mc:Choice>
      <mc:Fallback>
        <control shapeId="16386" r:id="rId8" name="cbState"/>
      </mc:Fallback>
    </mc:AlternateContent>
    <mc:AlternateContent xmlns:mc="http://schemas.openxmlformats.org/markup-compatibility/2006">
      <mc:Choice Requires="x14">
        <control shapeId="16387" r:id="rId10" name="cmdSave">
          <controlPr autoLine="0" r:id="rId11">
            <anchor moveWithCells="1">
              <from>
                <xdr:col>3</xdr:col>
                <xdr:colOff>200025</xdr:colOff>
                <xdr:row>1</xdr:row>
                <xdr:rowOff>28575</xdr:rowOff>
              </from>
              <to>
                <xdr:col>3</xdr:col>
                <xdr:colOff>1571625</xdr:colOff>
                <xdr:row>1</xdr:row>
                <xdr:rowOff>352425</xdr:rowOff>
              </to>
            </anchor>
          </controlPr>
        </control>
      </mc:Choice>
      <mc:Fallback>
        <control shapeId="16387" r:id="rId10" name="cmdSave"/>
      </mc:Fallback>
    </mc:AlternateContent>
    <mc:AlternateContent xmlns:mc="http://schemas.openxmlformats.org/markup-compatibility/2006">
      <mc:Choice Requires="x14">
        <control shapeId="16388" r:id="rId12" name="cbContacts">
          <controlPr autoLine="0" r:id="rId13">
            <anchor moveWithCells="1">
              <from>
                <xdr:col>1</xdr:col>
                <xdr:colOff>9525</xdr:colOff>
                <xdr:row>2</xdr:row>
                <xdr:rowOff>57150</xdr:rowOff>
              </from>
              <to>
                <xdr:col>2</xdr:col>
                <xdr:colOff>19050</xdr:colOff>
                <xdr:row>2</xdr:row>
                <xdr:rowOff>371475</xdr:rowOff>
              </to>
            </anchor>
          </controlPr>
        </control>
      </mc:Choice>
      <mc:Fallback>
        <control shapeId="16388" r:id="rId12" name="cbContacts"/>
      </mc:Fallback>
    </mc:AlternateContent>
    <mc:AlternateContent xmlns:mc="http://schemas.openxmlformats.org/markup-compatibility/2006">
      <mc:Choice Requires="x14">
        <control shapeId="16389" r:id="rId14" name="chkActive">
          <controlPr autoLine="0" r:id="rId15">
            <anchor moveWithCells="1">
              <from>
                <xdr:col>1</xdr:col>
                <xdr:colOff>257175</xdr:colOff>
                <xdr:row>13</xdr:row>
                <xdr:rowOff>95250</xdr:rowOff>
              </from>
              <to>
                <xdr:col>1</xdr:col>
                <xdr:colOff>419100</xdr:colOff>
                <xdr:row>13</xdr:row>
                <xdr:rowOff>257175</xdr:rowOff>
              </to>
            </anchor>
          </controlPr>
        </control>
      </mc:Choice>
      <mc:Fallback>
        <control shapeId="16389" r:id="rId14" name="chkActive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9"/>
  <sheetViews>
    <sheetView showGridLines="0" workbookViewId="0">
      <selection activeCell="B7" sqref="B7"/>
    </sheetView>
  </sheetViews>
  <sheetFormatPr defaultRowHeight="30" customHeight="1" x14ac:dyDescent="0.25"/>
  <cols>
    <col min="1" max="1" width="37.5703125" customWidth="1"/>
    <col min="2" max="2" width="46" style="9" customWidth="1"/>
    <col min="4" max="4" width="23.42578125" customWidth="1"/>
  </cols>
  <sheetData>
    <row r="1" spans="1:4" ht="30" customHeight="1" x14ac:dyDescent="0.25">
      <c r="B1" s="8"/>
    </row>
    <row r="2" spans="1:4" ht="30" customHeight="1" x14ac:dyDescent="0.25">
      <c r="A2" s="5" t="s">
        <v>34</v>
      </c>
      <c r="B2" s="12"/>
    </row>
    <row r="3" spans="1:4" ht="30" customHeight="1" x14ac:dyDescent="0.25">
      <c r="A3" s="5" t="s">
        <v>198</v>
      </c>
      <c r="B3" s="57" t="s">
        <v>237</v>
      </c>
      <c r="D3" s="37"/>
    </row>
    <row r="4" spans="1:4" ht="30" customHeight="1" x14ac:dyDescent="0.25">
      <c r="A4" s="5" t="s">
        <v>32</v>
      </c>
      <c r="B4" s="57" t="s">
        <v>238</v>
      </c>
    </row>
    <row r="5" spans="1:4" ht="30" customHeight="1" x14ac:dyDescent="0.25">
      <c r="A5" s="5" t="s">
        <v>9</v>
      </c>
      <c r="B5" s="14"/>
    </row>
    <row r="6" spans="1:4" ht="30" customHeight="1" x14ac:dyDescent="0.25">
      <c r="A6" s="5" t="s">
        <v>10</v>
      </c>
      <c r="B6" s="14" t="s">
        <v>239</v>
      </c>
    </row>
    <row r="7" spans="1:4" ht="30" customHeight="1" x14ac:dyDescent="0.25">
      <c r="A7" s="5" t="s">
        <v>11</v>
      </c>
      <c r="B7" s="14">
        <v>2019</v>
      </c>
    </row>
    <row r="8" spans="1:4" ht="30" customHeight="1" x14ac:dyDescent="0.25">
      <c r="A8" s="5" t="s">
        <v>187</v>
      </c>
      <c r="B8" s="14"/>
    </row>
    <row r="9" spans="1:4" ht="30" customHeight="1" x14ac:dyDescent="0.25">
      <c r="A9" s="5" t="s">
        <v>188</v>
      </c>
      <c r="B9" s="14"/>
    </row>
  </sheetData>
  <sheetProtection selectLockedCells="1"/>
  <protectedRanges>
    <protectedRange sqref="D3" name="VehicleNote"/>
    <protectedRange sqref="B2:B7" name="VehicleMain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271" r:id="rId4" name="cmdLookup">
          <controlPr autoLine="0" r:id="rId5">
            <anchor moveWithCells="1">
              <from>
                <xdr:col>3</xdr:col>
                <xdr:colOff>0</xdr:colOff>
                <xdr:row>3</xdr:row>
                <xdr:rowOff>28575</xdr:rowOff>
              </from>
              <to>
                <xdr:col>3</xdr:col>
                <xdr:colOff>1371600</xdr:colOff>
                <xdr:row>3</xdr:row>
                <xdr:rowOff>352425</xdr:rowOff>
              </to>
            </anchor>
          </controlPr>
        </control>
      </mc:Choice>
      <mc:Fallback>
        <control shapeId="11271" r:id="rId4" name="cmdLookup"/>
      </mc:Fallback>
    </mc:AlternateContent>
    <mc:AlternateContent xmlns:mc="http://schemas.openxmlformats.org/markup-compatibility/2006">
      <mc:Choice Requires="x14">
        <control shapeId="11269" r:id="rId6" name="cmdMenu">
          <controlPr autoLine="0" r:id="rId7">
            <anchor moveWithCells="1">
              <from>
                <xdr:col>3</xdr:col>
                <xdr:colOff>0</xdr:colOff>
                <xdr:row>5</xdr:row>
                <xdr:rowOff>47625</xdr:rowOff>
              </from>
              <to>
                <xdr:col>3</xdr:col>
                <xdr:colOff>1371600</xdr:colOff>
                <xdr:row>5</xdr:row>
                <xdr:rowOff>371475</xdr:rowOff>
              </to>
            </anchor>
          </controlPr>
        </control>
      </mc:Choice>
      <mc:Fallback>
        <control shapeId="11269" r:id="rId6" name="cmdMenu"/>
      </mc:Fallback>
    </mc:AlternateContent>
    <mc:AlternateContent xmlns:mc="http://schemas.openxmlformats.org/markup-compatibility/2006">
      <mc:Choice Requires="x14">
        <control shapeId="11267" r:id="rId8" name="cmdSave">
          <controlPr autoLine="0" r:id="rId9">
            <anchor moveWithCells="1">
              <from>
                <xdr:col>3</xdr:col>
                <xdr:colOff>0</xdr:colOff>
                <xdr:row>1</xdr:row>
                <xdr:rowOff>28575</xdr:rowOff>
              </from>
              <to>
                <xdr:col>3</xdr:col>
                <xdr:colOff>1371600</xdr:colOff>
                <xdr:row>1</xdr:row>
                <xdr:rowOff>352425</xdr:rowOff>
              </to>
            </anchor>
          </controlPr>
        </control>
      </mc:Choice>
      <mc:Fallback>
        <control shapeId="11267" r:id="rId8" name="cmdSave"/>
      </mc:Fallback>
    </mc:AlternateContent>
    <mc:AlternateContent xmlns:mc="http://schemas.openxmlformats.org/markup-compatibility/2006">
      <mc:Choice Requires="x14">
        <control shapeId="11266" r:id="rId10" name="cbManufacturer">
          <controlPr autoLine="0" r:id="rId11">
            <anchor moveWithCells="1">
              <from>
                <xdr:col>1</xdr:col>
                <xdr:colOff>9525</xdr:colOff>
                <xdr:row>3</xdr:row>
                <xdr:rowOff>371475</xdr:rowOff>
              </from>
              <to>
                <xdr:col>2</xdr:col>
                <xdr:colOff>19050</xdr:colOff>
                <xdr:row>4</xdr:row>
                <xdr:rowOff>352425</xdr:rowOff>
              </to>
            </anchor>
          </controlPr>
        </control>
      </mc:Choice>
      <mc:Fallback>
        <control shapeId="11266" r:id="rId10" name="cbManufacturer"/>
      </mc:Fallback>
    </mc:AlternateContent>
    <mc:AlternateContent xmlns:mc="http://schemas.openxmlformats.org/markup-compatibility/2006">
      <mc:Choice Requires="x14">
        <control shapeId="11265" r:id="rId12" name="cbCompany">
          <controlPr autoLine="0" r:id="rId13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2</xdr:col>
                <xdr:colOff>19050</xdr:colOff>
                <xdr:row>2</xdr:row>
                <xdr:rowOff>9525</xdr:rowOff>
              </to>
            </anchor>
          </controlPr>
        </control>
      </mc:Choice>
      <mc:Fallback>
        <control shapeId="11265" r:id="rId12" name="cbCompany"/>
      </mc:Fallback>
    </mc:AlternateContent>
    <mc:AlternateContent xmlns:mc="http://schemas.openxmlformats.org/markup-compatibility/2006">
      <mc:Choice Requires="x14">
        <control shapeId="11270" r:id="rId14" name="cmdBack">
          <controlPr autoLine="0" r:id="rId15">
            <anchor moveWithCells="1">
              <from>
                <xdr:col>3</xdr:col>
                <xdr:colOff>0</xdr:colOff>
                <xdr:row>4</xdr:row>
                <xdr:rowOff>38100</xdr:rowOff>
              </from>
              <to>
                <xdr:col>3</xdr:col>
                <xdr:colOff>1371600</xdr:colOff>
                <xdr:row>4</xdr:row>
                <xdr:rowOff>361950</xdr:rowOff>
              </to>
            </anchor>
          </controlPr>
        </control>
      </mc:Choice>
      <mc:Fallback>
        <control shapeId="11270" r:id="rId14" name="cmdBac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D9"/>
  <sheetViews>
    <sheetView showFormulas="1" showGridLines="0" workbookViewId="0">
      <selection activeCell="B3" sqref="B3"/>
    </sheetView>
  </sheetViews>
  <sheetFormatPr defaultRowHeight="30" customHeight="1" x14ac:dyDescent="0.25"/>
  <cols>
    <col min="1" max="1" width="13.28515625" customWidth="1"/>
    <col min="2" max="2" width="23.140625" style="9" customWidth="1"/>
    <col min="3" max="3" width="6.5703125" customWidth="1"/>
    <col min="4" max="4" width="20.5703125" customWidth="1"/>
  </cols>
  <sheetData>
    <row r="1" spans="1:4" ht="30" customHeight="1" x14ac:dyDescent="0.25">
      <c r="B1" s="8"/>
    </row>
    <row r="2" spans="1:4" ht="30" customHeight="1" x14ac:dyDescent="0.25">
      <c r="A2" s="5" t="s">
        <v>34</v>
      </c>
      <c r="B2" s="12"/>
    </row>
    <row r="3" spans="1:4" ht="30" customHeight="1" x14ac:dyDescent="0.25">
      <c r="A3" s="5" t="s">
        <v>31</v>
      </c>
      <c r="B3" s="58" t="s">
        <v>213</v>
      </c>
      <c r="D3" s="56"/>
    </row>
    <row r="4" spans="1:4" ht="30" customHeight="1" x14ac:dyDescent="0.25">
      <c r="A4" s="5" t="s">
        <v>9</v>
      </c>
      <c r="B4" s="14"/>
    </row>
    <row r="5" spans="1:4" ht="30" customHeight="1" x14ac:dyDescent="0.25">
      <c r="A5" s="5" t="s">
        <v>10</v>
      </c>
      <c r="B5" s="14"/>
    </row>
    <row r="6" spans="1:4" ht="30" customHeight="1" x14ac:dyDescent="0.25">
      <c r="A6" s="5" t="s">
        <v>11</v>
      </c>
      <c r="B6" s="35"/>
    </row>
    <row r="7" spans="1:4" ht="30" customHeight="1" x14ac:dyDescent="0.25">
      <c r="A7" s="5"/>
      <c r="B7" s="8"/>
    </row>
    <row r="8" spans="1:4" ht="30" customHeight="1" x14ac:dyDescent="0.25">
      <c r="A8" s="5"/>
      <c r="B8" s="8"/>
    </row>
    <row r="9" spans="1:4" ht="30" customHeight="1" x14ac:dyDescent="0.25">
      <c r="A9" s="5"/>
      <c r="B9" s="8"/>
    </row>
  </sheetData>
  <sheetProtection selectLockedCells="1"/>
  <protectedRanges>
    <protectedRange sqref="D3" name="EngineNote"/>
    <protectedRange sqref="B2" name="EngineMain1"/>
    <protectedRange sqref="B3:B6" name="EngineMain2"/>
  </protectedRange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7" r:id="rId4" name="cmdMenu">
          <controlPr autoLine="0" r:id="rId5">
            <anchor moveWithCells="1">
              <from>
                <xdr:col>2</xdr:col>
                <xdr:colOff>419100</xdr:colOff>
                <xdr:row>5</xdr:row>
                <xdr:rowOff>190500</xdr:rowOff>
              </from>
              <to>
                <xdr:col>3</xdr:col>
                <xdr:colOff>666750</xdr:colOff>
                <xdr:row>6</xdr:row>
                <xdr:rowOff>133350</xdr:rowOff>
              </to>
            </anchor>
          </controlPr>
        </control>
      </mc:Choice>
      <mc:Fallback>
        <control shapeId="13317" r:id="rId4" name="cmdMenu"/>
      </mc:Fallback>
    </mc:AlternateContent>
    <mc:AlternateContent xmlns:mc="http://schemas.openxmlformats.org/markup-compatibility/2006">
      <mc:Choice Requires="x14">
        <control shapeId="13313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19050</xdr:rowOff>
              </from>
              <to>
                <xdr:col>2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3313" r:id="rId6" name="cbCompany"/>
      </mc:Fallback>
    </mc:AlternateContent>
    <mc:AlternateContent xmlns:mc="http://schemas.openxmlformats.org/markup-compatibility/2006">
      <mc:Choice Requires="x14">
        <control shapeId="13314" r:id="rId8" name="cbManufacturer">
          <controlPr autoLine="0" r:id="rId9">
            <anchor moveWithCells="1">
              <from>
                <xdr:col>1</xdr:col>
                <xdr:colOff>9525</xdr:colOff>
                <xdr:row>3</xdr:row>
                <xdr:rowOff>19050</xdr:rowOff>
              </from>
              <to>
                <xdr:col>2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3314" r:id="rId8" name="cbManufacturer"/>
      </mc:Fallback>
    </mc:AlternateContent>
    <mc:AlternateContent xmlns:mc="http://schemas.openxmlformats.org/markup-compatibility/2006">
      <mc:Choice Requires="x14">
        <control shapeId="13315" r:id="rId10" name="cmdSave">
          <controlPr autoLine="0" r:id="rId11">
            <anchor moveWithCells="1">
              <from>
                <xdr:col>2</xdr:col>
                <xdr:colOff>428625</xdr:colOff>
                <xdr:row>0</xdr:row>
                <xdr:rowOff>352425</xdr:rowOff>
              </from>
              <to>
                <xdr:col>3</xdr:col>
                <xdr:colOff>676275</xdr:colOff>
                <xdr:row>1</xdr:row>
                <xdr:rowOff>295275</xdr:rowOff>
              </to>
            </anchor>
          </controlPr>
        </control>
      </mc:Choice>
      <mc:Fallback>
        <control shapeId="13315" r:id="rId10" name="cmdSave"/>
      </mc:Fallback>
    </mc:AlternateContent>
    <mc:AlternateContent xmlns:mc="http://schemas.openxmlformats.org/markup-compatibility/2006">
      <mc:Choice Requires="x14">
        <control shapeId="13318" r:id="rId12" name="cmdBack">
          <controlPr autoLine="0" r:id="rId13">
            <anchor moveWithCells="1">
              <from>
                <xdr:col>2</xdr:col>
                <xdr:colOff>428625</xdr:colOff>
                <xdr:row>4</xdr:row>
                <xdr:rowOff>133350</xdr:rowOff>
              </from>
              <to>
                <xdr:col>3</xdr:col>
                <xdr:colOff>676275</xdr:colOff>
                <xdr:row>5</xdr:row>
                <xdr:rowOff>76200</xdr:rowOff>
              </to>
            </anchor>
          </controlPr>
        </control>
      </mc:Choice>
      <mc:Fallback>
        <control shapeId="13318" r:id="rId12" name="cmdBack"/>
      </mc:Fallback>
    </mc:AlternateContent>
    <mc:AlternateContent xmlns:mc="http://schemas.openxmlformats.org/markup-compatibility/2006">
      <mc:Choice Requires="x14">
        <control shapeId="13319" r:id="rId14" name="cmdLookup">
          <controlPr autoLine="0" r:id="rId15">
            <anchor moveWithCells="1">
              <from>
                <xdr:col>2</xdr:col>
                <xdr:colOff>428625</xdr:colOff>
                <xdr:row>3</xdr:row>
                <xdr:rowOff>85725</xdr:rowOff>
              </from>
              <to>
                <xdr:col>3</xdr:col>
                <xdr:colOff>676275</xdr:colOff>
                <xdr:row>4</xdr:row>
                <xdr:rowOff>0</xdr:rowOff>
              </to>
            </anchor>
          </controlPr>
        </control>
      </mc:Choice>
      <mc:Fallback>
        <control shapeId="13319" r:id="rId14" name="cmdLookup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E9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7" style="9" customWidth="1"/>
    <col min="5" max="5" width="20.28515625" customWidth="1"/>
  </cols>
  <sheetData>
    <row r="1" spans="1:5" ht="30" customHeight="1" x14ac:dyDescent="0.25">
      <c r="B1" s="8"/>
    </row>
    <row r="2" spans="1:5" ht="30" customHeight="1" x14ac:dyDescent="0.25">
      <c r="A2" s="5" t="s">
        <v>33</v>
      </c>
      <c r="B2" s="12"/>
    </row>
    <row r="3" spans="1:5" ht="30" customHeight="1" x14ac:dyDescent="0.25">
      <c r="A3" s="5" t="s">
        <v>196</v>
      </c>
      <c r="B3" s="14" t="s">
        <v>197</v>
      </c>
      <c r="E3" t="s">
        <v>190</v>
      </c>
    </row>
    <row r="4" spans="1:5" ht="30" customHeight="1" x14ac:dyDescent="0.25">
      <c r="A4" s="5"/>
      <c r="B4" s="8"/>
    </row>
    <row r="5" spans="1:5" ht="30" customHeight="1" x14ac:dyDescent="0.25">
      <c r="A5" s="5"/>
      <c r="B5" s="8"/>
    </row>
    <row r="6" spans="1:5" ht="30" customHeight="1" x14ac:dyDescent="0.25">
      <c r="A6" s="5"/>
      <c r="B6" s="8"/>
    </row>
    <row r="7" spans="1:5" ht="30" customHeight="1" x14ac:dyDescent="0.25">
      <c r="A7" s="5"/>
      <c r="B7" s="8"/>
    </row>
    <row r="8" spans="1:5" ht="30" customHeight="1" x14ac:dyDescent="0.25">
      <c r="A8" s="5"/>
      <c r="B8" s="8"/>
    </row>
    <row r="9" spans="1:5" ht="30" customHeight="1" x14ac:dyDescent="0.25">
      <c r="A9" s="5"/>
      <c r="B9" s="8"/>
    </row>
  </sheetData>
  <sheetProtection selectLockedCells="1"/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93" r:id="rId4" name="cmdMenu">
          <controlPr autoLine="0" r:id="rId5">
            <anchor moveWithCells="1">
              <from>
                <xdr:col>3</xdr:col>
                <xdr:colOff>600075</xdr:colOff>
                <xdr:row>3</xdr:row>
                <xdr:rowOff>209550</xdr:rowOff>
              </from>
              <to>
                <xdr:col>5</xdr:col>
                <xdr:colOff>19050</xdr:colOff>
                <xdr:row>4</xdr:row>
                <xdr:rowOff>123825</xdr:rowOff>
              </to>
            </anchor>
          </controlPr>
        </control>
      </mc:Choice>
      <mc:Fallback>
        <control shapeId="12293" r:id="rId4" name="cmdMenu"/>
      </mc:Fallback>
    </mc:AlternateContent>
    <mc:AlternateContent xmlns:mc="http://schemas.openxmlformats.org/markup-compatibility/2006">
      <mc:Choice Requires="x14">
        <control shapeId="12289" r:id="rId6" name="cbManufacturer">
          <controlPr autoLine="0" r:id="rId7">
            <anchor moveWithCells="1">
              <from>
                <xdr:col>1</xdr:col>
                <xdr:colOff>9525</xdr:colOff>
                <xdr:row>1</xdr:row>
                <xdr:rowOff>9525</xdr:rowOff>
              </from>
              <to>
                <xdr:col>2</xdr:col>
                <xdr:colOff>85725</xdr:colOff>
                <xdr:row>1</xdr:row>
                <xdr:rowOff>371475</xdr:rowOff>
              </to>
            </anchor>
          </controlPr>
        </control>
      </mc:Choice>
      <mc:Fallback>
        <control shapeId="12289" r:id="rId6" name="cbManufacturer"/>
      </mc:Fallback>
    </mc:AlternateContent>
    <mc:AlternateContent xmlns:mc="http://schemas.openxmlformats.org/markup-compatibility/2006">
      <mc:Choice Requires="x14">
        <control shapeId="12292" r:id="rId8" name="cmdSave">
          <controlPr autoLine="0" r:id="rId9">
            <anchor moveWithCells="1">
              <from>
                <xdr:col>3</xdr:col>
                <xdr:colOff>581025</xdr:colOff>
                <xdr:row>1</xdr:row>
                <xdr:rowOff>28575</xdr:rowOff>
              </from>
              <to>
                <xdr:col>5</xdr:col>
                <xdr:colOff>9525</xdr:colOff>
                <xdr:row>1</xdr:row>
                <xdr:rowOff>323850</xdr:rowOff>
              </to>
            </anchor>
          </controlPr>
        </control>
      </mc:Choice>
      <mc:Fallback>
        <control shapeId="12292" r:id="rId8" name="cmdSave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E12"/>
  <sheetViews>
    <sheetView showGridLines="0" workbookViewId="0">
      <selection activeCell="B3" sqref="B3"/>
    </sheetView>
  </sheetViews>
  <sheetFormatPr defaultRowHeight="30" customHeight="1" x14ac:dyDescent="0.25"/>
  <cols>
    <col min="1" max="1" width="30.85546875" bestFit="1" customWidth="1"/>
    <col min="2" max="2" width="46.5703125" style="9" customWidth="1"/>
    <col min="5" max="5" width="22" customWidth="1"/>
  </cols>
  <sheetData>
    <row r="1" spans="1:5" ht="30" customHeight="1" x14ac:dyDescent="0.25">
      <c r="B1" s="8"/>
    </row>
    <row r="2" spans="1:5" ht="30" customHeight="1" x14ac:dyDescent="0.25">
      <c r="A2" s="3" t="s">
        <v>34</v>
      </c>
      <c r="B2" s="12"/>
    </row>
    <row r="3" spans="1:5" ht="30" customHeight="1" x14ac:dyDescent="0.25">
      <c r="A3" s="5" t="s">
        <v>36</v>
      </c>
      <c r="B3" s="58" t="s">
        <v>230</v>
      </c>
      <c r="E3" s="37"/>
    </row>
    <row r="4" spans="1:5" ht="30" customHeight="1" x14ac:dyDescent="0.25">
      <c r="A4" s="5" t="s">
        <v>37</v>
      </c>
      <c r="B4" s="58" t="s">
        <v>231</v>
      </c>
    </row>
    <row r="5" spans="1:5" ht="30" customHeight="1" x14ac:dyDescent="0.25">
      <c r="A5" s="5" t="s">
        <v>13</v>
      </c>
      <c r="B5" s="14" t="s">
        <v>189</v>
      </c>
    </row>
    <row r="6" spans="1:5" ht="30" customHeight="1" x14ac:dyDescent="0.25">
      <c r="A6" s="5" t="s">
        <v>35</v>
      </c>
      <c r="B6" s="14" t="s">
        <v>118</v>
      </c>
    </row>
    <row r="7" spans="1:5" ht="30" customHeight="1" x14ac:dyDescent="0.25">
      <c r="A7" s="5" t="s">
        <v>14</v>
      </c>
      <c r="B7" s="14" t="s">
        <v>119</v>
      </c>
    </row>
    <row r="8" spans="1:5" ht="30" customHeight="1" x14ac:dyDescent="0.25">
      <c r="A8" s="5" t="s">
        <v>38</v>
      </c>
      <c r="B8" s="111" t="s">
        <v>229</v>
      </c>
    </row>
    <row r="9" spans="1:5" ht="30" customHeight="1" x14ac:dyDescent="0.25">
      <c r="A9" s="5" t="s">
        <v>15</v>
      </c>
      <c r="B9" s="14">
        <v>13</v>
      </c>
    </row>
    <row r="10" spans="1:5" ht="30" customHeight="1" x14ac:dyDescent="0.25">
      <c r="A10" s="5" t="s">
        <v>16</v>
      </c>
      <c r="B10" s="14">
        <v>12</v>
      </c>
    </row>
    <row r="11" spans="1:5" ht="30" customHeight="1" x14ac:dyDescent="0.25">
      <c r="A11" s="5" t="s">
        <v>17</v>
      </c>
      <c r="B11" s="14">
        <v>12</v>
      </c>
    </row>
    <row r="12" spans="1:5" ht="30" customHeight="1" x14ac:dyDescent="0.25">
      <c r="A12" s="5" t="s">
        <v>18</v>
      </c>
      <c r="B12" s="14">
        <v>11</v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5367" r:id="rId4" name="cmdLookup">
          <controlPr autoLine="0" r:id="rId5">
            <anchor moveWithCells="1">
              <from>
                <xdr:col>3</xdr:col>
                <xdr:colOff>276225</xdr:colOff>
                <xdr:row>3</xdr:row>
                <xdr:rowOff>0</xdr:rowOff>
              </from>
              <to>
                <xdr:col>4</xdr:col>
                <xdr:colOff>1047750</xdr:colOff>
                <xdr:row>3</xdr:row>
                <xdr:rowOff>295275</xdr:rowOff>
              </to>
            </anchor>
          </controlPr>
        </control>
      </mc:Choice>
      <mc:Fallback>
        <control shapeId="15367" r:id="rId4" name="cmdLookup"/>
      </mc:Fallback>
    </mc:AlternateContent>
    <mc:AlternateContent xmlns:mc="http://schemas.openxmlformats.org/markup-compatibility/2006">
      <mc:Choice Requires="x14">
        <control shapeId="15361" r:id="rId6" name="cbCompany">
          <controlPr autoLine="0" r:id="rId7">
            <anchor moveWithCells="1">
              <from>
                <xdr:col>1</xdr:col>
                <xdr:colOff>9525</xdr:colOff>
                <xdr:row>1</xdr:row>
                <xdr:rowOff>28575</xdr:rowOff>
              </from>
              <to>
                <xdr:col>1</xdr:col>
                <xdr:colOff>3086100</xdr:colOff>
                <xdr:row>2</xdr:row>
                <xdr:rowOff>9525</xdr:rowOff>
              </to>
            </anchor>
          </controlPr>
        </control>
      </mc:Choice>
      <mc:Fallback>
        <control shapeId="15361" r:id="rId6" name="cbCompany"/>
      </mc:Fallback>
    </mc:AlternateContent>
    <mc:AlternateContent xmlns:mc="http://schemas.openxmlformats.org/markup-compatibility/2006">
      <mc:Choice Requires="x14">
        <control shapeId="15362" r:id="rId8" name="cbManufacturer">
          <controlPr autoLine="0" r:id="rId9">
            <anchor moveWithCells="1">
              <from>
                <xdr:col>1</xdr:col>
                <xdr:colOff>28575</xdr:colOff>
                <xdr:row>6</xdr:row>
                <xdr:rowOff>19050</xdr:rowOff>
              </from>
              <to>
                <xdr:col>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5362" r:id="rId8" name="cbManufacturer"/>
      </mc:Fallback>
    </mc:AlternateContent>
    <mc:AlternateContent xmlns:mc="http://schemas.openxmlformats.org/markup-compatibility/2006">
      <mc:Choice Requires="x14">
        <control shapeId="15363" r:id="rId10" name="cmdSave">
          <controlPr autoLine="0" r:id="rId11">
            <anchor moveWithCells="1">
              <from>
                <xdr:col>3</xdr:col>
                <xdr:colOff>257175</xdr:colOff>
                <xdr:row>1</xdr:row>
                <xdr:rowOff>28575</xdr:rowOff>
              </from>
              <to>
                <xdr:col>4</xdr:col>
                <xdr:colOff>1038225</xdr:colOff>
                <xdr:row>1</xdr:row>
                <xdr:rowOff>323850</xdr:rowOff>
              </to>
            </anchor>
          </controlPr>
        </control>
      </mc:Choice>
      <mc:Fallback>
        <control shapeId="15363" r:id="rId10" name="cmdSave"/>
      </mc:Fallback>
    </mc:AlternateContent>
    <mc:AlternateContent xmlns:mc="http://schemas.openxmlformats.org/markup-compatibility/2006">
      <mc:Choice Requires="x14">
        <control shapeId="15365" r:id="rId12" name="cbECDType">
          <controlPr autoLine="0" r:id="rId13">
            <anchor moveWithCells="1">
              <from>
                <xdr:col>1</xdr:col>
                <xdr:colOff>9525</xdr:colOff>
                <xdr:row>5</xdr:row>
                <xdr:rowOff>9525</xdr:rowOff>
              </from>
              <to>
                <xdr:col>1</xdr:col>
                <xdr:colOff>3086100</xdr:colOff>
                <xdr:row>5</xdr:row>
                <xdr:rowOff>371475</xdr:rowOff>
              </to>
            </anchor>
          </controlPr>
        </control>
      </mc:Choice>
      <mc:Fallback>
        <control shapeId="15365" r:id="rId12" name="cbECDType"/>
      </mc:Fallback>
    </mc:AlternateContent>
    <mc:AlternateContent xmlns:mc="http://schemas.openxmlformats.org/markup-compatibility/2006">
      <mc:Choice Requires="x14">
        <control shapeId="15366" r:id="rId14" name="cbSubStrateType">
          <controlPr autoLine="0" r:id="rId15">
            <anchor moveWithCells="1">
              <from>
                <xdr:col>1</xdr:col>
                <xdr:colOff>19050</xdr:colOff>
                <xdr:row>7</xdr:row>
                <xdr:rowOff>9525</xdr:rowOff>
              </from>
              <to>
                <xdr:col>1</xdr:col>
                <xdr:colOff>3095625</xdr:colOff>
                <xdr:row>7</xdr:row>
                <xdr:rowOff>371475</xdr:rowOff>
              </to>
            </anchor>
          </controlPr>
        </control>
      </mc:Choice>
      <mc:Fallback>
        <control shapeId="15366" r:id="rId14" name="cbSubStrateType"/>
      </mc:Fallback>
    </mc:AlternateContent>
    <mc:AlternateContent xmlns:mc="http://schemas.openxmlformats.org/markup-compatibility/2006">
      <mc:Choice Requires="x14">
        <control shapeId="15368" r:id="rId16" name="cmdBack">
          <controlPr autoLine="0" r:id="rId17">
            <anchor moveWithCells="1">
              <from>
                <xdr:col>3</xdr:col>
                <xdr:colOff>266700</xdr:colOff>
                <xdr:row>3</xdr:row>
                <xdr:rowOff>352425</xdr:rowOff>
              </from>
              <to>
                <xdr:col>4</xdr:col>
                <xdr:colOff>1028700</xdr:colOff>
                <xdr:row>4</xdr:row>
                <xdr:rowOff>295275</xdr:rowOff>
              </to>
            </anchor>
          </controlPr>
        </control>
      </mc:Choice>
      <mc:Fallback>
        <control shapeId="15368" r:id="rId16" name="cmdBack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1"/>
  <dimension ref="B1:J29"/>
  <sheetViews>
    <sheetView showGridLines="0" workbookViewId="0">
      <selection activeCell="K14" sqref="K14"/>
    </sheetView>
  </sheetViews>
  <sheetFormatPr defaultRowHeight="18" customHeight="1" x14ac:dyDescent="0.25"/>
  <cols>
    <col min="1" max="1" width="12.5703125" customWidth="1"/>
    <col min="2" max="2" width="38.42578125" style="5" bestFit="1" customWidth="1"/>
    <col min="3" max="3" width="45.5703125" customWidth="1"/>
    <col min="5" max="5" width="22.5703125" customWidth="1"/>
  </cols>
  <sheetData>
    <row r="1" spans="2:10" ht="21" customHeight="1" x14ac:dyDescent="0.25"/>
    <row r="3" spans="2:10" ht="18" customHeight="1" x14ac:dyDescent="0.25">
      <c r="B3" s="5" t="s">
        <v>0</v>
      </c>
    </row>
    <row r="4" spans="2:10" ht="18" customHeight="1" x14ac:dyDescent="0.3">
      <c r="B4" s="5" t="s">
        <v>171</v>
      </c>
      <c r="E4" s="45"/>
    </row>
    <row r="5" spans="2:10" ht="18" customHeight="1" x14ac:dyDescent="0.25">
      <c r="B5" s="5" t="s">
        <v>172</v>
      </c>
      <c r="C5" s="1"/>
      <c r="J5" s="5"/>
    </row>
    <row r="6" spans="2:10" ht="18" customHeight="1" x14ac:dyDescent="0.25">
      <c r="B6" s="5" t="s">
        <v>222</v>
      </c>
      <c r="C6" s="53"/>
      <c r="J6" s="5"/>
    </row>
    <row r="7" spans="2:10" ht="18" customHeight="1" x14ac:dyDescent="0.25">
      <c r="B7" s="5" t="s">
        <v>217</v>
      </c>
      <c r="C7" s="2"/>
    </row>
    <row r="8" spans="2:10" ht="18" customHeight="1" x14ac:dyDescent="0.25">
      <c r="B8" s="5" t="s">
        <v>218</v>
      </c>
      <c r="C8" s="53"/>
    </row>
    <row r="9" spans="2:10" ht="18" customHeight="1" x14ac:dyDescent="0.25">
      <c r="C9" s="2"/>
    </row>
    <row r="10" spans="2:10" ht="18" customHeight="1" x14ac:dyDescent="0.25">
      <c r="B10" s="5" t="s">
        <v>173</v>
      </c>
      <c r="C10" s="4"/>
    </row>
    <row r="11" spans="2:10" ht="18" customHeight="1" x14ac:dyDescent="0.25">
      <c r="B11" s="5" t="s">
        <v>8</v>
      </c>
      <c r="C11" s="1"/>
    </row>
    <row r="12" spans="2:10" ht="18" customHeight="1" x14ac:dyDescent="0.25">
      <c r="B12" s="5" t="s">
        <v>12</v>
      </c>
      <c r="C12" s="1"/>
    </row>
    <row r="13" spans="2:10" ht="18" customHeight="1" x14ac:dyDescent="0.25">
      <c r="B13" s="5" t="s">
        <v>219</v>
      </c>
      <c r="C13" s="1"/>
    </row>
    <row r="14" spans="2:10" ht="18" customHeight="1" x14ac:dyDescent="0.25">
      <c r="B14" s="5" t="s">
        <v>220</v>
      </c>
      <c r="C14" s="54"/>
    </row>
    <row r="15" spans="2:10" ht="18" customHeight="1" x14ac:dyDescent="0.25">
      <c r="B15" s="5" t="s">
        <v>221</v>
      </c>
      <c r="C15" s="53"/>
    </row>
    <row r="16" spans="2:10" ht="18" customHeight="1" x14ac:dyDescent="0.25">
      <c r="C16" s="1"/>
    </row>
    <row r="17" spans="2:3" ht="18" customHeight="1" x14ac:dyDescent="0.25">
      <c r="B17" s="5" t="s">
        <v>19</v>
      </c>
      <c r="C17" s="52"/>
    </row>
    <row r="18" spans="2:3" ht="18" customHeight="1" x14ac:dyDescent="0.25">
      <c r="B18" s="5" t="s">
        <v>20</v>
      </c>
      <c r="C18" s="53"/>
    </row>
    <row r="19" spans="2:3" ht="18" customHeight="1" x14ac:dyDescent="0.25">
      <c r="B19" s="5" t="s">
        <v>21</v>
      </c>
      <c r="C19" s="53"/>
    </row>
    <row r="20" spans="2:3" ht="18" customHeight="1" x14ac:dyDescent="0.25">
      <c r="B20" s="5" t="s">
        <v>22</v>
      </c>
      <c r="C20" s="1"/>
    </row>
    <row r="21" spans="2:3" ht="18" customHeight="1" x14ac:dyDescent="0.25">
      <c r="C21" s="1"/>
    </row>
    <row r="22" spans="2:3" ht="18" customHeight="1" x14ac:dyDescent="0.25">
      <c r="B22" s="5" t="s">
        <v>23</v>
      </c>
      <c r="C22" s="52"/>
    </row>
    <row r="23" spans="2:3" ht="18" customHeight="1" x14ac:dyDescent="0.25">
      <c r="B23" s="5" t="s">
        <v>24</v>
      </c>
      <c r="C23" s="53"/>
    </row>
    <row r="24" spans="2:3" ht="18" customHeight="1" x14ac:dyDescent="0.25">
      <c r="B24" s="5" t="s">
        <v>25</v>
      </c>
      <c r="C24" s="53"/>
    </row>
    <row r="25" spans="2:3" ht="18" customHeight="1" x14ac:dyDescent="0.25">
      <c r="B25" s="5" t="s">
        <v>26</v>
      </c>
      <c r="C25" s="1"/>
    </row>
    <row r="26" spans="2:3" ht="18" customHeight="1" x14ac:dyDescent="0.25">
      <c r="B26" s="5" t="s">
        <v>7</v>
      </c>
      <c r="C26" s="1"/>
    </row>
    <row r="27" spans="2:3" ht="18" customHeight="1" x14ac:dyDescent="0.25">
      <c r="B27"/>
    </row>
    <row r="28" spans="2:3" ht="18" customHeight="1" x14ac:dyDescent="0.25">
      <c r="B28"/>
    </row>
    <row r="29" spans="2:3" ht="18" customHeight="1" x14ac:dyDescent="0.25">
      <c r="B29"/>
    </row>
  </sheetData>
  <protectedRanges>
    <protectedRange sqref="C3:C26" name="Range1"/>
  </protectedRanges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1539" r:id="rId4" name="cmdReport">
          <controlPr defaultSize="0" autoLine="0" altText="" r:id="rId5">
            <anchor moveWithCells="1">
              <from>
                <xdr:col>5</xdr:col>
                <xdr:colOff>400050</xdr:colOff>
                <xdr:row>1</xdr:row>
                <xdr:rowOff>133350</xdr:rowOff>
              </from>
              <to>
                <xdr:col>8</xdr:col>
                <xdr:colOff>95250</xdr:colOff>
                <xdr:row>3</xdr:row>
                <xdr:rowOff>0</xdr:rowOff>
              </to>
            </anchor>
          </controlPr>
        </control>
      </mc:Choice>
      <mc:Fallback>
        <control shapeId="21539" r:id="rId4" name="cmdReport"/>
      </mc:Fallback>
    </mc:AlternateContent>
    <mc:AlternateContent xmlns:mc="http://schemas.openxmlformats.org/markup-compatibility/2006">
      <mc:Choice Requires="x14">
        <control shapeId="21531" r:id="rId6" name="cmdMenu">
          <controlPr autoLine="0" r:id="rId7">
            <anchor moveWithCells="1">
              <from>
                <xdr:col>4</xdr:col>
                <xdr:colOff>0</xdr:colOff>
                <xdr:row>4</xdr:row>
                <xdr:rowOff>209550</xdr:rowOff>
              </from>
              <to>
                <xdr:col>4</xdr:col>
                <xdr:colOff>1371600</xdr:colOff>
                <xdr:row>6</xdr:row>
                <xdr:rowOff>76200</xdr:rowOff>
              </to>
            </anchor>
          </controlPr>
        </control>
      </mc:Choice>
      <mc:Fallback>
        <control shapeId="21531" r:id="rId6" name="cmdMenu"/>
      </mc:Fallback>
    </mc:AlternateContent>
    <mc:AlternateContent xmlns:mc="http://schemas.openxmlformats.org/markup-compatibility/2006">
      <mc:Choice Requires="x14">
        <control shapeId="21518" r:id="rId8" name="cmdSave">
          <controlPr defaultSize="0" autoFill="0" autoLine="0" r:id="rId9">
            <anchor moveWithCells="1">
              <from>
                <xdr:col>4</xdr:col>
                <xdr:colOff>0</xdr:colOff>
                <xdr:row>1</xdr:row>
                <xdr:rowOff>114300</xdr:rowOff>
              </from>
              <to>
                <xdr:col>4</xdr:col>
                <xdr:colOff>1371600</xdr:colOff>
                <xdr:row>2</xdr:row>
                <xdr:rowOff>209550</xdr:rowOff>
              </to>
            </anchor>
          </controlPr>
        </control>
      </mc:Choice>
      <mc:Fallback>
        <control shapeId="21518" r:id="rId8" name="cmdSave"/>
      </mc:Fallback>
    </mc:AlternateContent>
    <mc:AlternateContent xmlns:mc="http://schemas.openxmlformats.org/markup-compatibility/2006">
      <mc:Choice Requires="x14">
        <control shapeId="21510" r:id="rId10" name="chkEngineFail">
          <controlPr autoLine="0" autoPict="0" r:id="rId11">
            <anchor moveWithCells="1">
              <from>
                <xdr:col>2</xdr:col>
                <xdr:colOff>76200</xdr:colOff>
                <xdr:row>23</xdr:row>
                <xdr:rowOff>19050</xdr:rowOff>
              </from>
              <to>
                <xdr:col>2</xdr:col>
                <xdr:colOff>200025</xdr:colOff>
                <xdr:row>23</xdr:row>
                <xdr:rowOff>180975</xdr:rowOff>
              </to>
            </anchor>
          </controlPr>
        </control>
      </mc:Choice>
      <mc:Fallback>
        <control shapeId="21510" r:id="rId10" name="chkEngineFail"/>
      </mc:Fallback>
    </mc:AlternateContent>
    <mc:AlternateContent xmlns:mc="http://schemas.openxmlformats.org/markup-compatibility/2006">
      <mc:Choice Requires="x14">
        <control shapeId="21509" r:id="rId12" name="chkHighSootLoad">
          <controlPr autoLine="0" autoPict="0" r:id="rId11">
            <anchor moveWithCells="1">
              <from>
                <xdr:col>2</xdr:col>
                <xdr:colOff>76200</xdr:colOff>
                <xdr:row>22</xdr:row>
                <xdr:rowOff>9525</xdr:rowOff>
              </from>
              <to>
                <xdr:col>2</xdr:col>
                <xdr:colOff>200025</xdr:colOff>
                <xdr:row>22</xdr:row>
                <xdr:rowOff>171450</xdr:rowOff>
              </to>
            </anchor>
          </controlPr>
        </control>
      </mc:Choice>
      <mc:Fallback>
        <control shapeId="21509" r:id="rId12" name="chkHighSootLoad"/>
      </mc:Fallback>
    </mc:AlternateContent>
    <mc:AlternateContent xmlns:mc="http://schemas.openxmlformats.org/markup-compatibility/2006">
      <mc:Choice Requires="x14">
        <control shapeId="21508" r:id="rId13" name="chkPreventMaint">
          <controlPr autoLine="0" autoPict="0" r:id="rId11">
            <anchor moveWithCells="1">
              <from>
                <xdr:col>2</xdr:col>
                <xdr:colOff>76200</xdr:colOff>
                <xdr:row>21</xdr:row>
                <xdr:rowOff>9525</xdr:rowOff>
              </from>
              <to>
                <xdr:col>2</xdr:col>
                <xdr:colOff>200025</xdr:colOff>
                <xdr:row>21</xdr:row>
                <xdr:rowOff>171450</xdr:rowOff>
              </to>
            </anchor>
          </controlPr>
        </control>
      </mc:Choice>
      <mc:Fallback>
        <control shapeId="21508" r:id="rId13" name="chkPreventMaint"/>
      </mc:Fallback>
    </mc:AlternateContent>
    <mc:AlternateContent xmlns:mc="http://schemas.openxmlformats.org/markup-compatibility/2006">
      <mc:Choice Requires="x14">
        <control shapeId="21507" r:id="rId14" name="chkHighIdle">
          <controlPr autoLine="0" autoPict="0" r:id="rId11">
            <anchor moveWithCells="1">
              <from>
                <xdr:col>2</xdr:col>
                <xdr:colOff>76200</xdr:colOff>
                <xdr:row>18</xdr:row>
                <xdr:rowOff>28575</xdr:rowOff>
              </from>
              <to>
                <xdr:col>2</xdr:col>
                <xdr:colOff>200025</xdr:colOff>
                <xdr:row>18</xdr:row>
                <xdr:rowOff>190500</xdr:rowOff>
              </to>
            </anchor>
          </controlPr>
        </control>
      </mc:Choice>
      <mc:Fallback>
        <control shapeId="21507" r:id="rId14" name="chkHighIdle"/>
      </mc:Fallback>
    </mc:AlternateContent>
    <mc:AlternateContent xmlns:mc="http://schemas.openxmlformats.org/markup-compatibility/2006">
      <mc:Choice Requires="x14">
        <control shapeId="21506" r:id="rId15" name="chkStartStop">
          <controlPr autoLine="0" autoPict="0" r:id="rId11">
            <anchor moveWithCells="1">
              <from>
                <xdr:col>2</xdr:col>
                <xdr:colOff>76200</xdr:colOff>
                <xdr:row>17</xdr:row>
                <xdr:rowOff>28575</xdr:rowOff>
              </from>
              <to>
                <xdr:col>2</xdr:col>
                <xdr:colOff>200025</xdr:colOff>
                <xdr:row>17</xdr:row>
                <xdr:rowOff>190500</xdr:rowOff>
              </to>
            </anchor>
          </controlPr>
        </control>
      </mc:Choice>
      <mc:Fallback>
        <control shapeId="21506" r:id="rId15" name="chkStartStop"/>
      </mc:Fallback>
    </mc:AlternateContent>
    <mc:AlternateContent xmlns:mc="http://schemas.openxmlformats.org/markup-compatibility/2006">
      <mc:Choice Requires="x14">
        <control shapeId="21505" r:id="rId16" name="chkOvrRdHw">
          <controlPr autoLine="0" autoPict="0" r:id="rId17">
            <anchor moveWithCells="1">
              <from>
                <xdr:col>2</xdr:col>
                <xdr:colOff>76200</xdr:colOff>
                <xdr:row>16</xdr:row>
                <xdr:rowOff>38100</xdr:rowOff>
              </from>
              <to>
                <xdr:col>2</xdr:col>
                <xdr:colOff>200025</xdr:colOff>
                <xdr:row>16</xdr:row>
                <xdr:rowOff>171450</xdr:rowOff>
              </to>
            </anchor>
          </controlPr>
        </control>
      </mc:Choice>
      <mc:Fallback>
        <control shapeId="21505" r:id="rId16" name="chkOvrRdHw"/>
      </mc:Fallback>
    </mc:AlternateContent>
    <mc:AlternateContent xmlns:mc="http://schemas.openxmlformats.org/markup-compatibility/2006">
      <mc:Choice Requires="x14">
        <control shapeId="21522" r:id="rId18" name="cbDPF">
          <controlPr defaultSize="0" autoFill="0" autoLine="0" r:id="rId19">
            <anchor moveWithCells="1">
              <from>
                <xdr:col>2</xdr:col>
                <xdr:colOff>19050</xdr:colOff>
                <xdr:row>9</xdr:row>
                <xdr:rowOff>0</xdr:rowOff>
              </from>
              <to>
                <xdr:col>3</xdr:col>
                <xdr:colOff>38100</xdr:colOff>
                <xdr:row>10</xdr:row>
                <xdr:rowOff>9525</xdr:rowOff>
              </to>
            </anchor>
          </controlPr>
        </control>
      </mc:Choice>
      <mc:Fallback>
        <control shapeId="21522" r:id="rId18" name="cbDPF"/>
      </mc:Fallback>
    </mc:AlternateContent>
    <mc:AlternateContent xmlns:mc="http://schemas.openxmlformats.org/markup-compatibility/2006">
      <mc:Choice Requires="x14">
        <control shapeId="21523" r:id="rId20" name="cbCompany">
          <controlPr defaultSize="0" autoFill="0" autoLine="0" r:id="rId21">
            <anchor moveWithCells="1">
              <from>
                <xdr:col>2</xdr:col>
                <xdr:colOff>19050</xdr:colOff>
                <xdr:row>4</xdr:row>
                <xdr:rowOff>9525</xdr:rowOff>
              </from>
              <to>
                <xdr:col>3</xdr:col>
                <xdr:colOff>38100</xdr:colOff>
                <xdr:row>5</xdr:row>
                <xdr:rowOff>19050</xdr:rowOff>
              </to>
            </anchor>
          </controlPr>
        </control>
      </mc:Choice>
      <mc:Fallback>
        <control shapeId="21523" r:id="rId20" name="cbCompany"/>
      </mc:Fallback>
    </mc:AlternateContent>
    <mc:AlternateContent xmlns:mc="http://schemas.openxmlformats.org/markup-compatibility/2006">
      <mc:Choice Requires="x14">
        <control shapeId="21525" r:id="rId22" name="cbCompLocation">
          <controlPr defaultSize="0" autoFill="0" autoLine="0" r:id="rId19">
            <anchor moveWithCells="1">
              <from>
                <xdr:col>2</xdr:col>
                <xdr:colOff>19050</xdr:colOff>
                <xdr:row>6</xdr:row>
                <xdr:rowOff>28575</xdr:rowOff>
              </from>
              <to>
                <xdr:col>3</xdr:col>
                <xdr:colOff>38100</xdr:colOff>
                <xdr:row>7</xdr:row>
                <xdr:rowOff>38100</xdr:rowOff>
              </to>
            </anchor>
          </controlPr>
        </control>
      </mc:Choice>
      <mc:Fallback>
        <control shapeId="21525" r:id="rId22" name="cbCompLocation"/>
      </mc:Fallback>
    </mc:AlternateContent>
    <mc:AlternateContent xmlns:mc="http://schemas.openxmlformats.org/markup-compatibility/2006">
      <mc:Choice Requires="x14">
        <control shapeId="21526" r:id="rId23" name="cbVehicle">
          <controlPr defaultSize="0" autoFill="0" autoLine="0" r:id="rId19">
            <anchor moveWithCells="1">
              <from>
                <xdr:col>2</xdr:col>
                <xdr:colOff>19050</xdr:colOff>
                <xdr:row>10</xdr:row>
                <xdr:rowOff>9525</xdr:rowOff>
              </from>
              <to>
                <xdr:col>3</xdr:col>
                <xdr:colOff>38100</xdr:colOff>
                <xdr:row>11</xdr:row>
                <xdr:rowOff>19050</xdr:rowOff>
              </to>
            </anchor>
          </controlPr>
        </control>
      </mc:Choice>
      <mc:Fallback>
        <control shapeId="21526" r:id="rId23" name="cbVehicle"/>
      </mc:Fallback>
    </mc:AlternateContent>
    <mc:AlternateContent xmlns:mc="http://schemas.openxmlformats.org/markup-compatibility/2006">
      <mc:Choice Requires="x14">
        <control shapeId="21527" r:id="rId24" name="cbEngine">
          <controlPr defaultSize="0" autoFill="0" autoLine="0" r:id="rId19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3</xdr:col>
                <xdr:colOff>38100</xdr:colOff>
                <xdr:row>12</xdr:row>
                <xdr:rowOff>19050</xdr:rowOff>
              </to>
            </anchor>
          </controlPr>
        </control>
      </mc:Choice>
      <mc:Fallback>
        <control shapeId="21527" r:id="rId24" name="cbEngine"/>
      </mc:Fallback>
    </mc:AlternateContent>
    <mc:AlternateContent xmlns:mc="http://schemas.openxmlformats.org/markup-compatibility/2006">
      <mc:Choice Requires="x14">
        <control shapeId="21528" r:id="rId25" name="cbECD">
          <controlPr defaultSize="0" autoFill="0" autoLine="0" r:id="rId19">
            <anchor moveWithCells="1">
              <from>
                <xdr:col>2</xdr:col>
                <xdr:colOff>19050</xdr:colOff>
                <xdr:row>12</xdr:row>
                <xdr:rowOff>9525</xdr:rowOff>
              </from>
              <to>
                <xdr:col>3</xdr:col>
                <xdr:colOff>38100</xdr:colOff>
                <xdr:row>13</xdr:row>
                <xdr:rowOff>19050</xdr:rowOff>
              </to>
            </anchor>
          </controlPr>
        </control>
      </mc:Choice>
      <mc:Fallback>
        <control shapeId="21528" r:id="rId25" name="cbECD"/>
      </mc:Fallback>
    </mc:AlternateContent>
    <mc:AlternateContent xmlns:mc="http://schemas.openxmlformats.org/markup-compatibility/2006">
      <mc:Choice Requires="x14">
        <control shapeId="21529" r:id="rId26" name="cbDrivingType">
          <controlPr defaultSize="0" autoFill="0" autoLine="0" r:id="rId19">
            <anchor moveWithCells="1">
              <from>
                <xdr:col>2</xdr:col>
                <xdr:colOff>19050</xdr:colOff>
                <xdr:row>19</xdr:row>
                <xdr:rowOff>9525</xdr:rowOff>
              </from>
              <to>
                <xdr:col>3</xdr:col>
                <xdr:colOff>38100</xdr:colOff>
                <xdr:row>20</xdr:row>
                <xdr:rowOff>19050</xdr:rowOff>
              </to>
            </anchor>
          </controlPr>
        </control>
      </mc:Choice>
      <mc:Fallback>
        <control shapeId="21529" r:id="rId26" name="cbDrivingType"/>
      </mc:Fallback>
    </mc:AlternateContent>
    <mc:AlternateContent xmlns:mc="http://schemas.openxmlformats.org/markup-compatibility/2006">
      <mc:Choice Requires="x14">
        <control shapeId="21530" r:id="rId27" name="cbCleaningReason">
          <controlPr defaultSize="0" autoFill="0" autoLine="0" autoPict="0" r:id="rId28">
            <anchor moveWithCells="1">
              <from>
                <xdr:col>2</xdr:col>
                <xdr:colOff>19050</xdr:colOff>
                <xdr:row>24</xdr:row>
                <xdr:rowOff>19050</xdr:rowOff>
              </from>
              <to>
                <xdr:col>3</xdr:col>
                <xdr:colOff>38100</xdr:colOff>
                <xdr:row>25</xdr:row>
                <xdr:rowOff>9525</xdr:rowOff>
              </to>
            </anchor>
          </controlPr>
        </control>
      </mc:Choice>
      <mc:Fallback>
        <control shapeId="21530" r:id="rId27" name="cbCleaningReason"/>
      </mc:Fallback>
    </mc:AlternateContent>
    <mc:AlternateContent xmlns:mc="http://schemas.openxmlformats.org/markup-compatibility/2006">
      <mc:Choice Requires="x14">
        <control shapeId="21532" r:id="rId29" name="cbBillingCompany">
          <controlPr defaultSize="0" autoFill="0" autoLine="0" r:id="rId30">
            <anchor moveWithCells="1">
              <from>
                <xdr:col>2</xdr:col>
                <xdr:colOff>19050</xdr:colOff>
                <xdr:row>3</xdr:row>
                <xdr:rowOff>19050</xdr:rowOff>
              </from>
              <to>
                <xdr:col>3</xdr:col>
                <xdr:colOff>38100</xdr:colOff>
                <xdr:row>4</xdr:row>
                <xdr:rowOff>28575</xdr:rowOff>
              </to>
            </anchor>
          </controlPr>
        </control>
      </mc:Choice>
      <mc:Fallback>
        <control shapeId="21532" r:id="rId29" name="cbBillingCompany"/>
      </mc:Fallback>
    </mc:AlternateContent>
    <mc:AlternateContent xmlns:mc="http://schemas.openxmlformats.org/markup-compatibility/2006">
      <mc:Choice Requires="x14">
        <control shapeId="21533" r:id="rId31" name="cbSalesID">
          <controlPr defaultSize="0" autoFill="0" autoLine="0" r:id="rId32">
            <anchor moveWithCells="1">
              <from>
                <xdr:col>2</xdr:col>
                <xdr:colOff>19050</xdr:colOff>
                <xdr:row>2</xdr:row>
                <xdr:rowOff>0</xdr:rowOff>
              </from>
              <to>
                <xdr:col>3</xdr:col>
                <xdr:colOff>38100</xdr:colOff>
                <xdr:row>3</xdr:row>
                <xdr:rowOff>9525</xdr:rowOff>
              </to>
            </anchor>
          </controlPr>
        </control>
      </mc:Choice>
      <mc:Fallback>
        <control shapeId="21533" r:id="rId31" name="cbSalesID"/>
      </mc:Fallback>
    </mc:AlternateContent>
    <mc:AlternateContent xmlns:mc="http://schemas.openxmlformats.org/markup-compatibility/2006">
      <mc:Choice Requires="x14">
        <control shapeId="21534" r:id="rId33" name="cmdVehicle">
          <controlPr defaultSize="0" autoLine="0" r:id="rId34">
            <anchor moveWithCells="1">
              <from>
                <xdr:col>4</xdr:col>
                <xdr:colOff>0</xdr:colOff>
                <xdr:row>7</xdr:row>
                <xdr:rowOff>28575</xdr:rowOff>
              </from>
              <to>
                <xdr:col>4</xdr:col>
                <xdr:colOff>1371600</xdr:colOff>
                <xdr:row>8</xdr:row>
                <xdr:rowOff>123825</xdr:rowOff>
              </to>
            </anchor>
          </controlPr>
        </control>
      </mc:Choice>
      <mc:Fallback>
        <control shapeId="21534" r:id="rId33" name="cmdVehicle"/>
      </mc:Fallback>
    </mc:AlternateContent>
    <mc:AlternateContent xmlns:mc="http://schemas.openxmlformats.org/markup-compatibility/2006">
      <mc:Choice Requires="x14">
        <control shapeId="21535" r:id="rId35" name="cmdEngine">
          <controlPr defaultSize="0" autoLine="0" r:id="rId36">
            <anchor moveWithCells="1">
              <from>
                <xdr:col>4</xdr:col>
                <xdr:colOff>0</xdr:colOff>
                <xdr:row>8</xdr:row>
                <xdr:rowOff>161925</xdr:rowOff>
              </from>
              <to>
                <xdr:col>4</xdr:col>
                <xdr:colOff>1371600</xdr:colOff>
                <xdr:row>10</xdr:row>
                <xdr:rowOff>28575</xdr:rowOff>
              </to>
            </anchor>
          </controlPr>
        </control>
      </mc:Choice>
      <mc:Fallback>
        <control shapeId="21535" r:id="rId35" name="cmdEngine"/>
      </mc:Fallback>
    </mc:AlternateContent>
    <mc:AlternateContent xmlns:mc="http://schemas.openxmlformats.org/markup-compatibility/2006">
      <mc:Choice Requires="x14">
        <control shapeId="21536" r:id="rId37" name="cmdECD">
          <controlPr defaultSize="0" autoLine="0" r:id="rId38">
            <anchor moveWithCells="1">
              <from>
                <xdr:col>4</xdr:col>
                <xdr:colOff>0</xdr:colOff>
                <xdr:row>10</xdr:row>
                <xdr:rowOff>66675</xdr:rowOff>
              </from>
              <to>
                <xdr:col>4</xdr:col>
                <xdr:colOff>1371600</xdr:colOff>
                <xdr:row>11</xdr:row>
                <xdr:rowOff>161925</xdr:rowOff>
              </to>
            </anchor>
          </controlPr>
        </control>
      </mc:Choice>
      <mc:Fallback>
        <control shapeId="21536" r:id="rId37" name="cmdECD"/>
      </mc:Fallback>
    </mc:AlternateContent>
    <mc:AlternateContent xmlns:mc="http://schemas.openxmlformats.org/markup-compatibility/2006">
      <mc:Choice Requires="x14">
        <control shapeId="21537" r:id="rId39" name="cmdQuality">
          <controlPr defaultSize="0" autoLine="0" autoPict="0" altText="" r:id="rId40">
            <anchor moveWithCells="1">
              <from>
                <xdr:col>5</xdr:col>
                <xdr:colOff>371475</xdr:colOff>
                <xdr:row>5</xdr:row>
                <xdr:rowOff>9525</xdr:rowOff>
              </from>
              <to>
                <xdr:col>8</xdr:col>
                <xdr:colOff>66675</xdr:colOff>
                <xdr:row>6</xdr:row>
                <xdr:rowOff>104775</xdr:rowOff>
              </to>
            </anchor>
          </controlPr>
        </control>
      </mc:Choice>
      <mc:Fallback>
        <control shapeId="21537" r:id="rId39" name="cmdQuality"/>
      </mc:Fallback>
    </mc:AlternateContent>
    <mc:AlternateContent xmlns:mc="http://schemas.openxmlformats.org/markup-compatibility/2006">
      <mc:Choice Requires="x14">
        <control shapeId="21538" r:id="rId41" name="cmdQAProcess">
          <controlPr defaultSize="0" autoLine="0" autoPict="0" r:id="rId42">
            <anchor moveWithCells="1">
              <from>
                <xdr:col>5</xdr:col>
                <xdr:colOff>371475</xdr:colOff>
                <xdr:row>6</xdr:row>
                <xdr:rowOff>161925</xdr:rowOff>
              </from>
              <to>
                <xdr:col>8</xdr:col>
                <xdr:colOff>66675</xdr:colOff>
                <xdr:row>8</xdr:row>
                <xdr:rowOff>28575</xdr:rowOff>
              </to>
            </anchor>
          </controlPr>
        </control>
      </mc:Choice>
      <mc:Fallback>
        <control shapeId="21538" r:id="rId41" name="cmdQAProcess"/>
      </mc:Fallback>
    </mc:AlternateContent>
    <mc:AlternateContent xmlns:mc="http://schemas.openxmlformats.org/markup-compatibility/2006">
      <mc:Choice Requires="x14">
        <control shapeId="21540" r:id="rId43" name="txtTrackingNo">
          <controlPr defaultSize="0" autoLine="0" autoPict="0" r:id="rId44">
            <anchor moveWithCells="1">
              <from>
                <xdr:col>2</xdr:col>
                <xdr:colOff>0</xdr:colOff>
                <xdr:row>5</xdr:row>
                <xdr:rowOff>19050</xdr:rowOff>
              </from>
              <to>
                <xdr:col>3</xdr:col>
                <xdr:colOff>28575</xdr:colOff>
                <xdr:row>6</xdr:row>
                <xdr:rowOff>19050</xdr:rowOff>
              </to>
            </anchor>
          </controlPr>
        </control>
      </mc:Choice>
      <mc:Fallback>
        <control shapeId="21540" r:id="rId43" name="txtTrackingNo"/>
      </mc:Fallback>
    </mc:AlternateContent>
    <mc:AlternateContent xmlns:mc="http://schemas.openxmlformats.org/markup-compatibility/2006">
      <mc:Choice Requires="x14">
        <control shapeId="21541" r:id="rId45" name="txtContact">
          <controlPr defaultSize="0" autoLine="0" r:id="rId44">
            <anchor moveWithCells="1">
              <from>
                <xdr:col>2</xdr:col>
                <xdr:colOff>0</xdr:colOff>
                <xdr:row>7</xdr:row>
                <xdr:rowOff>9525</xdr:rowOff>
              </from>
              <to>
                <xdr:col>3</xdr:col>
                <xdr:colOff>28575</xdr:colOff>
                <xdr:row>8</xdr:row>
                <xdr:rowOff>9525</xdr:rowOff>
              </to>
            </anchor>
          </controlPr>
        </control>
      </mc:Choice>
      <mc:Fallback>
        <control shapeId="21541" r:id="rId45" name="txtContact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5"/>
  <dimension ref="A1:DH4"/>
  <sheetViews>
    <sheetView topLeftCell="CJ1" workbookViewId="0">
      <selection activeCell="CK38" sqref="CK38"/>
    </sheetView>
  </sheetViews>
  <sheetFormatPr defaultRowHeight="15" x14ac:dyDescent="0.25"/>
  <cols>
    <col min="1" max="1" width="12.140625" bestFit="1" customWidth="1"/>
    <col min="2" max="2" width="8.85546875" bestFit="1" customWidth="1"/>
    <col min="3" max="3" width="7.85546875" bestFit="1" customWidth="1"/>
    <col min="4" max="4" width="17.42578125" bestFit="1" customWidth="1"/>
    <col min="5" max="5" width="11.85546875" bestFit="1" customWidth="1"/>
    <col min="6" max="6" width="8.5703125" bestFit="1" customWidth="1"/>
    <col min="7" max="10" width="9.5703125" bestFit="1" customWidth="1"/>
    <col min="11" max="11" width="13.140625" bestFit="1" customWidth="1"/>
    <col min="12" max="12" width="11.7109375" bestFit="1" customWidth="1"/>
    <col min="13" max="13" width="11.85546875" bestFit="1" customWidth="1"/>
    <col min="14" max="14" width="11.5703125" bestFit="1" customWidth="1"/>
    <col min="15" max="23" width="4.28515625" bestFit="1" customWidth="1"/>
    <col min="24" max="25" width="5.28515625" bestFit="1" customWidth="1"/>
    <col min="26" max="34" width="3.85546875" bestFit="1" customWidth="1"/>
    <col min="35" max="36" width="4.85546875" bestFit="1" customWidth="1"/>
    <col min="37" max="37" width="12.140625" bestFit="1" customWidth="1"/>
    <col min="38" max="38" width="9.85546875" bestFit="1" customWidth="1"/>
    <col min="39" max="39" width="17.42578125" bestFit="1" customWidth="1"/>
    <col min="40" max="40" width="24.140625" bestFit="1" customWidth="1"/>
    <col min="41" max="41" width="11.140625" bestFit="1" customWidth="1"/>
    <col min="42" max="42" width="25.42578125" bestFit="1" customWidth="1"/>
    <col min="43" max="43" width="15.85546875" bestFit="1" customWidth="1"/>
    <col min="44" max="44" width="12.140625" bestFit="1" customWidth="1"/>
    <col min="45" max="45" width="8.42578125" bestFit="1" customWidth="1"/>
    <col min="46" max="46" width="7.5703125" bestFit="1" customWidth="1"/>
    <col min="47" max="47" width="12.42578125" bestFit="1" customWidth="1"/>
    <col min="48" max="48" width="11.42578125" bestFit="1" customWidth="1"/>
    <col min="49" max="49" width="17.5703125" bestFit="1" customWidth="1"/>
    <col min="50" max="50" width="16" bestFit="1" customWidth="1"/>
    <col min="51" max="51" width="10.42578125" bestFit="1" customWidth="1"/>
    <col min="52" max="52" width="10.5703125" bestFit="1" customWidth="1"/>
    <col min="53" max="53" width="13.7109375" bestFit="1" customWidth="1"/>
    <col min="54" max="54" width="17.5703125" bestFit="1" customWidth="1"/>
    <col min="55" max="55" width="13.5703125" bestFit="1" customWidth="1"/>
    <col min="56" max="56" width="12.140625" bestFit="1" customWidth="1"/>
    <col min="57" max="57" width="8.140625" bestFit="1" customWidth="1"/>
    <col min="58" max="58" width="6.85546875" bestFit="1" customWidth="1"/>
    <col min="59" max="59" width="5" bestFit="1" customWidth="1"/>
    <col min="60" max="60" width="9.85546875" bestFit="1" customWidth="1"/>
    <col min="61" max="61" width="5.85546875" bestFit="1" customWidth="1"/>
    <col min="62" max="62" width="18.5703125" bestFit="1" customWidth="1"/>
    <col min="63" max="64" width="17.5703125" bestFit="1" customWidth="1"/>
    <col min="65" max="65" width="8.5703125" bestFit="1" customWidth="1"/>
    <col min="66" max="66" width="12.140625" bestFit="1" customWidth="1"/>
    <col min="67" max="67" width="5.85546875" bestFit="1" customWidth="1"/>
    <col min="68" max="68" width="6.85546875" bestFit="1" customWidth="1"/>
    <col min="69" max="69" width="5" bestFit="1" customWidth="1"/>
    <col min="70" max="70" width="8.5703125" bestFit="1" customWidth="1"/>
    <col min="71" max="71" width="10.5703125" bestFit="1" customWidth="1"/>
    <col min="72" max="73" width="12.140625" bestFit="1" customWidth="1"/>
    <col min="74" max="74" width="14.28515625" bestFit="1" customWidth="1"/>
    <col min="75" max="75" width="12.42578125" bestFit="1" customWidth="1"/>
    <col min="76" max="76" width="6.140625" bestFit="1" customWidth="1"/>
    <col min="77" max="77" width="4.85546875" bestFit="1" customWidth="1"/>
    <col min="78" max="78" width="8.140625" bestFit="1" customWidth="1"/>
    <col min="79" max="79" width="10.5703125" bestFit="1" customWidth="1"/>
    <col min="80" max="80" width="14.28515625" bestFit="1" customWidth="1"/>
    <col min="81" max="81" width="12.42578125" bestFit="1" customWidth="1"/>
    <col min="82" max="82" width="12.140625" bestFit="1" customWidth="1"/>
    <col min="83" max="83" width="6.140625" bestFit="1" customWidth="1"/>
    <col min="84" max="84" width="4.5703125" bestFit="1" customWidth="1"/>
    <col min="85" max="85" width="6" bestFit="1" customWidth="1"/>
    <col min="86" max="86" width="10.5703125" bestFit="1" customWidth="1"/>
    <col min="87" max="87" width="14.5703125" bestFit="1" customWidth="1"/>
    <col min="88" max="88" width="17.42578125" bestFit="1" customWidth="1"/>
    <col min="89" max="89" width="13.140625" bestFit="1" customWidth="1"/>
    <col min="90" max="90" width="12.42578125" bestFit="1" customWidth="1"/>
    <col min="91" max="91" width="12.140625" bestFit="1" customWidth="1"/>
    <col min="92" max="92" width="10.28515625" bestFit="1" customWidth="1"/>
    <col min="93" max="93" width="12.42578125" bestFit="1" customWidth="1"/>
    <col min="94" max="94" width="11" bestFit="1" customWidth="1"/>
    <col min="95" max="95" width="12.140625" bestFit="1" customWidth="1"/>
    <col min="96" max="96" width="12.42578125" bestFit="1" customWidth="1"/>
    <col min="97" max="97" width="13.42578125" bestFit="1" customWidth="1"/>
    <col min="98" max="98" width="16.5703125" bestFit="1" customWidth="1"/>
    <col min="99" max="99" width="11.140625" bestFit="1" customWidth="1"/>
    <col min="100" max="100" width="14.42578125" bestFit="1" customWidth="1"/>
    <col min="101" max="101" width="15.140625" bestFit="1" customWidth="1"/>
    <col min="102" max="102" width="14.5703125" bestFit="1" customWidth="1"/>
    <col min="103" max="103" width="12.7109375" bestFit="1" customWidth="1"/>
    <col min="104" max="104" width="13.140625" bestFit="1" customWidth="1"/>
    <col min="105" max="105" width="7.28515625" bestFit="1" customWidth="1"/>
    <col min="106" max="106" width="7.140625" bestFit="1" customWidth="1"/>
    <col min="107" max="107" width="14.42578125" bestFit="1" customWidth="1"/>
    <col min="108" max="108" width="16.140625" bestFit="1" customWidth="1"/>
    <col min="109" max="109" width="13.140625" bestFit="1" customWidth="1"/>
    <col min="110" max="110" width="21.28515625" bestFit="1" customWidth="1"/>
    <col min="111" max="111" width="8.85546875" bestFit="1" customWidth="1"/>
  </cols>
  <sheetData>
    <row r="1" spans="1:112" x14ac:dyDescent="0.25">
      <c r="A1" t="s">
        <v>94</v>
      </c>
      <c r="B1" t="s">
        <v>127</v>
      </c>
      <c r="C1" t="s">
        <v>128</v>
      </c>
      <c r="D1" t="s">
        <v>129</v>
      </c>
      <c r="E1" t="s">
        <v>130</v>
      </c>
      <c r="F1" t="s">
        <v>131</v>
      </c>
      <c r="G1" t="s">
        <v>132</v>
      </c>
      <c r="H1" t="s">
        <v>133</v>
      </c>
      <c r="I1" t="s">
        <v>134</v>
      </c>
      <c r="J1" t="s">
        <v>135</v>
      </c>
      <c r="K1" t="s">
        <v>136</v>
      </c>
      <c r="L1" t="s">
        <v>137</v>
      </c>
      <c r="M1" t="s">
        <v>138</v>
      </c>
      <c r="N1" t="s">
        <v>139</v>
      </c>
      <c r="O1" t="s">
        <v>140</v>
      </c>
      <c r="P1" t="s">
        <v>141</v>
      </c>
      <c r="Q1" t="s">
        <v>142</v>
      </c>
      <c r="R1" t="s">
        <v>143</v>
      </c>
      <c r="S1" t="s">
        <v>144</v>
      </c>
      <c r="T1" t="s">
        <v>145</v>
      </c>
      <c r="U1" t="s">
        <v>146</v>
      </c>
      <c r="V1" t="s">
        <v>147</v>
      </c>
      <c r="W1" t="s">
        <v>148</v>
      </c>
      <c r="X1" t="s">
        <v>149</v>
      </c>
      <c r="Y1" t="s">
        <v>150</v>
      </c>
      <c r="Z1" t="s">
        <v>151</v>
      </c>
      <c r="AA1" t="s">
        <v>152</v>
      </c>
      <c r="AB1" t="s">
        <v>153</v>
      </c>
      <c r="AC1" t="s">
        <v>154</v>
      </c>
      <c r="AD1" t="s">
        <v>155</v>
      </c>
      <c r="AE1" t="s">
        <v>156</v>
      </c>
      <c r="AF1" t="s">
        <v>157</v>
      </c>
      <c r="AG1" t="s">
        <v>158</v>
      </c>
      <c r="AH1" t="s">
        <v>159</v>
      </c>
      <c r="AI1" t="s">
        <v>160</v>
      </c>
      <c r="AJ1" t="s">
        <v>161</v>
      </c>
      <c r="AK1" t="s">
        <v>94</v>
      </c>
      <c r="AL1" t="s">
        <v>200</v>
      </c>
      <c r="AM1" t="s">
        <v>164</v>
      </c>
      <c r="AN1" t="s">
        <v>232</v>
      </c>
      <c r="AO1" t="s">
        <v>165</v>
      </c>
      <c r="AP1" t="s">
        <v>95</v>
      </c>
      <c r="AQ1" t="s">
        <v>96</v>
      </c>
      <c r="AR1" t="s">
        <v>97</v>
      </c>
      <c r="AS1" t="s">
        <v>166</v>
      </c>
      <c r="AT1" t="s">
        <v>98</v>
      </c>
      <c r="AU1" t="s">
        <v>99</v>
      </c>
      <c r="AV1" t="s">
        <v>100</v>
      </c>
      <c r="AW1" t="s">
        <v>167</v>
      </c>
      <c r="AX1" t="s">
        <v>201</v>
      </c>
      <c r="AY1" t="s">
        <v>202</v>
      </c>
      <c r="AZ1" t="s">
        <v>176</v>
      </c>
      <c r="BA1" t="s">
        <v>174</v>
      </c>
      <c r="BB1" t="s">
        <v>203</v>
      </c>
      <c r="BC1" t="s">
        <v>102</v>
      </c>
      <c r="BD1" t="s">
        <v>103</v>
      </c>
      <c r="BE1" t="s">
        <v>104</v>
      </c>
      <c r="BF1" t="s">
        <v>105</v>
      </c>
      <c r="BG1" t="s">
        <v>175</v>
      </c>
      <c r="BH1" t="s">
        <v>101</v>
      </c>
      <c r="BI1" t="s">
        <v>203</v>
      </c>
      <c r="BJ1" t="s">
        <v>106</v>
      </c>
      <c r="BK1" t="s">
        <v>28</v>
      </c>
      <c r="BL1" t="s">
        <v>2</v>
      </c>
      <c r="BM1" t="s">
        <v>4</v>
      </c>
      <c r="BN1" t="s">
        <v>3</v>
      </c>
      <c r="BO1" t="s">
        <v>29</v>
      </c>
      <c r="BP1" t="s">
        <v>106</v>
      </c>
      <c r="BQ1" t="s">
        <v>28</v>
      </c>
      <c r="BR1" t="s">
        <v>2</v>
      </c>
      <c r="BS1" t="s">
        <v>4</v>
      </c>
      <c r="BT1" t="s">
        <v>3</v>
      </c>
      <c r="BU1" t="s">
        <v>107</v>
      </c>
      <c r="BV1" t="s">
        <v>108</v>
      </c>
      <c r="BW1" t="s">
        <v>14</v>
      </c>
      <c r="BX1" t="s">
        <v>10</v>
      </c>
      <c r="BY1" t="s">
        <v>11</v>
      </c>
      <c r="BZ1" t="s">
        <v>204</v>
      </c>
      <c r="CA1" t="s">
        <v>205</v>
      </c>
      <c r="CB1" t="s">
        <v>14</v>
      </c>
      <c r="CC1" t="s">
        <v>107</v>
      </c>
      <c r="CD1" t="s">
        <v>10</v>
      </c>
      <c r="CE1" t="s">
        <v>11</v>
      </c>
      <c r="CF1" t="s">
        <v>109</v>
      </c>
      <c r="CG1" t="s">
        <v>240</v>
      </c>
      <c r="CH1" t="s">
        <v>110</v>
      </c>
      <c r="CI1" t="s">
        <v>111</v>
      </c>
      <c r="CJ1" t="s">
        <v>112</v>
      </c>
      <c r="CK1" t="s">
        <v>107</v>
      </c>
      <c r="CL1" t="s">
        <v>113</v>
      </c>
      <c r="CM1" t="s">
        <v>114</v>
      </c>
      <c r="CN1" t="s">
        <v>115</v>
      </c>
      <c r="CO1" t="s">
        <v>116</v>
      </c>
      <c r="CP1" t="s">
        <v>117</v>
      </c>
      <c r="CQ1" t="s">
        <v>233</v>
      </c>
      <c r="CR1" t="s">
        <v>241</v>
      </c>
      <c r="CS1" t="s">
        <v>234</v>
      </c>
      <c r="CT1" t="s">
        <v>242</v>
      </c>
      <c r="CU1" t="s">
        <v>235</v>
      </c>
      <c r="CV1" t="s">
        <v>236</v>
      </c>
      <c r="CW1" t="s">
        <v>243</v>
      </c>
      <c r="CX1" t="s">
        <v>120</v>
      </c>
      <c r="CY1" t="s">
        <v>121</v>
      </c>
      <c r="CZ1" t="s">
        <v>122</v>
      </c>
      <c r="DA1" t="s">
        <v>123</v>
      </c>
      <c r="DB1" t="s">
        <v>182</v>
      </c>
      <c r="DC1" t="s">
        <v>183</v>
      </c>
      <c r="DD1" t="s">
        <v>184</v>
      </c>
      <c r="DE1" t="s">
        <v>185</v>
      </c>
      <c r="DF1" t="s">
        <v>124</v>
      </c>
      <c r="DG1" t="s">
        <v>125</v>
      </c>
      <c r="DH1" t="s">
        <v>126</v>
      </c>
    </row>
    <row r="2" spans="1:112" ht="90" x14ac:dyDescent="0.25">
      <c r="A2">
        <v>47</v>
      </c>
      <c r="B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47</v>
      </c>
      <c r="AL2" t="s">
        <v>244</v>
      </c>
      <c r="AM2" t="s">
        <v>245</v>
      </c>
      <c r="AN2" t="s">
        <v>246</v>
      </c>
      <c r="AO2">
        <v>0</v>
      </c>
      <c r="AP2" t="b">
        <v>1</v>
      </c>
      <c r="AQ2" t="b">
        <v>0</v>
      </c>
      <c r="AR2" t="b">
        <v>0</v>
      </c>
      <c r="AS2" t="s">
        <v>247</v>
      </c>
      <c r="AT2" t="b">
        <v>1</v>
      </c>
      <c r="AU2" t="b">
        <v>0</v>
      </c>
      <c r="AV2" t="b">
        <v>0</v>
      </c>
      <c r="AW2" t="s">
        <v>248</v>
      </c>
      <c r="AX2">
        <v>2121</v>
      </c>
      <c r="AY2" s="36">
        <v>1212</v>
      </c>
      <c r="AZ2" s="36">
        <v>43608.71115127315</v>
      </c>
      <c r="BA2" t="s">
        <v>191</v>
      </c>
      <c r="BB2" t="s">
        <v>195</v>
      </c>
      <c r="BC2" t="s">
        <v>192</v>
      </c>
      <c r="BE2" t="s">
        <v>193</v>
      </c>
      <c r="BF2" t="s">
        <v>194</v>
      </c>
      <c r="BG2" t="s">
        <v>249</v>
      </c>
      <c r="BH2" t="s">
        <v>191</v>
      </c>
      <c r="BI2" t="s">
        <v>195</v>
      </c>
      <c r="BJ2" t="s">
        <v>192</v>
      </c>
      <c r="BL2" t="s">
        <v>193</v>
      </c>
      <c r="BM2" t="s">
        <v>194</v>
      </c>
      <c r="BN2" t="s">
        <v>249</v>
      </c>
      <c r="BO2" t="s">
        <v>192</v>
      </c>
      <c r="BP2" t="s">
        <v>192</v>
      </c>
      <c r="BR2" t="s">
        <v>193</v>
      </c>
      <c r="BS2" t="s">
        <v>206</v>
      </c>
      <c r="BT2" t="s">
        <v>249</v>
      </c>
      <c r="BU2" t="s">
        <v>237</v>
      </c>
      <c r="BV2" t="s">
        <v>238</v>
      </c>
      <c r="BW2" t="s">
        <v>118</v>
      </c>
      <c r="BX2" t="s">
        <v>239</v>
      </c>
      <c r="BY2">
        <v>2019</v>
      </c>
      <c r="BZ2">
        <v>0</v>
      </c>
      <c r="CA2">
        <v>0</v>
      </c>
      <c r="CB2" t="s">
        <v>118</v>
      </c>
      <c r="CC2" t="s">
        <v>250</v>
      </c>
      <c r="CD2" t="s">
        <v>251</v>
      </c>
      <c r="CE2">
        <v>2016</v>
      </c>
      <c r="CF2" s="114" t="s">
        <v>229</v>
      </c>
      <c r="CG2" t="s">
        <v>118</v>
      </c>
      <c r="CH2" s="114" t="s">
        <v>119</v>
      </c>
      <c r="CI2">
        <v>0</v>
      </c>
      <c r="CJ2" s="114" t="s">
        <v>231</v>
      </c>
      <c r="CK2" t="s">
        <v>230</v>
      </c>
      <c r="CM2" s="114">
        <v>13</v>
      </c>
      <c r="CN2">
        <v>12</v>
      </c>
      <c r="CO2">
        <v>12</v>
      </c>
      <c r="CP2">
        <v>11</v>
      </c>
      <c r="CQ2" t="s">
        <v>252</v>
      </c>
      <c r="CR2" t="s">
        <v>253</v>
      </c>
      <c r="CS2" t="s">
        <v>254</v>
      </c>
      <c r="CT2" t="s">
        <v>255</v>
      </c>
      <c r="CU2" t="s">
        <v>256</v>
      </c>
      <c r="CV2" t="s">
        <v>257</v>
      </c>
      <c r="CW2" t="s">
        <v>258</v>
      </c>
      <c r="CX2" t="b">
        <v>1</v>
      </c>
      <c r="CY2" t="b">
        <v>1</v>
      </c>
      <c r="CZ2" t="b">
        <v>0</v>
      </c>
      <c r="DA2" t="b">
        <v>0</v>
      </c>
      <c r="DB2" t="b">
        <v>0</v>
      </c>
      <c r="DC2" t="b">
        <v>0</v>
      </c>
      <c r="DD2" t="b">
        <v>1</v>
      </c>
      <c r="DF2">
        <v>0</v>
      </c>
      <c r="DG2">
        <v>110000</v>
      </c>
      <c r="DH2">
        <v>60</v>
      </c>
    </row>
    <row r="3" spans="1:112" ht="90" x14ac:dyDescent="0.25">
      <c r="A3">
        <v>47</v>
      </c>
      <c r="B3">
        <v>1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47</v>
      </c>
      <c r="AL3" t="s">
        <v>244</v>
      </c>
      <c r="AM3" t="s">
        <v>245</v>
      </c>
      <c r="AN3" t="s">
        <v>246</v>
      </c>
      <c r="AO3">
        <v>0</v>
      </c>
      <c r="AP3" t="b">
        <v>1</v>
      </c>
      <c r="AQ3" t="b">
        <v>0</v>
      </c>
      <c r="AR3" t="b">
        <v>0</v>
      </c>
      <c r="AS3" t="s">
        <v>247</v>
      </c>
      <c r="AT3" t="b">
        <v>1</v>
      </c>
      <c r="AU3" t="b">
        <v>0</v>
      </c>
      <c r="AV3" t="b">
        <v>0</v>
      </c>
      <c r="AW3" t="s">
        <v>248</v>
      </c>
      <c r="AX3">
        <v>2121</v>
      </c>
      <c r="AY3" s="36">
        <v>1212</v>
      </c>
      <c r="AZ3" s="36">
        <v>43608.71115127315</v>
      </c>
      <c r="BA3" t="s">
        <v>191</v>
      </c>
      <c r="BB3" t="s">
        <v>195</v>
      </c>
      <c r="BC3" t="s">
        <v>192</v>
      </c>
      <c r="BE3" t="s">
        <v>193</v>
      </c>
      <c r="BF3" t="s">
        <v>194</v>
      </c>
      <c r="BG3" t="s">
        <v>249</v>
      </c>
      <c r="BH3" t="s">
        <v>191</v>
      </c>
      <c r="BI3" t="s">
        <v>195</v>
      </c>
      <c r="BJ3" t="s">
        <v>192</v>
      </c>
      <c r="BL3" t="s">
        <v>193</v>
      </c>
      <c r="BM3" t="s">
        <v>194</v>
      </c>
      <c r="BN3" t="s">
        <v>249</v>
      </c>
      <c r="BO3" t="s">
        <v>192</v>
      </c>
      <c r="BP3" t="s">
        <v>192</v>
      </c>
      <c r="BR3" t="s">
        <v>193</v>
      </c>
      <c r="BS3" t="s">
        <v>206</v>
      </c>
      <c r="BT3" t="s">
        <v>249</v>
      </c>
      <c r="BU3" t="s">
        <v>237</v>
      </c>
      <c r="BV3" t="s">
        <v>238</v>
      </c>
      <c r="BW3" t="s">
        <v>118</v>
      </c>
      <c r="BX3" t="s">
        <v>239</v>
      </c>
      <c r="BY3">
        <v>2019</v>
      </c>
      <c r="BZ3">
        <v>0</v>
      </c>
      <c r="CA3">
        <v>0</v>
      </c>
      <c r="CB3" t="s">
        <v>118</v>
      </c>
      <c r="CC3" t="s">
        <v>250</v>
      </c>
      <c r="CD3" t="s">
        <v>251</v>
      </c>
      <c r="CE3">
        <v>2016</v>
      </c>
      <c r="CF3" s="114" t="s">
        <v>229</v>
      </c>
      <c r="CG3" t="s">
        <v>118</v>
      </c>
      <c r="CH3" s="114" t="s">
        <v>119</v>
      </c>
      <c r="CI3">
        <v>0</v>
      </c>
      <c r="CJ3" s="114" t="s">
        <v>231</v>
      </c>
      <c r="CK3" t="s">
        <v>230</v>
      </c>
      <c r="CM3" s="114">
        <v>13</v>
      </c>
      <c r="CN3">
        <v>12</v>
      </c>
      <c r="CO3">
        <v>12</v>
      </c>
      <c r="CP3">
        <v>11</v>
      </c>
      <c r="CQ3" t="s">
        <v>252</v>
      </c>
      <c r="CR3" t="s">
        <v>253</v>
      </c>
      <c r="CS3" t="s">
        <v>254</v>
      </c>
      <c r="CT3" t="s">
        <v>255</v>
      </c>
      <c r="CU3" t="s">
        <v>256</v>
      </c>
      <c r="CV3" t="s">
        <v>257</v>
      </c>
      <c r="CW3" t="s">
        <v>258</v>
      </c>
      <c r="CX3" t="b">
        <v>1</v>
      </c>
      <c r="CY3" t="b">
        <v>1</v>
      </c>
      <c r="CZ3" t="b">
        <v>0</v>
      </c>
      <c r="DA3" t="b">
        <v>0</v>
      </c>
      <c r="DB3" t="b">
        <v>0</v>
      </c>
      <c r="DC3" t="b">
        <v>0</v>
      </c>
      <c r="DD3" t="b">
        <v>1</v>
      </c>
      <c r="DF3">
        <v>0</v>
      </c>
      <c r="DG3">
        <v>110000</v>
      </c>
      <c r="DH3">
        <v>60</v>
      </c>
    </row>
    <row r="4" spans="1:112" ht="90" x14ac:dyDescent="0.25">
      <c r="A4">
        <v>47</v>
      </c>
      <c r="B4">
        <v>2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47</v>
      </c>
      <c r="AL4" t="s">
        <v>244</v>
      </c>
      <c r="AM4" t="s">
        <v>245</v>
      </c>
      <c r="AN4" t="s">
        <v>246</v>
      </c>
      <c r="AO4">
        <v>0</v>
      </c>
      <c r="AP4" t="b">
        <v>1</v>
      </c>
      <c r="AQ4" t="b">
        <v>0</v>
      </c>
      <c r="AR4" t="b">
        <v>0</v>
      </c>
      <c r="AS4" t="s">
        <v>247</v>
      </c>
      <c r="AT4" t="b">
        <v>1</v>
      </c>
      <c r="AU4" t="b">
        <v>0</v>
      </c>
      <c r="AV4" t="b">
        <v>0</v>
      </c>
      <c r="AW4" t="s">
        <v>248</v>
      </c>
      <c r="AX4">
        <v>2121</v>
      </c>
      <c r="AY4" s="36">
        <v>1212</v>
      </c>
      <c r="AZ4" s="36">
        <v>43608.71115127315</v>
      </c>
      <c r="BA4" t="s">
        <v>191</v>
      </c>
      <c r="BB4" t="s">
        <v>195</v>
      </c>
      <c r="BC4" t="s">
        <v>192</v>
      </c>
      <c r="BE4" t="s">
        <v>193</v>
      </c>
      <c r="BF4" t="s">
        <v>194</v>
      </c>
      <c r="BG4" t="s">
        <v>249</v>
      </c>
      <c r="BH4" t="s">
        <v>191</v>
      </c>
      <c r="BI4" t="s">
        <v>195</v>
      </c>
      <c r="BJ4" t="s">
        <v>192</v>
      </c>
      <c r="BL4" t="s">
        <v>193</v>
      </c>
      <c r="BM4" t="s">
        <v>194</v>
      </c>
      <c r="BN4" t="s">
        <v>249</v>
      </c>
      <c r="BO4" t="s">
        <v>192</v>
      </c>
      <c r="BP4" t="s">
        <v>192</v>
      </c>
      <c r="BR4" t="s">
        <v>193</v>
      </c>
      <c r="BS4" t="s">
        <v>206</v>
      </c>
      <c r="BT4" t="s">
        <v>249</v>
      </c>
      <c r="BU4" t="s">
        <v>237</v>
      </c>
      <c r="BV4" t="s">
        <v>238</v>
      </c>
      <c r="BW4" t="s">
        <v>118</v>
      </c>
      <c r="BX4" t="s">
        <v>239</v>
      </c>
      <c r="BY4">
        <v>2019</v>
      </c>
      <c r="BZ4">
        <v>0</v>
      </c>
      <c r="CA4">
        <v>0</v>
      </c>
      <c r="CB4" t="s">
        <v>118</v>
      </c>
      <c r="CC4" t="s">
        <v>250</v>
      </c>
      <c r="CD4" t="s">
        <v>251</v>
      </c>
      <c r="CE4">
        <v>2016</v>
      </c>
      <c r="CF4" s="114" t="s">
        <v>229</v>
      </c>
      <c r="CG4" t="s">
        <v>118</v>
      </c>
      <c r="CH4" s="114" t="s">
        <v>119</v>
      </c>
      <c r="CI4">
        <v>0</v>
      </c>
      <c r="CJ4" s="114" t="s">
        <v>231</v>
      </c>
      <c r="CK4" t="s">
        <v>230</v>
      </c>
      <c r="CM4" s="114">
        <v>13</v>
      </c>
      <c r="CN4">
        <v>12</v>
      </c>
      <c r="CO4">
        <v>12</v>
      </c>
      <c r="CP4">
        <v>11</v>
      </c>
      <c r="CQ4" t="s">
        <v>252</v>
      </c>
      <c r="CR4" t="s">
        <v>253</v>
      </c>
      <c r="CS4" t="s">
        <v>254</v>
      </c>
      <c r="CT4" t="s">
        <v>255</v>
      </c>
      <c r="CU4" t="s">
        <v>256</v>
      </c>
      <c r="CV4" t="s">
        <v>257</v>
      </c>
      <c r="CW4" t="s">
        <v>258</v>
      </c>
      <c r="CX4" t="b">
        <v>1</v>
      </c>
      <c r="CY4" t="b">
        <v>1</v>
      </c>
      <c r="CZ4" t="b">
        <v>0</v>
      </c>
      <c r="DA4" t="b">
        <v>0</v>
      </c>
      <c r="DB4" t="b">
        <v>0</v>
      </c>
      <c r="DC4" t="b">
        <v>0</v>
      </c>
      <c r="DD4" t="b">
        <v>1</v>
      </c>
      <c r="DF4">
        <v>0</v>
      </c>
      <c r="DG4">
        <v>110000</v>
      </c>
      <c r="DH4">
        <v>60</v>
      </c>
    </row>
  </sheetData>
  <dataConsolidate link="1"/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4"/>
  <dimension ref="B3:I35"/>
  <sheetViews>
    <sheetView showGridLines="0" workbookViewId="0">
      <selection activeCell="B5" sqref="B5"/>
    </sheetView>
  </sheetViews>
  <sheetFormatPr defaultRowHeight="15" x14ac:dyDescent="0.25"/>
  <cols>
    <col min="2" max="2" width="46.85546875" bestFit="1" customWidth="1"/>
    <col min="3" max="3" width="24.5703125" bestFit="1" customWidth="1"/>
    <col min="4" max="4" width="10.5703125" bestFit="1" customWidth="1"/>
    <col min="5" max="5" width="11.140625" bestFit="1" customWidth="1"/>
  </cols>
  <sheetData>
    <row r="3" spans="2:3" x14ac:dyDescent="0.25">
      <c r="B3" s="5" t="s">
        <v>0</v>
      </c>
    </row>
    <row r="5" spans="2:3" x14ac:dyDescent="0.25">
      <c r="B5" s="5" t="s">
        <v>173</v>
      </c>
      <c r="C5" s="1"/>
    </row>
    <row r="6" spans="2:3" x14ac:dyDescent="0.25">
      <c r="B6" s="1"/>
      <c r="C6" s="2"/>
    </row>
    <row r="7" spans="2:3" x14ac:dyDescent="0.25">
      <c r="B7" s="5" t="s">
        <v>181</v>
      </c>
    </row>
    <row r="8" spans="2:3" x14ac:dyDescent="0.25">
      <c r="B8" s="5"/>
      <c r="C8" s="1"/>
    </row>
    <row r="9" spans="2:3" x14ac:dyDescent="0.25">
      <c r="B9" s="3"/>
      <c r="C9" s="1"/>
    </row>
    <row r="10" spans="2:3" x14ac:dyDescent="0.25">
      <c r="B10" s="5"/>
      <c r="C10" s="6"/>
    </row>
    <row r="11" spans="2:3" x14ac:dyDescent="0.25">
      <c r="C11" s="1"/>
    </row>
    <row r="12" spans="2:3" x14ac:dyDescent="0.25">
      <c r="B12" s="5"/>
      <c r="C12" s="1"/>
    </row>
    <row r="13" spans="2:3" x14ac:dyDescent="0.25">
      <c r="B13" s="5"/>
      <c r="C13" s="1"/>
    </row>
    <row r="14" spans="2:3" x14ac:dyDescent="0.25">
      <c r="B14" s="5"/>
      <c r="C14" s="1"/>
    </row>
    <row r="15" spans="2:3" x14ac:dyDescent="0.25">
      <c r="B15" s="5"/>
      <c r="C15" s="1"/>
    </row>
    <row r="16" spans="2:3" x14ac:dyDescent="0.25">
      <c r="B16" s="5"/>
      <c r="C16" s="1"/>
    </row>
    <row r="17" spans="2:8" x14ac:dyDescent="0.25">
      <c r="B17" s="5"/>
      <c r="C17" s="1"/>
    </row>
    <row r="18" spans="2:8" ht="15.95" customHeight="1" x14ac:dyDescent="0.25">
      <c r="B18" s="5"/>
      <c r="C18" s="1"/>
    </row>
    <row r="20" spans="2:8" x14ac:dyDescent="0.25">
      <c r="D20" s="19"/>
      <c r="E20" s="19"/>
    </row>
    <row r="21" spans="2:8" x14ac:dyDescent="0.25">
      <c r="D21" s="19"/>
      <c r="E21" s="19"/>
    </row>
    <row r="22" spans="2:8" x14ac:dyDescent="0.25">
      <c r="B22" s="10"/>
      <c r="D22" s="19"/>
      <c r="E22" s="19"/>
    </row>
    <row r="23" spans="2:8" x14ac:dyDescent="0.25">
      <c r="D23" s="19"/>
      <c r="E23" s="19"/>
    </row>
    <row r="24" spans="2:8" x14ac:dyDescent="0.25">
      <c r="D24" s="19"/>
      <c r="E24" s="19"/>
    </row>
    <row r="25" spans="2:8" x14ac:dyDescent="0.25">
      <c r="C25" s="21"/>
      <c r="D25" s="19"/>
      <c r="E25" s="19"/>
    </row>
    <row r="26" spans="2:8" x14ac:dyDescent="0.25">
      <c r="D26" s="19"/>
      <c r="E26" s="19"/>
    </row>
    <row r="28" spans="2:8" x14ac:dyDescent="0.25">
      <c r="C28" s="22"/>
      <c r="G28" s="19"/>
    </row>
    <row r="29" spans="2:8" x14ac:dyDescent="0.25">
      <c r="C29" s="22"/>
      <c r="G29" s="19"/>
    </row>
    <row r="30" spans="2:8" x14ac:dyDescent="0.25">
      <c r="C30" s="22"/>
      <c r="D30" s="1"/>
      <c r="H30" s="19"/>
    </row>
    <row r="31" spans="2:8" x14ac:dyDescent="0.25">
      <c r="C31" s="22"/>
      <c r="D31" s="1"/>
      <c r="H31" s="19"/>
    </row>
    <row r="32" spans="2:8" x14ac:dyDescent="0.25">
      <c r="C32" s="22"/>
      <c r="G32" s="19"/>
    </row>
    <row r="33" spans="2:9" x14ac:dyDescent="0.25">
      <c r="C33" s="22"/>
      <c r="G33" s="19"/>
    </row>
    <row r="34" spans="2:9" x14ac:dyDescent="0.25">
      <c r="C34" s="22"/>
      <c r="G34" s="19"/>
    </row>
    <row r="35" spans="2:9" x14ac:dyDescent="0.25">
      <c r="B35" s="7"/>
      <c r="H35" s="19"/>
      <c r="I3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5605" r:id="rId4" name="cbDPF">
          <controlPr defaultSize="0" autoFill="0" autoLine="0" autoPict="0" r:id="rId5">
            <anchor moveWithCells="1">
              <from>
                <xdr:col>2</xdr:col>
                <xdr:colOff>9525</xdr:colOff>
                <xdr:row>4</xdr:row>
                <xdr:rowOff>9525</xdr:rowOff>
              </from>
              <to>
                <xdr:col>3</xdr:col>
                <xdr:colOff>657225</xdr:colOff>
                <xdr:row>5</xdr:row>
                <xdr:rowOff>66675</xdr:rowOff>
              </to>
            </anchor>
          </controlPr>
        </control>
      </mc:Choice>
      <mc:Fallback>
        <control shapeId="25605" r:id="rId4" name="cbDPF"/>
      </mc:Fallback>
    </mc:AlternateContent>
    <mc:AlternateContent xmlns:mc="http://schemas.openxmlformats.org/markup-compatibility/2006">
      <mc:Choice Requires="x14">
        <control shapeId="25601" r:id="rId6" name="cmdGenerate">
          <controlPr defaultSize="0" autoFill="0" autoLine="0" r:id="rId7">
            <anchor moveWithCells="1">
              <from>
                <xdr:col>4</xdr:col>
                <xdr:colOff>533400</xdr:colOff>
                <xdr:row>1</xdr:row>
                <xdr:rowOff>161925</xdr:rowOff>
              </from>
              <to>
                <xdr:col>6</xdr:col>
                <xdr:colOff>523875</xdr:colOff>
                <xdr:row>3</xdr:row>
                <xdr:rowOff>57150</xdr:rowOff>
              </to>
            </anchor>
          </controlPr>
        </control>
      </mc:Choice>
      <mc:Fallback>
        <control shapeId="25601" r:id="rId6" name="cmdGenerate"/>
      </mc:Fallback>
    </mc:AlternateContent>
    <mc:AlternateContent xmlns:mc="http://schemas.openxmlformats.org/markup-compatibility/2006">
      <mc:Choice Requires="x14">
        <control shapeId="25602" r:id="rId8" name="cbSalesID">
          <controlPr defaultSize="0" autoFill="0" autoLine="0" autoPict="0" r:id="rId9">
            <anchor moveWithCells="1">
              <from>
                <xdr:col>2</xdr:col>
                <xdr:colOff>9525</xdr:colOff>
                <xdr:row>2</xdr:row>
                <xdr:rowOff>0</xdr:rowOff>
              </from>
              <to>
                <xdr:col>3</xdr:col>
                <xdr:colOff>657225</xdr:colOff>
                <xdr:row>3</xdr:row>
                <xdr:rowOff>57150</xdr:rowOff>
              </to>
            </anchor>
          </controlPr>
        </control>
      </mc:Choice>
      <mc:Fallback>
        <control shapeId="25602" r:id="rId8" name="cbSalesID"/>
      </mc:Fallback>
    </mc:AlternateContent>
    <mc:AlternateContent xmlns:mc="http://schemas.openxmlformats.org/markup-compatibility/2006">
      <mc:Choice Requires="x14">
        <control shapeId="25603" r:id="rId10" name="cmdMenu">
          <controlPr autoLine="0" r:id="rId11">
            <anchor moveWithCells="1">
              <from>
                <xdr:col>4</xdr:col>
                <xdr:colOff>533400</xdr:colOff>
                <xdr:row>4</xdr:row>
                <xdr:rowOff>19050</xdr:rowOff>
              </from>
              <to>
                <xdr:col>6</xdr:col>
                <xdr:colOff>561975</xdr:colOff>
                <xdr:row>5</xdr:row>
                <xdr:rowOff>123825</xdr:rowOff>
              </to>
            </anchor>
          </controlPr>
        </control>
      </mc:Choice>
      <mc:Fallback>
        <control shapeId="25603" r:id="rId10" name="cmdMenu"/>
      </mc:Fallback>
    </mc:AlternateContent>
    <mc:AlternateContent xmlns:mc="http://schemas.openxmlformats.org/markup-compatibility/2006">
      <mc:Choice Requires="x14">
        <control shapeId="25604" r:id="rId12" name="cbTemplate">
          <controlPr defaultSize="0" autoFill="0" autoLine="0" autoPict="0" r:id="rId13">
            <anchor moveWithCells="1">
              <from>
                <xdr:col>2</xdr:col>
                <xdr:colOff>9525</xdr:colOff>
                <xdr:row>6</xdr:row>
                <xdr:rowOff>19050</xdr:rowOff>
              </from>
              <to>
                <xdr:col>3</xdr:col>
                <xdr:colOff>657225</xdr:colOff>
                <xdr:row>7</xdr:row>
                <xdr:rowOff>95250</xdr:rowOff>
              </to>
            </anchor>
          </controlPr>
        </control>
      </mc:Choice>
      <mc:Fallback>
        <control shapeId="25604" r:id="rId12" name="cbTemplate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2"/>
  <dimension ref="A2:J44"/>
  <sheetViews>
    <sheetView showGridLines="0" workbookViewId="0">
      <selection activeCell="I17" sqref="I17"/>
    </sheetView>
  </sheetViews>
  <sheetFormatPr defaultRowHeight="18" customHeight="1" x14ac:dyDescent="0.25"/>
  <cols>
    <col min="1" max="1" width="30.7109375" customWidth="1"/>
    <col min="2" max="2" width="14" customWidth="1"/>
    <col min="3" max="3" width="11.7109375" customWidth="1"/>
    <col min="4" max="4" width="12.85546875" customWidth="1"/>
    <col min="5" max="5" width="6.7109375" customWidth="1"/>
    <col min="6" max="6" width="20.85546875" customWidth="1"/>
    <col min="7" max="7" width="8.5703125" customWidth="1"/>
    <col min="8" max="8" width="25" customWidth="1"/>
    <col min="9" max="9" width="16.85546875" customWidth="1"/>
  </cols>
  <sheetData>
    <row r="2" spans="1:10" ht="18" customHeight="1" x14ac:dyDescent="0.25">
      <c r="A2" s="40" t="s">
        <v>228</v>
      </c>
      <c r="B2" s="109">
        <v>47</v>
      </c>
      <c r="J2" s="19"/>
    </row>
    <row r="3" spans="1:10" ht="18" customHeight="1" x14ac:dyDescent="0.25">
      <c r="A3" s="40" t="s">
        <v>227</v>
      </c>
      <c r="B3" s="110" t="s">
        <v>223</v>
      </c>
      <c r="E3" s="40"/>
      <c r="F3" s="40"/>
      <c r="H3" s="10" t="s">
        <v>162</v>
      </c>
      <c r="I3" s="19"/>
      <c r="J3" s="19"/>
    </row>
    <row r="4" spans="1:10" ht="18" customHeight="1" x14ac:dyDescent="0.25">
      <c r="A4" s="40" t="s">
        <v>16</v>
      </c>
      <c r="B4" s="109">
        <v>12</v>
      </c>
      <c r="F4" s="43"/>
      <c r="H4" s="10"/>
      <c r="I4" s="19"/>
      <c r="J4" s="19"/>
    </row>
    <row r="5" spans="1:10" ht="18" customHeight="1" x14ac:dyDescent="0.25">
      <c r="A5" s="40" t="s">
        <v>18</v>
      </c>
      <c r="B5" s="109">
        <v>11</v>
      </c>
      <c r="F5" s="41"/>
      <c r="H5" s="10" t="s">
        <v>66</v>
      </c>
    </row>
    <row r="6" spans="1:10" ht="18" customHeight="1" x14ac:dyDescent="0.25">
      <c r="A6" s="40" t="s">
        <v>225</v>
      </c>
      <c r="B6" s="112">
        <f>(3.14*(SubDiameter/2)^2)*(SubLength)*(1/12)^3</f>
        <v>0.71958333333333335</v>
      </c>
      <c r="E6" s="1"/>
      <c r="F6" s="41"/>
      <c r="H6" s="10" t="s">
        <v>163</v>
      </c>
      <c r="I6" s="19"/>
      <c r="J6" s="19"/>
    </row>
    <row r="7" spans="1:10" ht="18" customHeight="1" x14ac:dyDescent="0.25">
      <c r="A7" s="40" t="s">
        <v>226</v>
      </c>
      <c r="B7" s="113">
        <f>Volume*28.317</f>
        <v>20.376441249999999</v>
      </c>
      <c r="F7" s="41"/>
      <c r="H7" s="10"/>
      <c r="I7" s="19"/>
      <c r="J7" s="19"/>
    </row>
    <row r="8" spans="1:10" ht="18" customHeight="1" x14ac:dyDescent="0.25">
      <c r="E8" s="41"/>
      <c r="F8" s="41"/>
      <c r="H8" s="10" t="s">
        <v>71</v>
      </c>
      <c r="I8" s="19"/>
      <c r="J8" s="19"/>
    </row>
    <row r="9" spans="1:10" ht="18" customHeight="1" x14ac:dyDescent="0.25">
      <c r="B9" s="1" t="s">
        <v>50</v>
      </c>
      <c r="C9" s="1" t="s">
        <v>51</v>
      </c>
      <c r="D9" s="1" t="s">
        <v>51</v>
      </c>
      <c r="J9" s="19"/>
    </row>
    <row r="10" spans="1:10" ht="18" customHeight="1" x14ac:dyDescent="0.25">
      <c r="B10" s="1" t="s">
        <v>52</v>
      </c>
      <c r="C10" s="1" t="s">
        <v>53</v>
      </c>
      <c r="D10" s="1" t="s">
        <v>54</v>
      </c>
      <c r="E10" s="41" t="s">
        <v>207</v>
      </c>
      <c r="F10" s="41"/>
      <c r="G10" s="41"/>
      <c r="J10" s="19"/>
    </row>
    <row r="11" spans="1:10" ht="18" customHeight="1" x14ac:dyDescent="0.25">
      <c r="A11" s="10" t="s">
        <v>55</v>
      </c>
      <c r="B11" s="44"/>
      <c r="C11" s="44"/>
      <c r="D11" s="44"/>
      <c r="E11" s="60">
        <f>B11-D11</f>
        <v>0</v>
      </c>
      <c r="F11" s="41"/>
      <c r="G11" s="41"/>
    </row>
    <row r="12" spans="1:10" ht="18" customHeight="1" x14ac:dyDescent="0.25">
      <c r="A12" s="10"/>
      <c r="B12" s="20"/>
      <c r="C12" s="20"/>
      <c r="D12" s="20"/>
      <c r="E12" s="20"/>
      <c r="F12" s="41"/>
      <c r="G12" s="42"/>
      <c r="H12" s="10"/>
      <c r="I12" s="1"/>
    </row>
    <row r="13" spans="1:10" ht="18" customHeight="1" x14ac:dyDescent="0.25">
      <c r="A13" s="10"/>
      <c r="B13" s="41"/>
      <c r="C13" s="41"/>
      <c r="D13" s="41"/>
      <c r="E13" s="20"/>
      <c r="F13" s="42"/>
      <c r="G13" s="42"/>
      <c r="H13" s="10" t="s">
        <v>70</v>
      </c>
      <c r="I13" s="44"/>
    </row>
    <row r="14" spans="1:10" ht="18" customHeight="1" x14ac:dyDescent="0.25">
      <c r="A14" s="39" t="s">
        <v>56</v>
      </c>
      <c r="B14" s="44"/>
      <c r="C14" s="41"/>
      <c r="D14" s="41"/>
      <c r="E14" s="20"/>
      <c r="F14" s="42"/>
      <c r="G14" s="42"/>
      <c r="H14" s="10" t="s">
        <v>69</v>
      </c>
      <c r="I14" s="44"/>
    </row>
    <row r="15" spans="1:10" ht="18" customHeight="1" x14ac:dyDescent="0.25">
      <c r="A15" s="39" t="s">
        <v>57</v>
      </c>
      <c r="B15" s="44"/>
      <c r="C15" s="41"/>
      <c r="D15" s="41"/>
      <c r="E15" s="20"/>
      <c r="F15" s="20"/>
      <c r="G15" s="42"/>
      <c r="H15" s="10"/>
    </row>
    <row r="16" spans="1:10" ht="18" customHeight="1" x14ac:dyDescent="0.25">
      <c r="A16" s="39"/>
      <c r="B16" s="20">
        <v>0</v>
      </c>
      <c r="C16" s="42"/>
      <c r="D16" s="42"/>
      <c r="E16" s="20"/>
      <c r="F16" s="20"/>
      <c r="G16" s="42"/>
      <c r="I16" s="59" t="s">
        <v>199</v>
      </c>
    </row>
    <row r="17" spans="1:9" ht="18" customHeight="1" x14ac:dyDescent="0.25">
      <c r="A17" s="10" t="s">
        <v>58</v>
      </c>
      <c r="B17" s="20" t="s">
        <v>59</v>
      </c>
      <c r="C17" s="20" t="s">
        <v>60</v>
      </c>
      <c r="D17" s="42"/>
      <c r="F17" s="20"/>
      <c r="G17" s="42"/>
      <c r="H17" s="10" t="s">
        <v>177</v>
      </c>
      <c r="I17" s="44"/>
    </row>
    <row r="18" spans="1:9" ht="18" customHeight="1" x14ac:dyDescent="0.25">
      <c r="A18" s="38" t="s">
        <v>61</v>
      </c>
      <c r="B18" s="44"/>
      <c r="C18" s="44"/>
      <c r="D18" s="20"/>
      <c r="F18" s="20"/>
      <c r="G18" s="42"/>
      <c r="H18" s="10" t="s">
        <v>178</v>
      </c>
      <c r="I18" s="44"/>
    </row>
    <row r="19" spans="1:9" ht="18" customHeight="1" x14ac:dyDescent="0.25">
      <c r="A19" s="38" t="s">
        <v>62</v>
      </c>
      <c r="B19" s="44"/>
      <c r="C19" s="44"/>
      <c r="D19" s="20"/>
      <c r="H19" s="10" t="s">
        <v>179</v>
      </c>
      <c r="I19" s="44"/>
    </row>
    <row r="20" spans="1:9" ht="18" customHeight="1" x14ac:dyDescent="0.25">
      <c r="A20" s="38" t="s">
        <v>63</v>
      </c>
      <c r="B20" s="44"/>
      <c r="C20" s="44"/>
      <c r="D20" s="20"/>
      <c r="H20" s="10" t="s">
        <v>22</v>
      </c>
      <c r="I20" s="44"/>
    </row>
    <row r="21" spans="1:9" ht="18" customHeight="1" x14ac:dyDescent="0.25">
      <c r="A21" s="38" t="s">
        <v>64</v>
      </c>
      <c r="B21" s="44"/>
      <c r="C21" s="44"/>
      <c r="D21" s="20"/>
    </row>
    <row r="22" spans="1:9" ht="18" customHeight="1" x14ac:dyDescent="0.25">
      <c r="A22" s="38" t="s">
        <v>65</v>
      </c>
      <c r="B22" s="44"/>
      <c r="C22" s="44"/>
      <c r="G22" s="19"/>
      <c r="I22" t="s">
        <v>224</v>
      </c>
    </row>
    <row r="23" spans="1:9" ht="18" customHeight="1" x14ac:dyDescent="0.25">
      <c r="H23" s="40" t="s">
        <v>180</v>
      </c>
    </row>
    <row r="24" spans="1:9" ht="18" customHeight="1" x14ac:dyDescent="0.25">
      <c r="A24" s="10" t="s">
        <v>67</v>
      </c>
      <c r="E24" s="19"/>
    </row>
    <row r="25" spans="1:9" ht="18" customHeight="1" x14ac:dyDescent="0.25">
      <c r="A25" s="10" t="s">
        <v>68</v>
      </c>
      <c r="E25" s="19"/>
    </row>
    <row r="26" spans="1:9" ht="18" customHeight="1" x14ac:dyDescent="0.25">
      <c r="A26" s="10"/>
      <c r="F26" s="19"/>
    </row>
    <row r="27" spans="1:9" ht="18" customHeight="1" x14ac:dyDescent="0.25">
      <c r="F27" s="19"/>
    </row>
    <row r="29" spans="1:9" ht="18" customHeight="1" x14ac:dyDescent="0.25">
      <c r="B29" s="21" t="s">
        <v>7</v>
      </c>
      <c r="C29" s="19"/>
      <c r="D29" s="19"/>
    </row>
    <row r="30" spans="1:9" ht="18" customHeight="1" x14ac:dyDescent="0.25">
      <c r="B30" t="s">
        <v>7</v>
      </c>
      <c r="C30" s="19"/>
      <c r="D30" s="19"/>
    </row>
    <row r="32" spans="1:9" ht="18" customHeight="1" x14ac:dyDescent="0.25">
      <c r="B32" s="4"/>
      <c r="H32" s="19"/>
    </row>
    <row r="33" spans="1:10" ht="18" customHeight="1" x14ac:dyDescent="0.25">
      <c r="H33" s="19"/>
    </row>
    <row r="34" spans="1:10" ht="18" customHeight="1" x14ac:dyDescent="0.25">
      <c r="B34" s="4"/>
      <c r="C34" s="1"/>
    </row>
    <row r="35" spans="1:10" ht="18" customHeight="1" x14ac:dyDescent="0.25">
      <c r="B35" s="4"/>
      <c r="C35" s="1"/>
    </row>
    <row r="36" spans="1:10" ht="18" customHeight="1" x14ac:dyDescent="0.25">
      <c r="H36" s="19"/>
    </row>
    <row r="37" spans="1:10" ht="18" customHeight="1" x14ac:dyDescent="0.25">
      <c r="B37" s="4"/>
      <c r="H37" s="19"/>
      <c r="I37" s="19"/>
    </row>
    <row r="38" spans="1:10" ht="18" customHeight="1" x14ac:dyDescent="0.25">
      <c r="H38" s="19"/>
      <c r="I38" s="19"/>
    </row>
    <row r="39" spans="1:10" ht="18" customHeight="1" x14ac:dyDescent="0.25">
      <c r="A39" s="7"/>
    </row>
    <row r="42" spans="1:10" ht="18" customHeight="1" x14ac:dyDescent="0.25">
      <c r="I42" s="19"/>
    </row>
    <row r="44" spans="1:10" ht="18" customHeight="1" x14ac:dyDescent="0.25">
      <c r="J44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3587" r:id="rId4" name="cmdBack">
          <controlPr autoLine="0" r:id="rId5">
            <anchor moveWithCells="1">
              <from>
                <xdr:col>5</xdr:col>
                <xdr:colOff>9525</xdr:colOff>
                <xdr:row>4</xdr:row>
                <xdr:rowOff>95250</xdr:rowOff>
              </from>
              <to>
                <xdr:col>5</xdr:col>
                <xdr:colOff>1381125</xdr:colOff>
                <xdr:row>5</xdr:row>
                <xdr:rowOff>190500</xdr:rowOff>
              </to>
            </anchor>
          </controlPr>
        </control>
      </mc:Choice>
      <mc:Fallback>
        <control shapeId="23587" r:id="rId4" name="cmdBack"/>
      </mc:Fallback>
    </mc:AlternateContent>
    <mc:AlternateContent xmlns:mc="http://schemas.openxmlformats.org/markup-compatibility/2006">
      <mc:Choice Requires="x14">
        <control shapeId="23586" r:id="rId6" name="cbSubstrateOveralCondition">
          <controlPr defaultSize="0" autoFill="0" autoLine="0" r:id="rId7">
            <anchor moveWithCells="1">
              <from>
                <xdr:col>8</xdr:col>
                <xdr:colOff>38100</xdr:colOff>
                <xdr:row>22</xdr:row>
                <xdr:rowOff>9525</xdr:rowOff>
              </from>
              <to>
                <xdr:col>9</xdr:col>
                <xdr:colOff>57150</xdr:colOff>
                <xdr:row>23</xdr:row>
                <xdr:rowOff>9525</xdr:rowOff>
              </to>
            </anchor>
          </controlPr>
        </control>
      </mc:Choice>
      <mc:Fallback>
        <control shapeId="23586" r:id="rId6" name="cbSubstrateOveralCondition"/>
      </mc:Fallback>
    </mc:AlternateContent>
    <mc:AlternateContent xmlns:mc="http://schemas.openxmlformats.org/markup-compatibility/2006">
      <mc:Choice Requires="x14">
        <control shapeId="23584" r:id="rId8" name="txtContaminantsOther">
          <controlPr autoLine="0" autoPict="0" r:id="rId9">
            <anchor moveWithCells="1">
              <from>
                <xdr:col>8</xdr:col>
                <xdr:colOff>19050</xdr:colOff>
                <xdr:row>19</xdr:row>
                <xdr:rowOff>0</xdr:rowOff>
              </from>
              <to>
                <xdr:col>10</xdr:col>
                <xdr:colOff>428625</xdr:colOff>
                <xdr:row>19</xdr:row>
                <xdr:rowOff>219075</xdr:rowOff>
              </to>
            </anchor>
          </controlPr>
        </control>
      </mc:Choice>
      <mc:Fallback>
        <control shapeId="23584" r:id="rId8" name="txtContaminantsOther"/>
      </mc:Fallback>
    </mc:AlternateContent>
    <mc:AlternateContent xmlns:mc="http://schemas.openxmlformats.org/markup-compatibility/2006">
      <mc:Choice Requires="x14">
        <control shapeId="23581" r:id="rId10" name="chkWearCorrosion">
          <controlPr autoLine="0" r:id="rId11">
            <anchor moveWithCells="1">
              <from>
                <xdr:col>8</xdr:col>
                <xdr:colOff>104775</xdr:colOff>
                <xdr:row>18</xdr:row>
                <xdr:rowOff>28575</xdr:rowOff>
              </from>
              <to>
                <xdr:col>8</xdr:col>
                <xdr:colOff>276225</xdr:colOff>
                <xdr:row>18</xdr:row>
                <xdr:rowOff>190500</xdr:rowOff>
              </to>
            </anchor>
          </controlPr>
        </control>
      </mc:Choice>
      <mc:Fallback>
        <control shapeId="23581" r:id="rId10" name="chkWearCorrosion"/>
      </mc:Fallback>
    </mc:AlternateContent>
    <mc:AlternateContent xmlns:mc="http://schemas.openxmlformats.org/markup-compatibility/2006">
      <mc:Choice Requires="x14">
        <control shapeId="23580" r:id="rId12" name="chkEngineEGRCoolant">
          <controlPr autoLine="0" r:id="rId11">
            <anchor moveWithCells="1">
              <from>
                <xdr:col>8</xdr:col>
                <xdr:colOff>104775</xdr:colOff>
                <xdr:row>17</xdr:row>
                <xdr:rowOff>38100</xdr:rowOff>
              </from>
              <to>
                <xdr:col>8</xdr:col>
                <xdr:colOff>276225</xdr:colOff>
                <xdr:row>17</xdr:row>
                <xdr:rowOff>200025</xdr:rowOff>
              </to>
            </anchor>
          </controlPr>
        </control>
      </mc:Choice>
      <mc:Fallback>
        <control shapeId="23580" r:id="rId12" name="chkEngineEGRCoolant"/>
      </mc:Fallback>
    </mc:AlternateContent>
    <mc:AlternateContent xmlns:mc="http://schemas.openxmlformats.org/markup-compatibility/2006">
      <mc:Choice Requires="x14">
        <control shapeId="23579" r:id="rId13" name="chkFuelOil">
          <controlPr autoLine="0" r:id="rId14">
            <anchor moveWithCells="1">
              <from>
                <xdr:col>8</xdr:col>
                <xdr:colOff>104775</xdr:colOff>
                <xdr:row>16</xdr:row>
                <xdr:rowOff>28575</xdr:rowOff>
              </from>
              <to>
                <xdr:col>8</xdr:col>
                <xdr:colOff>276225</xdr:colOff>
                <xdr:row>16</xdr:row>
                <xdr:rowOff>190500</xdr:rowOff>
              </to>
            </anchor>
          </controlPr>
        </control>
      </mc:Choice>
      <mc:Fallback>
        <control shapeId="23579" r:id="rId13" name="chkFuelOil"/>
      </mc:Fallback>
    </mc:AlternateContent>
    <mc:AlternateContent xmlns:mc="http://schemas.openxmlformats.org/markup-compatibility/2006">
      <mc:Choice Requires="x14">
        <control shapeId="23575" r:id="rId15" name="cbCracking">
          <controlPr defaultSize="0" autoFill="0" autoLine="0" r:id="rId16">
            <anchor moveWithCells="1">
              <from>
                <xdr:col>1</xdr:col>
                <xdr:colOff>19050</xdr:colOff>
                <xdr:row>24</xdr:row>
                <xdr:rowOff>47625</xdr:rowOff>
              </from>
              <to>
                <xdr:col>2</xdr:col>
                <xdr:colOff>228600</xdr:colOff>
                <xdr:row>25</xdr:row>
                <xdr:rowOff>38100</xdr:rowOff>
              </to>
            </anchor>
          </controlPr>
        </control>
      </mc:Choice>
      <mc:Fallback>
        <control shapeId="23575" r:id="rId15" name="cbCracking"/>
      </mc:Fallback>
    </mc:AlternateContent>
    <mc:AlternateContent xmlns:mc="http://schemas.openxmlformats.org/markup-compatibility/2006">
      <mc:Choice Requires="x14">
        <control shapeId="23574" r:id="rId17" name="cbBreachChannels">
          <controlPr defaultSize="0" autoFill="0" autoLine="0" r:id="rId18">
            <anchor moveWithCells="1">
              <from>
                <xdr:col>1</xdr:col>
                <xdr:colOff>19050</xdr:colOff>
                <xdr:row>23</xdr:row>
                <xdr:rowOff>28575</xdr:rowOff>
              </from>
              <to>
                <xdr:col>2</xdr:col>
                <xdr:colOff>228600</xdr:colOff>
                <xdr:row>24</xdr:row>
                <xdr:rowOff>19050</xdr:rowOff>
              </to>
            </anchor>
          </controlPr>
        </control>
      </mc:Choice>
      <mc:Fallback>
        <control shapeId="23574" r:id="rId17" name="cbBreachChannels"/>
      </mc:Fallback>
    </mc:AlternateContent>
    <mc:AlternateContent xmlns:mc="http://schemas.openxmlformats.org/markup-compatibility/2006">
      <mc:Choice Requires="x14">
        <control shapeId="23573" r:id="rId19" name="cbOutletColor">
          <controlPr defaultSize="0" autoFill="0" autoLine="0" r:id="rId20">
            <anchor moveWithCells="1">
              <from>
                <xdr:col>8</xdr:col>
                <xdr:colOff>0</xdr:colOff>
                <xdr:row>7</xdr:row>
                <xdr:rowOff>19050</xdr:rowOff>
              </from>
              <to>
                <xdr:col>9</xdr:col>
                <xdr:colOff>19050</xdr:colOff>
                <xdr:row>8</xdr:row>
                <xdr:rowOff>9525</xdr:rowOff>
              </to>
            </anchor>
          </controlPr>
        </control>
      </mc:Choice>
      <mc:Fallback>
        <control shapeId="23573" r:id="rId19" name="cbOutletColor"/>
      </mc:Fallback>
    </mc:AlternateContent>
    <mc:AlternateContent xmlns:mc="http://schemas.openxmlformats.org/markup-compatibility/2006">
      <mc:Choice Requires="x14">
        <control shapeId="23572" r:id="rId21" name="cbAshColor">
          <controlPr defaultSize="0" autoFill="0" autoLine="0" r:id="rId22">
            <anchor moveWithCells="1">
              <from>
                <xdr:col>8</xdr:col>
                <xdr:colOff>0</xdr:colOff>
                <xdr:row>5</xdr:row>
                <xdr:rowOff>9525</xdr:rowOff>
              </from>
              <to>
                <xdr:col>9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23572" r:id="rId21" name="cbAshColor"/>
      </mc:Fallback>
    </mc:AlternateContent>
    <mc:AlternateContent xmlns:mc="http://schemas.openxmlformats.org/markup-compatibility/2006">
      <mc:Choice Requires="x14">
        <control shapeId="23571" r:id="rId23" name="cbAsh">
          <controlPr defaultSize="0" autoFill="0" autoLine="0" r:id="rId24">
            <anchor moveWithCells="1">
              <from>
                <xdr:col>8</xdr:col>
                <xdr:colOff>0</xdr:colOff>
                <xdr:row>4</xdr:row>
                <xdr:rowOff>19050</xdr:rowOff>
              </from>
              <to>
                <xdr:col>9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23571" r:id="rId23" name="cbAsh"/>
      </mc:Fallback>
    </mc:AlternateContent>
    <mc:AlternateContent xmlns:mc="http://schemas.openxmlformats.org/markup-compatibility/2006">
      <mc:Choice Requires="x14">
        <control shapeId="23570" r:id="rId25" name="cbSoot">
          <controlPr defaultSize="0" autoFill="0" autoLine="0" r:id="rId26">
            <anchor moveWithCells="1">
              <from>
                <xdr:col>8</xdr:col>
                <xdr:colOff>0</xdr:colOff>
                <xdr:row>2</xdr:row>
                <xdr:rowOff>9525</xdr:rowOff>
              </from>
              <to>
                <xdr:col>9</xdr:col>
                <xdr:colOff>19050</xdr:colOff>
                <xdr:row>3</xdr:row>
                <xdr:rowOff>0</xdr:rowOff>
              </to>
            </anchor>
          </controlPr>
        </control>
      </mc:Choice>
      <mc:Fallback>
        <control shapeId="23570" r:id="rId25" name="cbSoot"/>
      </mc:Fallback>
    </mc:AlternateContent>
    <mc:AlternateContent xmlns:mc="http://schemas.openxmlformats.org/markup-compatibility/2006">
      <mc:Choice Requires="x14">
        <control shapeId="23560" r:id="rId27" name="chkRedAsh">
          <controlPr autoLine="0" r:id="rId14">
            <anchor moveWithCells="1">
              <from>
                <xdr:col>8</xdr:col>
                <xdr:colOff>104775</xdr:colOff>
                <xdr:row>13</xdr:row>
                <xdr:rowOff>38100</xdr:rowOff>
              </from>
              <to>
                <xdr:col>8</xdr:col>
                <xdr:colOff>276225</xdr:colOff>
                <xdr:row>13</xdr:row>
                <xdr:rowOff>200025</xdr:rowOff>
              </to>
            </anchor>
          </controlPr>
        </control>
      </mc:Choice>
      <mc:Fallback>
        <control shapeId="23560" r:id="rId27" name="chkRedAsh"/>
      </mc:Fallback>
    </mc:AlternateContent>
    <mc:AlternateContent xmlns:mc="http://schemas.openxmlformats.org/markup-compatibility/2006">
      <mc:Choice Requires="x14">
        <control shapeId="23559" r:id="rId28" name="cmdSave">
          <controlPr defaultSize="0" autoFill="0" autoLine="0" r:id="rId29">
            <anchor moveWithCells="1">
              <from>
                <xdr:col>5</xdr:col>
                <xdr:colOff>9525</xdr:colOff>
                <xdr:row>1</xdr:row>
                <xdr:rowOff>57150</xdr:rowOff>
              </from>
              <to>
                <xdr:col>5</xdr:col>
                <xdr:colOff>1381125</xdr:colOff>
                <xdr:row>2</xdr:row>
                <xdr:rowOff>152400</xdr:rowOff>
              </to>
            </anchor>
          </controlPr>
        </control>
      </mc:Choice>
      <mc:Fallback>
        <control shapeId="23559" r:id="rId28" name="cmdSave"/>
      </mc:Fallback>
    </mc:AlternateContent>
    <mc:AlternateContent xmlns:mc="http://schemas.openxmlformats.org/markup-compatibility/2006">
      <mc:Choice Requires="x14">
        <control shapeId="23555" r:id="rId30" name="chkECDPinDropDepth">
          <controlPr autoLine="0" r:id="rId11">
            <anchor moveWithCells="1">
              <from>
                <xdr:col>1</xdr:col>
                <xdr:colOff>152400</xdr:colOff>
                <xdr:row>14</xdr:row>
                <xdr:rowOff>47625</xdr:rowOff>
              </from>
              <to>
                <xdr:col>1</xdr:col>
                <xdr:colOff>323850</xdr:colOff>
                <xdr:row>14</xdr:row>
                <xdr:rowOff>209550</xdr:rowOff>
              </to>
            </anchor>
          </controlPr>
        </control>
      </mc:Choice>
      <mc:Fallback>
        <control shapeId="23555" r:id="rId30" name="chkECDPinDropDepth"/>
      </mc:Fallback>
    </mc:AlternateContent>
    <mc:AlternateContent xmlns:mc="http://schemas.openxmlformats.org/markup-compatibility/2006">
      <mc:Choice Requires="x14">
        <control shapeId="23554" r:id="rId31" name="chkUSignalReceived">
          <controlPr autoLine="0" r:id="rId11">
            <anchor moveWithCells="1">
              <from>
                <xdr:col>1</xdr:col>
                <xdr:colOff>152400</xdr:colOff>
                <xdr:row>13</xdr:row>
                <xdr:rowOff>28575</xdr:rowOff>
              </from>
              <to>
                <xdr:col>1</xdr:col>
                <xdr:colOff>323850</xdr:colOff>
                <xdr:row>13</xdr:row>
                <xdr:rowOff>190500</xdr:rowOff>
              </to>
            </anchor>
          </controlPr>
        </control>
      </mc:Choice>
      <mc:Fallback>
        <control shapeId="23554" r:id="rId31" name="chkUSignalReceived"/>
      </mc:Fallback>
    </mc:AlternateContent>
    <mc:AlternateContent xmlns:mc="http://schemas.openxmlformats.org/markup-compatibility/2006">
      <mc:Choice Requires="x14">
        <control shapeId="23553" r:id="rId32" name="chkCoolant">
          <controlPr autoLine="0" r:id="rId14">
            <anchor moveWithCells="1">
              <from>
                <xdr:col>8</xdr:col>
                <xdr:colOff>104775</xdr:colOff>
                <xdr:row>12</xdr:row>
                <xdr:rowOff>28575</xdr:rowOff>
              </from>
              <to>
                <xdr:col>8</xdr:col>
                <xdr:colOff>276225</xdr:colOff>
                <xdr:row>12</xdr:row>
                <xdr:rowOff>190500</xdr:rowOff>
              </to>
            </anchor>
          </controlPr>
        </control>
      </mc:Choice>
      <mc:Fallback>
        <control shapeId="23553" r:id="rId32" name="chkCoolant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3"/>
  <dimension ref="B3:I65"/>
  <sheetViews>
    <sheetView workbookViewId="0">
      <selection activeCell="C8" sqref="C8"/>
    </sheetView>
  </sheetViews>
  <sheetFormatPr defaultRowHeight="15" x14ac:dyDescent="0.25"/>
  <cols>
    <col min="2" max="2" width="30.28515625" customWidth="1"/>
    <col min="3" max="3" width="17.28515625" customWidth="1"/>
    <col min="4" max="4" width="10.5703125" bestFit="1" customWidth="1"/>
    <col min="5" max="5" width="23.85546875" customWidth="1"/>
    <col min="6" max="6" width="24.85546875" customWidth="1"/>
    <col min="7" max="7" width="15.140625" customWidth="1"/>
    <col min="8" max="8" width="11.85546875" bestFit="1" customWidth="1"/>
    <col min="9" max="9" width="23" customWidth="1"/>
  </cols>
  <sheetData>
    <row r="3" spans="2:9" x14ac:dyDescent="0.25">
      <c r="B3" s="93" t="s">
        <v>208</v>
      </c>
      <c r="C3" s="1">
        <v>47</v>
      </c>
    </row>
    <row r="4" spans="2:9" ht="18.75" x14ac:dyDescent="0.3">
      <c r="I4" s="45"/>
    </row>
    <row r="5" spans="2:9" x14ac:dyDescent="0.25">
      <c r="B5" s="107" t="s">
        <v>16</v>
      </c>
      <c r="C5" s="108">
        <v>12</v>
      </c>
      <c r="D5" s="61"/>
      <c r="E5" s="61" t="s">
        <v>210</v>
      </c>
      <c r="F5" s="94"/>
      <c r="G5" s="95" t="s">
        <v>92</v>
      </c>
      <c r="H5" s="64"/>
    </row>
    <row r="6" spans="2:9" x14ac:dyDescent="0.25">
      <c r="B6" s="96" t="s">
        <v>18</v>
      </c>
      <c r="C6" s="97">
        <v>11</v>
      </c>
      <c r="D6" s="64"/>
      <c r="E6" s="64" t="s">
        <v>209</v>
      </c>
      <c r="F6" s="98"/>
      <c r="G6" s="67" t="s">
        <v>93</v>
      </c>
      <c r="H6" s="64"/>
    </row>
    <row r="7" spans="2:9" x14ac:dyDescent="0.25">
      <c r="B7" s="99" t="s">
        <v>169</v>
      </c>
      <c r="C7" s="97">
        <f>(3.14*(SubDiameter/2)^2)*(SubLength)*(1/12)^3</f>
        <v>0.71958333333333335</v>
      </c>
      <c r="D7" s="100"/>
      <c r="E7" s="64" t="s">
        <v>211</v>
      </c>
      <c r="F7" s="98">
        <f>(Volume*MaxSpaceVelocity)*(1/60)*(61.7)/(2350*0.395)</f>
        <v>0</v>
      </c>
      <c r="G7" s="67" t="s">
        <v>93</v>
      </c>
      <c r="H7" s="64"/>
    </row>
    <row r="8" spans="2:9" x14ac:dyDescent="0.25">
      <c r="B8" s="101" t="s">
        <v>170</v>
      </c>
      <c r="C8" s="102">
        <f>Volume*28.317</f>
        <v>20.376441249999999</v>
      </c>
      <c r="D8" s="103"/>
      <c r="E8" s="104" t="s">
        <v>212</v>
      </c>
      <c r="F8" s="106">
        <f>IF(F7&gt;MaxHertz,"60",F7)</f>
        <v>0</v>
      </c>
      <c r="G8" s="105" t="s">
        <v>93</v>
      </c>
      <c r="H8" s="64"/>
    </row>
    <row r="9" spans="2:9" x14ac:dyDescent="0.25">
      <c r="H9" s="64"/>
    </row>
    <row r="11" spans="2:9" x14ac:dyDescent="0.25">
      <c r="B11" s="87" t="s">
        <v>72</v>
      </c>
      <c r="C11" s="61"/>
      <c r="D11" s="88"/>
      <c r="E11" s="61" t="s">
        <v>73</v>
      </c>
      <c r="F11" s="61"/>
      <c r="G11" s="62" t="s">
        <v>88</v>
      </c>
      <c r="H11" s="62" t="s">
        <v>89</v>
      </c>
      <c r="I11" s="91"/>
    </row>
    <row r="12" spans="2:9" x14ac:dyDescent="0.25">
      <c r="B12" s="63" t="s">
        <v>74</v>
      </c>
      <c r="C12" s="64"/>
      <c r="D12" s="65"/>
      <c r="E12" s="64" t="s">
        <v>75</v>
      </c>
      <c r="F12" s="64"/>
      <c r="G12" s="64"/>
      <c r="H12" s="66" t="s">
        <v>90</v>
      </c>
      <c r="I12" s="92"/>
    </row>
    <row r="13" spans="2:9" x14ac:dyDescent="0.25">
      <c r="B13" s="63" t="s">
        <v>76</v>
      </c>
      <c r="C13" s="64"/>
      <c r="D13" s="68"/>
      <c r="E13" s="64"/>
      <c r="F13" s="64"/>
      <c r="G13" s="64"/>
      <c r="H13" s="66" t="s">
        <v>91</v>
      </c>
      <c r="I13" s="92"/>
    </row>
    <row r="14" spans="2:9" x14ac:dyDescent="0.25">
      <c r="B14" s="69" t="s">
        <v>77</v>
      </c>
      <c r="C14" s="70" t="s">
        <v>78</v>
      </c>
      <c r="D14" s="70" t="s">
        <v>79</v>
      </c>
      <c r="E14" s="70" t="s">
        <v>80</v>
      </c>
      <c r="F14" s="64"/>
      <c r="G14" s="70" t="s">
        <v>81</v>
      </c>
      <c r="H14" s="70"/>
      <c r="I14" s="71"/>
    </row>
    <row r="15" spans="2:9" x14ac:dyDescent="0.25">
      <c r="B15" s="72" t="s">
        <v>82</v>
      </c>
      <c r="C15" s="73" t="s">
        <v>83</v>
      </c>
      <c r="D15" s="73" t="s">
        <v>84</v>
      </c>
      <c r="E15" s="73" t="s">
        <v>83</v>
      </c>
      <c r="F15" s="73" t="s">
        <v>85</v>
      </c>
      <c r="G15" s="70" t="s">
        <v>86</v>
      </c>
      <c r="H15" s="70" t="s">
        <v>83</v>
      </c>
      <c r="I15" s="71" t="s">
        <v>87</v>
      </c>
    </row>
    <row r="16" spans="2:9" x14ac:dyDescent="0.25">
      <c r="B16" s="74">
        <f>0.25*$F$8</f>
        <v>0</v>
      </c>
      <c r="C16" s="75">
        <f>(2350/61.7)*B16*0.395</f>
        <v>0</v>
      </c>
      <c r="D16" s="68"/>
      <c r="E16" s="75">
        <f t="shared" ref="E16:E26" si="0">C16-(34.4764881*D16-4.325744048*D16^2+0.369475446*D16^3-0.01733631*D16^4+0.000339472*D16^5)</f>
        <v>0</v>
      </c>
      <c r="F16" s="76">
        <f t="shared" ref="F16:F26" si="1">(E16*60)/Volume</f>
        <v>0</v>
      </c>
      <c r="G16" s="89">
        <v>20000</v>
      </c>
      <c r="H16" s="77">
        <f t="shared" ref="H16:H26" si="2">G16*Volume/60</f>
        <v>239.86111111111114</v>
      </c>
      <c r="I16" s="78">
        <f t="shared" ref="I16:I26" si="3">G16^2*P0a+G16*P0b+P0c</f>
        <v>0</v>
      </c>
    </row>
    <row r="17" spans="2:9" x14ac:dyDescent="0.25">
      <c r="B17" s="74">
        <f>0.4*$F$8</f>
        <v>0</v>
      </c>
      <c r="C17" s="75">
        <f t="shared" ref="C17:C26" si="4">(2350/61.7)*B17*0.395</f>
        <v>0</v>
      </c>
      <c r="D17" s="68"/>
      <c r="E17" s="75">
        <f t="shared" si="0"/>
        <v>0</v>
      </c>
      <c r="F17" s="76">
        <f t="shared" si="1"/>
        <v>0</v>
      </c>
      <c r="G17" s="89">
        <v>35000</v>
      </c>
      <c r="H17" s="77">
        <f t="shared" si="2"/>
        <v>419.75694444444446</v>
      </c>
      <c r="I17" s="78">
        <f t="shared" si="3"/>
        <v>0</v>
      </c>
    </row>
    <row r="18" spans="2:9" x14ac:dyDescent="0.25">
      <c r="B18" s="74">
        <f>0.5*$F$8</f>
        <v>0</v>
      </c>
      <c r="C18" s="75">
        <f t="shared" si="4"/>
        <v>0</v>
      </c>
      <c r="D18" s="68"/>
      <c r="E18" s="75">
        <f t="shared" si="0"/>
        <v>0</v>
      </c>
      <c r="F18" s="76">
        <f t="shared" si="1"/>
        <v>0</v>
      </c>
      <c r="G18" s="89">
        <v>50000</v>
      </c>
      <c r="H18" s="77">
        <f t="shared" si="2"/>
        <v>599.65277777777771</v>
      </c>
      <c r="I18" s="78">
        <f t="shared" si="3"/>
        <v>0</v>
      </c>
    </row>
    <row r="19" spans="2:9" x14ac:dyDescent="0.25">
      <c r="B19" s="74">
        <f>0.6*$F$8</f>
        <v>0</v>
      </c>
      <c r="C19" s="75">
        <f t="shared" si="4"/>
        <v>0</v>
      </c>
      <c r="D19" s="68"/>
      <c r="E19" s="75">
        <f t="shared" si="0"/>
        <v>0</v>
      </c>
      <c r="F19" s="76">
        <f t="shared" si="1"/>
        <v>0</v>
      </c>
      <c r="G19" s="89">
        <v>60000</v>
      </c>
      <c r="H19" s="77">
        <f t="shared" si="2"/>
        <v>719.58333333333337</v>
      </c>
      <c r="I19" s="78">
        <f t="shared" si="3"/>
        <v>0</v>
      </c>
    </row>
    <row r="20" spans="2:9" x14ac:dyDescent="0.25">
      <c r="B20" s="74">
        <f>0.7*$F$8</f>
        <v>0</v>
      </c>
      <c r="C20" s="75">
        <f t="shared" si="4"/>
        <v>0</v>
      </c>
      <c r="D20" s="68"/>
      <c r="E20" s="75">
        <f t="shared" si="0"/>
        <v>0</v>
      </c>
      <c r="F20" s="76">
        <f t="shared" si="1"/>
        <v>0</v>
      </c>
      <c r="G20" s="89">
        <v>70000</v>
      </c>
      <c r="H20" s="77">
        <f t="shared" si="2"/>
        <v>839.51388888888891</v>
      </c>
      <c r="I20" s="78">
        <f t="shared" si="3"/>
        <v>0</v>
      </c>
    </row>
    <row r="21" spans="2:9" x14ac:dyDescent="0.25">
      <c r="B21" s="74">
        <f>0.75*$F$8</f>
        <v>0</v>
      </c>
      <c r="C21" s="75">
        <f t="shared" si="4"/>
        <v>0</v>
      </c>
      <c r="D21" s="68"/>
      <c r="E21" s="75">
        <f t="shared" si="0"/>
        <v>0</v>
      </c>
      <c r="F21" s="76">
        <f t="shared" si="1"/>
        <v>0</v>
      </c>
      <c r="G21" s="89">
        <v>75000</v>
      </c>
      <c r="H21" s="77">
        <f t="shared" si="2"/>
        <v>899.47916666666663</v>
      </c>
      <c r="I21" s="78">
        <f t="shared" si="3"/>
        <v>0</v>
      </c>
    </row>
    <row r="22" spans="2:9" x14ac:dyDescent="0.25">
      <c r="B22" s="74">
        <f>0.8*$F$8</f>
        <v>0</v>
      </c>
      <c r="C22" s="75">
        <f t="shared" si="4"/>
        <v>0</v>
      </c>
      <c r="D22" s="68"/>
      <c r="E22" s="75">
        <f t="shared" si="0"/>
        <v>0</v>
      </c>
      <c r="F22" s="76">
        <f t="shared" si="1"/>
        <v>0</v>
      </c>
      <c r="G22" s="89">
        <v>80000</v>
      </c>
      <c r="H22" s="77">
        <f t="shared" si="2"/>
        <v>959.44444444444457</v>
      </c>
      <c r="I22" s="78">
        <f t="shared" si="3"/>
        <v>0</v>
      </c>
    </row>
    <row r="23" spans="2:9" x14ac:dyDescent="0.25">
      <c r="B23" s="74">
        <f>0.85*$F$8</f>
        <v>0</v>
      </c>
      <c r="C23" s="75">
        <f t="shared" si="4"/>
        <v>0</v>
      </c>
      <c r="D23" s="68"/>
      <c r="E23" s="75">
        <f t="shared" si="0"/>
        <v>0</v>
      </c>
      <c r="F23" s="76">
        <f t="shared" si="1"/>
        <v>0</v>
      </c>
      <c r="G23" s="89">
        <v>85000</v>
      </c>
      <c r="H23" s="77">
        <f t="shared" si="2"/>
        <v>1019.4097222222223</v>
      </c>
      <c r="I23" s="78">
        <f t="shared" si="3"/>
        <v>0</v>
      </c>
    </row>
    <row r="24" spans="2:9" x14ac:dyDescent="0.25">
      <c r="B24" s="74">
        <f>0.9*$F$8</f>
        <v>0</v>
      </c>
      <c r="C24" s="75">
        <f t="shared" si="4"/>
        <v>0</v>
      </c>
      <c r="D24" s="68"/>
      <c r="E24" s="75">
        <f t="shared" si="0"/>
        <v>0</v>
      </c>
      <c r="F24" s="76">
        <f t="shared" si="1"/>
        <v>0</v>
      </c>
      <c r="G24" s="89">
        <v>90000</v>
      </c>
      <c r="H24" s="77">
        <f t="shared" si="2"/>
        <v>1079.375</v>
      </c>
      <c r="I24" s="78">
        <f t="shared" si="3"/>
        <v>0</v>
      </c>
    </row>
    <row r="25" spans="2:9" x14ac:dyDescent="0.25">
      <c r="B25" s="74">
        <f>0.95*$F$8</f>
        <v>0</v>
      </c>
      <c r="C25" s="75">
        <f t="shared" si="4"/>
        <v>0</v>
      </c>
      <c r="D25" s="68"/>
      <c r="E25" s="75">
        <f t="shared" si="0"/>
        <v>0</v>
      </c>
      <c r="F25" s="76">
        <f t="shared" si="1"/>
        <v>0</v>
      </c>
      <c r="G25" s="89">
        <v>95000</v>
      </c>
      <c r="H25" s="77">
        <f t="shared" si="2"/>
        <v>1139.3402777777778</v>
      </c>
      <c r="I25" s="78">
        <f t="shared" si="3"/>
        <v>0</v>
      </c>
    </row>
    <row r="26" spans="2:9" x14ac:dyDescent="0.25">
      <c r="B26" s="79">
        <f>1*$F$8</f>
        <v>0</v>
      </c>
      <c r="C26" s="80">
        <f t="shared" si="4"/>
        <v>0</v>
      </c>
      <c r="D26" s="81"/>
      <c r="E26" s="80">
        <f t="shared" si="0"/>
        <v>0</v>
      </c>
      <c r="F26" s="82">
        <f t="shared" si="1"/>
        <v>0</v>
      </c>
      <c r="G26" s="90">
        <v>100000</v>
      </c>
      <c r="H26" s="83">
        <f t="shared" si="2"/>
        <v>1199.3055555555554</v>
      </c>
      <c r="I26" s="84">
        <f t="shared" si="3"/>
        <v>0</v>
      </c>
    </row>
    <row r="28" spans="2:9" x14ac:dyDescent="0.25">
      <c r="B28" s="87" t="s">
        <v>72</v>
      </c>
      <c r="C28" s="61"/>
      <c r="D28" s="88"/>
      <c r="E28" s="61" t="s">
        <v>73</v>
      </c>
      <c r="F28" s="61"/>
      <c r="G28" s="62" t="s">
        <v>88</v>
      </c>
      <c r="H28" s="62" t="s">
        <v>89</v>
      </c>
      <c r="I28" s="91"/>
    </row>
    <row r="29" spans="2:9" x14ac:dyDescent="0.25">
      <c r="B29" s="63" t="s">
        <v>74</v>
      </c>
      <c r="C29" s="64"/>
      <c r="D29" s="65"/>
      <c r="E29" s="64" t="s">
        <v>75</v>
      </c>
      <c r="F29" s="64"/>
      <c r="G29" s="64"/>
      <c r="H29" s="66" t="s">
        <v>90</v>
      </c>
      <c r="I29" s="92"/>
    </row>
    <row r="30" spans="2:9" x14ac:dyDescent="0.25">
      <c r="B30" s="63" t="s">
        <v>76</v>
      </c>
      <c r="C30" s="64"/>
      <c r="D30" s="68"/>
      <c r="E30" s="64"/>
      <c r="F30" s="64"/>
      <c r="G30" s="64"/>
      <c r="H30" s="66" t="s">
        <v>91</v>
      </c>
      <c r="I30" s="92"/>
    </row>
    <row r="31" spans="2:9" x14ac:dyDescent="0.25">
      <c r="B31" s="69" t="s">
        <v>77</v>
      </c>
      <c r="C31" s="70" t="s">
        <v>78</v>
      </c>
      <c r="D31" s="70" t="s">
        <v>79</v>
      </c>
      <c r="E31" s="70" t="s">
        <v>80</v>
      </c>
      <c r="F31" s="85"/>
      <c r="G31" s="70" t="s">
        <v>81</v>
      </c>
      <c r="H31" s="70"/>
      <c r="I31" s="71"/>
    </row>
    <row r="32" spans="2:9" x14ac:dyDescent="0.25">
      <c r="B32" s="86" t="s">
        <v>82</v>
      </c>
      <c r="C32" s="70" t="s">
        <v>83</v>
      </c>
      <c r="D32" s="70" t="s">
        <v>84</v>
      </c>
      <c r="E32" s="70" t="s">
        <v>83</v>
      </c>
      <c r="F32" s="70" t="s">
        <v>85</v>
      </c>
      <c r="G32" s="70" t="s">
        <v>86</v>
      </c>
      <c r="H32" s="70" t="s">
        <v>83</v>
      </c>
      <c r="I32" s="71" t="s">
        <v>87</v>
      </c>
    </row>
    <row r="33" spans="2:9" x14ac:dyDescent="0.25">
      <c r="B33" s="74">
        <f>0.25*$F$8</f>
        <v>0</v>
      </c>
      <c r="C33" s="75">
        <f>(2350/61.7)*B33*0.395</f>
        <v>0</v>
      </c>
      <c r="D33" s="68"/>
      <c r="E33" s="75">
        <f t="shared" ref="E33:E43" si="5">C33-(34.4764881*D33-4.325744048*D33^2+0.369475446*D33^3-0.01733631*D33^4+0.000339472*D33^5)</f>
        <v>0</v>
      </c>
      <c r="F33" s="76">
        <f t="shared" ref="F33:F43" si="6">(E33*60)/Volume</f>
        <v>0</v>
      </c>
      <c r="G33" s="68">
        <v>20000</v>
      </c>
      <c r="H33" s="77">
        <f t="shared" ref="H33:H43" si="7">G33*Volume/60</f>
        <v>239.86111111111114</v>
      </c>
      <c r="I33" s="78">
        <f t="shared" ref="I33:I43" si="8">G33^2*P1a+G33*P1b+P1c</f>
        <v>0</v>
      </c>
    </row>
    <row r="34" spans="2:9" x14ac:dyDescent="0.25">
      <c r="B34" s="74">
        <f>0.4*$F$8</f>
        <v>0</v>
      </c>
      <c r="C34" s="75">
        <f t="shared" ref="C34:C42" si="9">(2350/61.7)*B34*0.395</f>
        <v>0</v>
      </c>
      <c r="D34" s="68"/>
      <c r="E34" s="75">
        <f t="shared" si="5"/>
        <v>0</v>
      </c>
      <c r="F34" s="76">
        <f t="shared" si="6"/>
        <v>0</v>
      </c>
      <c r="G34" s="68">
        <v>35000</v>
      </c>
      <c r="H34" s="77">
        <f t="shared" si="7"/>
        <v>419.75694444444446</v>
      </c>
      <c r="I34" s="78">
        <f t="shared" si="8"/>
        <v>0</v>
      </c>
    </row>
    <row r="35" spans="2:9" x14ac:dyDescent="0.25">
      <c r="B35" s="74">
        <f>0.5*$F$8</f>
        <v>0</v>
      </c>
      <c r="C35" s="75">
        <f t="shared" si="9"/>
        <v>0</v>
      </c>
      <c r="D35" s="68"/>
      <c r="E35" s="75">
        <f t="shared" si="5"/>
        <v>0</v>
      </c>
      <c r="F35" s="76">
        <f t="shared" si="6"/>
        <v>0</v>
      </c>
      <c r="G35" s="68">
        <v>50000</v>
      </c>
      <c r="H35" s="77">
        <f t="shared" si="7"/>
        <v>599.65277777777771</v>
      </c>
      <c r="I35" s="78">
        <f t="shared" si="8"/>
        <v>0</v>
      </c>
    </row>
    <row r="36" spans="2:9" x14ac:dyDescent="0.25">
      <c r="B36" s="74">
        <f>0.6*$F$8</f>
        <v>0</v>
      </c>
      <c r="C36" s="75">
        <f t="shared" si="9"/>
        <v>0</v>
      </c>
      <c r="D36" s="68"/>
      <c r="E36" s="75">
        <f t="shared" si="5"/>
        <v>0</v>
      </c>
      <c r="F36" s="76">
        <f t="shared" si="6"/>
        <v>0</v>
      </c>
      <c r="G36" s="68">
        <v>60000</v>
      </c>
      <c r="H36" s="77">
        <f t="shared" si="7"/>
        <v>719.58333333333337</v>
      </c>
      <c r="I36" s="78">
        <f t="shared" si="8"/>
        <v>0</v>
      </c>
    </row>
    <row r="37" spans="2:9" x14ac:dyDescent="0.25">
      <c r="B37" s="74">
        <f>0.7*$F$8</f>
        <v>0</v>
      </c>
      <c r="C37" s="75">
        <f t="shared" si="9"/>
        <v>0</v>
      </c>
      <c r="D37" s="68"/>
      <c r="E37" s="75">
        <f t="shared" si="5"/>
        <v>0</v>
      </c>
      <c r="F37" s="76">
        <f t="shared" si="6"/>
        <v>0</v>
      </c>
      <c r="G37" s="68">
        <v>70000</v>
      </c>
      <c r="H37" s="77">
        <f t="shared" si="7"/>
        <v>839.51388888888891</v>
      </c>
      <c r="I37" s="78">
        <f t="shared" si="8"/>
        <v>0</v>
      </c>
    </row>
    <row r="38" spans="2:9" x14ac:dyDescent="0.25">
      <c r="B38" s="74">
        <f>0.75*$F$8</f>
        <v>0</v>
      </c>
      <c r="C38" s="75">
        <f t="shared" si="9"/>
        <v>0</v>
      </c>
      <c r="D38" s="68"/>
      <c r="E38" s="75">
        <f t="shared" si="5"/>
        <v>0</v>
      </c>
      <c r="F38" s="76">
        <f t="shared" si="6"/>
        <v>0</v>
      </c>
      <c r="G38" s="68">
        <v>75000</v>
      </c>
      <c r="H38" s="77">
        <f t="shared" si="7"/>
        <v>899.47916666666663</v>
      </c>
      <c r="I38" s="78">
        <f t="shared" si="8"/>
        <v>0</v>
      </c>
    </row>
    <row r="39" spans="2:9" x14ac:dyDescent="0.25">
      <c r="B39" s="74">
        <f>0.8*$F$8</f>
        <v>0</v>
      </c>
      <c r="C39" s="75">
        <f t="shared" si="9"/>
        <v>0</v>
      </c>
      <c r="D39" s="68"/>
      <c r="E39" s="75">
        <f t="shared" si="5"/>
        <v>0</v>
      </c>
      <c r="F39" s="76">
        <f t="shared" si="6"/>
        <v>0</v>
      </c>
      <c r="G39" s="68">
        <v>80000</v>
      </c>
      <c r="H39" s="77">
        <f t="shared" si="7"/>
        <v>959.44444444444457</v>
      </c>
      <c r="I39" s="78">
        <f t="shared" si="8"/>
        <v>0</v>
      </c>
    </row>
    <row r="40" spans="2:9" x14ac:dyDescent="0.25">
      <c r="B40" s="74">
        <f>0.85*$F$8</f>
        <v>0</v>
      </c>
      <c r="C40" s="75">
        <f t="shared" si="9"/>
        <v>0</v>
      </c>
      <c r="D40" s="68"/>
      <c r="E40" s="75">
        <f t="shared" si="5"/>
        <v>0</v>
      </c>
      <c r="F40" s="76">
        <f t="shared" si="6"/>
        <v>0</v>
      </c>
      <c r="G40" s="68">
        <v>85000</v>
      </c>
      <c r="H40" s="77">
        <f t="shared" si="7"/>
        <v>1019.4097222222223</v>
      </c>
      <c r="I40" s="78">
        <f t="shared" si="8"/>
        <v>0</v>
      </c>
    </row>
    <row r="41" spans="2:9" x14ac:dyDescent="0.25">
      <c r="B41" s="74">
        <f>0.9*$F$8</f>
        <v>0</v>
      </c>
      <c r="C41" s="75">
        <f t="shared" si="9"/>
        <v>0</v>
      </c>
      <c r="D41" s="68"/>
      <c r="E41" s="75">
        <f t="shared" si="5"/>
        <v>0</v>
      </c>
      <c r="F41" s="76">
        <f t="shared" si="6"/>
        <v>0</v>
      </c>
      <c r="G41" s="68">
        <v>90000</v>
      </c>
      <c r="H41" s="77">
        <f t="shared" si="7"/>
        <v>1079.375</v>
      </c>
      <c r="I41" s="78">
        <f t="shared" si="8"/>
        <v>0</v>
      </c>
    </row>
    <row r="42" spans="2:9" x14ac:dyDescent="0.25">
      <c r="B42" s="74">
        <f>0.95*$F$8</f>
        <v>0</v>
      </c>
      <c r="C42" s="75">
        <f t="shared" si="9"/>
        <v>0</v>
      </c>
      <c r="D42" s="68"/>
      <c r="E42" s="75">
        <f t="shared" si="5"/>
        <v>0</v>
      </c>
      <c r="F42" s="76">
        <f t="shared" si="6"/>
        <v>0</v>
      </c>
      <c r="G42" s="68">
        <v>95000</v>
      </c>
      <c r="H42" s="77">
        <f t="shared" si="7"/>
        <v>1139.3402777777778</v>
      </c>
      <c r="I42" s="78">
        <f t="shared" si="8"/>
        <v>0</v>
      </c>
    </row>
    <row r="43" spans="2:9" x14ac:dyDescent="0.25">
      <c r="B43" s="79">
        <f>1*$F$8</f>
        <v>0</v>
      </c>
      <c r="C43" s="80">
        <f>(2350/61.7)*B43*0.395</f>
        <v>0</v>
      </c>
      <c r="D43" s="81"/>
      <c r="E43" s="80">
        <f t="shared" si="5"/>
        <v>0</v>
      </c>
      <c r="F43" s="82">
        <f t="shared" si="6"/>
        <v>0</v>
      </c>
      <c r="G43" s="81">
        <v>100000</v>
      </c>
      <c r="H43" s="83">
        <f t="shared" si="7"/>
        <v>1199.3055555555554</v>
      </c>
      <c r="I43" s="84">
        <f t="shared" si="8"/>
        <v>0</v>
      </c>
    </row>
    <row r="45" spans="2:9" x14ac:dyDescent="0.25">
      <c r="B45" s="87" t="s">
        <v>72</v>
      </c>
      <c r="C45" s="61"/>
      <c r="D45" s="88"/>
      <c r="E45" s="61" t="s">
        <v>73</v>
      </c>
      <c r="F45" s="61"/>
      <c r="G45" s="62" t="s">
        <v>88</v>
      </c>
      <c r="H45" s="62" t="s">
        <v>89</v>
      </c>
      <c r="I45" s="91"/>
    </row>
    <row r="46" spans="2:9" x14ac:dyDescent="0.25">
      <c r="B46" s="63" t="s">
        <v>74</v>
      </c>
      <c r="C46" s="64"/>
      <c r="D46" s="65"/>
      <c r="E46" s="64" t="s">
        <v>75</v>
      </c>
      <c r="F46" s="64"/>
      <c r="G46" s="64"/>
      <c r="H46" s="66" t="s">
        <v>90</v>
      </c>
      <c r="I46" s="92"/>
    </row>
    <row r="47" spans="2:9" x14ac:dyDescent="0.25">
      <c r="B47" s="63" t="s">
        <v>76</v>
      </c>
      <c r="C47" s="64"/>
      <c r="D47" s="68"/>
      <c r="E47" s="64"/>
      <c r="F47" s="64"/>
      <c r="G47" s="64"/>
      <c r="H47" s="66" t="s">
        <v>91</v>
      </c>
      <c r="I47" s="92"/>
    </row>
    <row r="48" spans="2:9" x14ac:dyDescent="0.25">
      <c r="B48" s="69" t="s">
        <v>77</v>
      </c>
      <c r="C48" s="70" t="s">
        <v>78</v>
      </c>
      <c r="D48" s="70" t="s">
        <v>79</v>
      </c>
      <c r="E48" s="70" t="s">
        <v>80</v>
      </c>
      <c r="F48" s="85"/>
      <c r="G48" s="70" t="s">
        <v>81</v>
      </c>
      <c r="H48" s="70"/>
      <c r="I48" s="71"/>
    </row>
    <row r="49" spans="2:9" x14ac:dyDescent="0.25">
      <c r="B49" s="86" t="s">
        <v>82</v>
      </c>
      <c r="C49" s="70" t="s">
        <v>83</v>
      </c>
      <c r="D49" s="70" t="s">
        <v>84</v>
      </c>
      <c r="E49" s="70" t="s">
        <v>83</v>
      </c>
      <c r="F49" s="70" t="s">
        <v>85</v>
      </c>
      <c r="G49" s="70" t="s">
        <v>86</v>
      </c>
      <c r="H49" s="70" t="s">
        <v>83</v>
      </c>
      <c r="I49" s="71" t="s">
        <v>87</v>
      </c>
    </row>
    <row r="50" spans="2:9" x14ac:dyDescent="0.25">
      <c r="B50" s="74">
        <f>0.25*$F$8</f>
        <v>0</v>
      </c>
      <c r="C50" s="75">
        <f>(2350/61.7)*B50*0.395</f>
        <v>0</v>
      </c>
      <c r="D50" s="68"/>
      <c r="E50" s="75">
        <f t="shared" ref="E50:E60" si="10">C50-(34.4764881*D50-4.325744048*D50^2+0.369475446*D50^3-0.01733631*D50^4+0.000339472*D50^5)</f>
        <v>0</v>
      </c>
      <c r="F50" s="75">
        <f t="shared" ref="F50:F60" si="11">(E50*60)/Volume</f>
        <v>0</v>
      </c>
      <c r="G50" s="68">
        <v>20000</v>
      </c>
      <c r="H50" s="77">
        <f t="shared" ref="H50:H60" si="12">G50*Volume/60</f>
        <v>239.86111111111114</v>
      </c>
      <c r="I50" s="78">
        <f t="shared" ref="I50:I60" si="13">G50^2*P2a+G50*P2b+P2c</f>
        <v>0</v>
      </c>
    </row>
    <row r="51" spans="2:9" x14ac:dyDescent="0.25">
      <c r="B51" s="74">
        <f>0.4*$F$8</f>
        <v>0</v>
      </c>
      <c r="C51" s="75">
        <f t="shared" ref="C51:C60" si="14">(2350/61.7)*B51*0.395</f>
        <v>0</v>
      </c>
      <c r="D51" s="68"/>
      <c r="E51" s="75">
        <f t="shared" si="10"/>
        <v>0</v>
      </c>
      <c r="F51" s="75">
        <f t="shared" si="11"/>
        <v>0</v>
      </c>
      <c r="G51" s="68">
        <v>35000</v>
      </c>
      <c r="H51" s="77">
        <f t="shared" si="12"/>
        <v>419.75694444444446</v>
      </c>
      <c r="I51" s="78">
        <f t="shared" si="13"/>
        <v>0</v>
      </c>
    </row>
    <row r="52" spans="2:9" x14ac:dyDescent="0.25">
      <c r="B52" s="74">
        <f>0.5*$F$8</f>
        <v>0</v>
      </c>
      <c r="C52" s="75">
        <f t="shared" si="14"/>
        <v>0</v>
      </c>
      <c r="D52" s="68"/>
      <c r="E52" s="75">
        <f t="shared" si="10"/>
        <v>0</v>
      </c>
      <c r="F52" s="75">
        <f t="shared" si="11"/>
        <v>0</v>
      </c>
      <c r="G52" s="68">
        <v>50000</v>
      </c>
      <c r="H52" s="77">
        <f t="shared" si="12"/>
        <v>599.65277777777771</v>
      </c>
      <c r="I52" s="78">
        <f t="shared" si="13"/>
        <v>0</v>
      </c>
    </row>
    <row r="53" spans="2:9" x14ac:dyDescent="0.25">
      <c r="B53" s="74">
        <f>0.6*$F$8</f>
        <v>0</v>
      </c>
      <c r="C53" s="75">
        <f t="shared" si="14"/>
        <v>0</v>
      </c>
      <c r="D53" s="68"/>
      <c r="E53" s="75">
        <f t="shared" si="10"/>
        <v>0</v>
      </c>
      <c r="F53" s="75">
        <f t="shared" si="11"/>
        <v>0</v>
      </c>
      <c r="G53" s="68">
        <v>60000</v>
      </c>
      <c r="H53" s="77">
        <f t="shared" si="12"/>
        <v>719.58333333333337</v>
      </c>
      <c r="I53" s="78">
        <f t="shared" si="13"/>
        <v>0</v>
      </c>
    </row>
    <row r="54" spans="2:9" x14ac:dyDescent="0.25">
      <c r="B54" s="74">
        <f>0.7*$F$8</f>
        <v>0</v>
      </c>
      <c r="C54" s="75">
        <f t="shared" si="14"/>
        <v>0</v>
      </c>
      <c r="D54" s="68"/>
      <c r="E54" s="75">
        <f t="shared" si="10"/>
        <v>0</v>
      </c>
      <c r="F54" s="75">
        <f t="shared" si="11"/>
        <v>0</v>
      </c>
      <c r="G54" s="68">
        <v>70000</v>
      </c>
      <c r="H54" s="77">
        <f t="shared" si="12"/>
        <v>839.51388888888891</v>
      </c>
      <c r="I54" s="78">
        <f t="shared" si="13"/>
        <v>0</v>
      </c>
    </row>
    <row r="55" spans="2:9" x14ac:dyDescent="0.25">
      <c r="B55" s="74">
        <f>0.75*$F$8</f>
        <v>0</v>
      </c>
      <c r="C55" s="75">
        <f t="shared" si="14"/>
        <v>0</v>
      </c>
      <c r="D55" s="68"/>
      <c r="E55" s="75">
        <f t="shared" si="10"/>
        <v>0</v>
      </c>
      <c r="F55" s="75">
        <f t="shared" si="11"/>
        <v>0</v>
      </c>
      <c r="G55" s="68">
        <v>75000</v>
      </c>
      <c r="H55" s="77">
        <f t="shared" si="12"/>
        <v>899.47916666666663</v>
      </c>
      <c r="I55" s="78">
        <f t="shared" si="13"/>
        <v>0</v>
      </c>
    </row>
    <row r="56" spans="2:9" x14ac:dyDescent="0.25">
      <c r="B56" s="74">
        <f>0.8*$F$8</f>
        <v>0</v>
      </c>
      <c r="C56" s="75">
        <f t="shared" si="14"/>
        <v>0</v>
      </c>
      <c r="D56" s="68"/>
      <c r="E56" s="75">
        <f t="shared" si="10"/>
        <v>0</v>
      </c>
      <c r="F56" s="75">
        <f t="shared" si="11"/>
        <v>0</v>
      </c>
      <c r="G56" s="68">
        <v>80000</v>
      </c>
      <c r="H56" s="77">
        <f t="shared" si="12"/>
        <v>959.44444444444457</v>
      </c>
      <c r="I56" s="78">
        <f t="shared" si="13"/>
        <v>0</v>
      </c>
    </row>
    <row r="57" spans="2:9" x14ac:dyDescent="0.25">
      <c r="B57" s="74">
        <f>0.85*$F$8</f>
        <v>0</v>
      </c>
      <c r="C57" s="75">
        <f t="shared" si="14"/>
        <v>0</v>
      </c>
      <c r="D57" s="68"/>
      <c r="E57" s="75">
        <f t="shared" si="10"/>
        <v>0</v>
      </c>
      <c r="F57" s="75">
        <f t="shared" si="11"/>
        <v>0</v>
      </c>
      <c r="G57" s="68">
        <v>85000</v>
      </c>
      <c r="H57" s="77">
        <f t="shared" si="12"/>
        <v>1019.4097222222223</v>
      </c>
      <c r="I57" s="78">
        <f t="shared" si="13"/>
        <v>0</v>
      </c>
    </row>
    <row r="58" spans="2:9" x14ac:dyDescent="0.25">
      <c r="B58" s="74">
        <f>0.9*$F$8</f>
        <v>0</v>
      </c>
      <c r="C58" s="75">
        <f t="shared" si="14"/>
        <v>0</v>
      </c>
      <c r="D58" s="68"/>
      <c r="E58" s="75">
        <f t="shared" si="10"/>
        <v>0</v>
      </c>
      <c r="F58" s="75">
        <f t="shared" si="11"/>
        <v>0</v>
      </c>
      <c r="G58" s="68">
        <v>90000</v>
      </c>
      <c r="H58" s="77">
        <f t="shared" si="12"/>
        <v>1079.375</v>
      </c>
      <c r="I58" s="78">
        <f t="shared" si="13"/>
        <v>0</v>
      </c>
    </row>
    <row r="59" spans="2:9" x14ac:dyDescent="0.25">
      <c r="B59" s="74">
        <f>0.95*$F$8</f>
        <v>0</v>
      </c>
      <c r="C59" s="75">
        <f t="shared" si="14"/>
        <v>0</v>
      </c>
      <c r="D59" s="68"/>
      <c r="E59" s="75">
        <f t="shared" si="10"/>
        <v>0</v>
      </c>
      <c r="F59" s="75">
        <f t="shared" si="11"/>
        <v>0</v>
      </c>
      <c r="G59" s="68">
        <v>95000</v>
      </c>
      <c r="H59" s="77">
        <f t="shared" si="12"/>
        <v>1139.3402777777778</v>
      </c>
      <c r="I59" s="78">
        <f t="shared" si="13"/>
        <v>0</v>
      </c>
    </row>
    <row r="60" spans="2:9" x14ac:dyDescent="0.25">
      <c r="B60" s="79">
        <f>1*$F$8</f>
        <v>0</v>
      </c>
      <c r="C60" s="80">
        <f t="shared" si="14"/>
        <v>0</v>
      </c>
      <c r="D60" s="81"/>
      <c r="E60" s="80">
        <f t="shared" si="10"/>
        <v>0</v>
      </c>
      <c r="F60" s="80">
        <f t="shared" si="11"/>
        <v>0</v>
      </c>
      <c r="G60" s="81">
        <v>100000</v>
      </c>
      <c r="H60" s="83">
        <f t="shared" si="12"/>
        <v>1199.3055555555554</v>
      </c>
      <c r="I60" s="84">
        <f t="shared" si="13"/>
        <v>0</v>
      </c>
    </row>
    <row r="62" spans="2:9" x14ac:dyDescent="0.25">
      <c r="F62" s="27"/>
    </row>
    <row r="63" spans="2:9" x14ac:dyDescent="0.25">
      <c r="B63" s="26"/>
      <c r="C63" s="25"/>
      <c r="D63" s="25"/>
      <c r="F63" s="19"/>
    </row>
    <row r="64" spans="2:9" x14ac:dyDescent="0.25">
      <c r="B64" s="26"/>
      <c r="C64" s="25"/>
      <c r="D64" s="25"/>
      <c r="E64" s="23"/>
      <c r="F64" s="19"/>
    </row>
    <row r="65" spans="3:6" x14ac:dyDescent="0.25">
      <c r="C65" s="28"/>
      <c r="D65" s="24"/>
      <c r="F65" s="19"/>
    </row>
  </sheetData>
  <dataConsolidate link="1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24586" r:id="rId4" name="cmdBack">
          <controlPr autoLine="0" r:id="rId5">
            <anchor moveWithCells="1">
              <from>
                <xdr:col>8</xdr:col>
                <xdr:colOff>0</xdr:colOff>
                <xdr:row>4</xdr:row>
                <xdr:rowOff>28575</xdr:rowOff>
              </from>
              <to>
                <xdr:col>8</xdr:col>
                <xdr:colOff>1371600</xdr:colOff>
                <xdr:row>5</xdr:row>
                <xdr:rowOff>161925</xdr:rowOff>
              </to>
            </anchor>
          </controlPr>
        </control>
      </mc:Choice>
      <mc:Fallback>
        <control shapeId="24586" r:id="rId4" name="cmdBack"/>
      </mc:Fallback>
    </mc:AlternateContent>
    <mc:AlternateContent xmlns:mc="http://schemas.openxmlformats.org/markup-compatibility/2006">
      <mc:Choice Requires="x14">
        <control shapeId="24584" r:id="rId6" name="cmdMenu">
          <controlPr autoLine="0" r:id="rId7">
            <anchor moveWithCells="1">
              <from>
                <xdr:col>8</xdr:col>
                <xdr:colOff>0</xdr:colOff>
                <xdr:row>7</xdr:row>
                <xdr:rowOff>85725</xdr:rowOff>
              </from>
              <to>
                <xdr:col>8</xdr:col>
                <xdr:colOff>1381125</xdr:colOff>
                <xdr:row>9</xdr:row>
                <xdr:rowOff>0</xdr:rowOff>
              </to>
            </anchor>
          </controlPr>
        </control>
      </mc:Choice>
      <mc:Fallback>
        <control shapeId="24584" r:id="rId6" name="cmdMenu"/>
      </mc:Fallback>
    </mc:AlternateContent>
    <mc:AlternateContent xmlns:mc="http://schemas.openxmlformats.org/markup-compatibility/2006">
      <mc:Choice Requires="x14">
        <control shapeId="24580" r:id="rId8" name="cmdSave">
          <controlPr defaultSize="0" autoFill="0" autoLine="0" r:id="rId9">
            <anchor moveWithCells="1">
              <from>
                <xdr:col>8</xdr:col>
                <xdr:colOff>0</xdr:colOff>
                <xdr:row>1</xdr:row>
                <xdr:rowOff>85725</xdr:rowOff>
              </from>
              <to>
                <xdr:col>8</xdr:col>
                <xdr:colOff>1323975</xdr:colOff>
                <xdr:row>2</xdr:row>
                <xdr:rowOff>171450</xdr:rowOff>
              </to>
            </anchor>
          </controlPr>
        </control>
      </mc:Choice>
      <mc:Fallback>
        <control shapeId="24580" r:id="rId8" name="cmdSav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62</vt:i4>
      </vt:variant>
    </vt:vector>
  </HeadingPairs>
  <TitlesOfParts>
    <vt:vector size="75" baseType="lpstr">
      <vt:lpstr>Menu</vt:lpstr>
      <vt:lpstr>Company</vt:lpstr>
      <vt:lpstr>CompanyLocation</vt:lpstr>
      <vt:lpstr>Contacts</vt:lpstr>
      <vt:lpstr>Vehicle</vt:lpstr>
      <vt:lpstr>Engine</vt:lpstr>
      <vt:lpstr>Manufacturer</vt:lpstr>
      <vt:lpstr>ECD</vt:lpstr>
      <vt:lpstr>DPF</vt:lpstr>
      <vt:lpstr>OutData</vt:lpstr>
      <vt:lpstr>Report</vt:lpstr>
      <vt:lpstr>Quality</vt:lpstr>
      <vt:lpstr>QAProcess</vt:lpstr>
      <vt:lpstr>CleanChannels</vt:lpstr>
      <vt:lpstr>Company!company</vt:lpstr>
      <vt:lpstr>CompanyLocation!companylocation</vt:lpstr>
      <vt:lpstr>Contacts!contacts</vt:lpstr>
      <vt:lpstr>DPF!contacts</vt:lpstr>
      <vt:lpstr>DPF!dpf</vt:lpstr>
      <vt:lpstr>Quality!dpf</vt:lpstr>
      <vt:lpstr>ECD!ecd</vt:lpstr>
      <vt:lpstr>Quality!ecd</vt:lpstr>
      <vt:lpstr>Engine!engine</vt:lpstr>
      <vt:lpstr>Quality!InletCells</vt:lpstr>
      <vt:lpstr>Manufacturer!manufacturer</vt:lpstr>
      <vt:lpstr>Quality!Mass0</vt:lpstr>
      <vt:lpstr>Quality!Mass1</vt:lpstr>
      <vt:lpstr>Quality!Mass2</vt:lpstr>
      <vt:lpstr>QAProcess!MaxHertz</vt:lpstr>
      <vt:lpstr>QAProcess!MaxSpaceVelocity</vt:lpstr>
      <vt:lpstr>DPF!ML_HR</vt:lpstr>
      <vt:lpstr>NoteCompany</vt:lpstr>
      <vt:lpstr>NoteCompanyLocation</vt:lpstr>
      <vt:lpstr>NoteContacts</vt:lpstr>
      <vt:lpstr>NoteDPF</vt:lpstr>
      <vt:lpstr>NoteECD</vt:lpstr>
      <vt:lpstr>NoteEngine</vt:lpstr>
      <vt:lpstr>Manufacturer!NoteManufacturer</vt:lpstr>
      <vt:lpstr>NoteQAProcess</vt:lpstr>
      <vt:lpstr>NoteQuality</vt:lpstr>
      <vt:lpstr>NoteReport</vt:lpstr>
      <vt:lpstr>NoteVehicle</vt:lpstr>
      <vt:lpstr>QAProcess!P0a</vt:lpstr>
      <vt:lpstr>QAProcess!P0AirTemp</vt:lpstr>
      <vt:lpstr>QAProcess!P0b</vt:lpstr>
      <vt:lpstr>QAProcess!P0BackPress</vt:lpstr>
      <vt:lpstr>QAProcess!P0BaroPress</vt:lpstr>
      <vt:lpstr>P0c</vt:lpstr>
      <vt:lpstr>QAProcess!P0PSI</vt:lpstr>
      <vt:lpstr>QAProcess!P0SV</vt:lpstr>
      <vt:lpstr>QAProcess!P1a</vt:lpstr>
      <vt:lpstr>QAProcess!P1AirTemp</vt:lpstr>
      <vt:lpstr>QAProcess!P1b</vt:lpstr>
      <vt:lpstr>QAProcess!P1BackPress</vt:lpstr>
      <vt:lpstr>QAProcess!P1BaroPress</vt:lpstr>
      <vt:lpstr>QAProcess!P1c</vt:lpstr>
      <vt:lpstr>QAProcess!P1PSI</vt:lpstr>
      <vt:lpstr>QAProcess!P1SV</vt:lpstr>
      <vt:lpstr>QAProcess!P2a</vt:lpstr>
      <vt:lpstr>QAProcess!P2AirTemp</vt:lpstr>
      <vt:lpstr>QAProcess!P2b</vt:lpstr>
      <vt:lpstr>QAProcess!P2BackPress</vt:lpstr>
      <vt:lpstr>QAProcess!P2BaroPress</vt:lpstr>
      <vt:lpstr>QAProcess!P2c</vt:lpstr>
      <vt:lpstr>P2PSI</vt:lpstr>
      <vt:lpstr>QAProcess!P2SV</vt:lpstr>
      <vt:lpstr>QAProcess!SubDiameter</vt:lpstr>
      <vt:lpstr>SubDiameter</vt:lpstr>
      <vt:lpstr>QAProcess!SubLength</vt:lpstr>
      <vt:lpstr>SubLength</vt:lpstr>
      <vt:lpstr>Vehicle!vehicle</vt:lpstr>
      <vt:lpstr>QAProcess!Volume</vt:lpstr>
      <vt:lpstr>Volume</vt:lpstr>
      <vt:lpstr>WorkorderIDQAProcess</vt:lpstr>
      <vt:lpstr>WorkOrderIDQuality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glanda</dc:creator>
  <cp:lastModifiedBy>Frank Desimone</cp:lastModifiedBy>
  <cp:lastPrinted>2019-06-16T19:14:23Z</cp:lastPrinted>
  <dcterms:created xsi:type="dcterms:W3CDTF">2018-11-08T14:27:46Z</dcterms:created>
  <dcterms:modified xsi:type="dcterms:W3CDTF">2019-06-25T13:01:05Z</dcterms:modified>
</cp:coreProperties>
</file>