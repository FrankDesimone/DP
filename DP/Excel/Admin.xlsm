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drawings/drawing10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11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12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624A77A8-AF8B-415D-9D9C-376E32194A0C}" xr6:coauthVersionLast="40" xr6:coauthVersionMax="40" xr10:uidLastSave="{00000000-0000-0000-0000-000000000000}"/>
  <bookViews>
    <workbookView xWindow="0" yWindow="0" windowWidth="17880" windowHeight="14325" activeTab="5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r:id="rId6"/>
    <sheet name="Manufacturer" sheetId="11" state="hidden" r:id="rId7"/>
    <sheet name="ECD" sheetId="14" state="hidden" r:id="rId8"/>
    <sheet name="DPF" sheetId="16" state="hidden" r:id="rId9"/>
    <sheet name="OutData" sheetId="21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 localSheetId="11">Quality!$D$31</definedName>
    <definedName name="company" localSheetId="1">Company!$C$3:$C$9</definedName>
    <definedName name="company" localSheetId="8">DPF!$F$9:$F$18</definedName>
    <definedName name="company" localSheetId="9">OutData!$F$9:$F$18</definedName>
    <definedName name="companylocation" localSheetId="2">CompanyLocation!$B$4:$B$10</definedName>
    <definedName name="companylocation" localSheetId="8">DPF!$F$33:$F$36</definedName>
    <definedName name="companylocation" localSheetId="9">OutData!$F$33:$F$36</definedName>
    <definedName name="contacts" localSheetId="3">Contacts!$B$4:$B$13</definedName>
    <definedName name="contacts" localSheetId="8">DPF!$F$21:$F$30</definedName>
    <definedName name="contacts" localSheetId="9">OutData!$F$21:$F$30</definedName>
    <definedName name="data" localSheetId="9">OutData!$F$1:$Q$205</definedName>
    <definedName name="dpf" localSheetId="8">DPF!$F$5:$F$95</definedName>
    <definedName name="dpf" localSheetId="9">OutData!$F$5:$F$95</definedName>
    <definedName name="dpf" localSheetId="12">QAProcess!$C$5:$C$13</definedName>
    <definedName name="dpf" localSheetId="11">Quality!$C$5:$C$22</definedName>
    <definedName name="ecd" localSheetId="8">DPF!$F$57:$F$68</definedName>
    <definedName name="ecd" localSheetId="7">ECD!$B$4:$B$14</definedName>
    <definedName name="ecd" localSheetId="9">OutData!$F$57:$F$68</definedName>
    <definedName name="ecd" localSheetId="12">QAProcess!$C$8:$C$10</definedName>
    <definedName name="ecd" localSheetId="11">Quality!$C$10:$C$21</definedName>
    <definedName name="engine" localSheetId="8">DPF!$F$51:$F$54</definedName>
    <definedName name="engine" localSheetId="5">Engine!$B$5:$B$8</definedName>
    <definedName name="engine" localSheetId="9">OutData!$F$51:$F$54</definedName>
    <definedName name="InletCells" localSheetId="11">Quality!$D$34:$F$38</definedName>
    <definedName name="manufacturer" localSheetId="6">Manufacturer!$B$3:$B$4</definedName>
    <definedName name="Mass0" localSheetId="11">Quality!$E$26</definedName>
    <definedName name="Mass1" localSheetId="11">Quality!$F$26</definedName>
    <definedName name="Mass2" localSheetId="11">Quality!$G$26</definedName>
    <definedName name="MaxHertz" localSheetId="12">QAProcess!$C$12</definedName>
    <definedName name="MaxSpaceVelocity" localSheetId="12">QAProcess!$C$11</definedName>
    <definedName name="Note" localSheetId="7">ECD!$A$1</definedName>
    <definedName name="Note" localSheetId="6">Manufacturer!$A$1</definedName>
    <definedName name="NoteCompany">Company!$F$4</definedName>
    <definedName name="NoteCompanyLocation">CompanyLocation!$D$4</definedName>
    <definedName name="NoteContacts">Contacts!$D$3</definedName>
    <definedName name="NoteEngine">Engine!$D$3</definedName>
    <definedName name="NoteReport">Report!$A$1</definedName>
    <definedName name="NoteVehicle">Vehicle!$D$3</definedName>
    <definedName name="P0a" localSheetId="12">QAProcess!$H$34</definedName>
    <definedName name="P0AirTemp" localSheetId="12">QAProcess!$D$17</definedName>
    <definedName name="P0b" localSheetId="12">QAProcess!$H$35</definedName>
    <definedName name="P0BackPress" localSheetId="12">QAProcess!$D$19</definedName>
    <definedName name="P0BaroPress" localSheetId="12">QAProcess!$D$18</definedName>
    <definedName name="P0c" localSheetId="10">[1]QAProcess!$H$36</definedName>
    <definedName name="P0c">QAProcess!$H$36</definedName>
    <definedName name="P0PSI" localSheetId="12">QAProcess!$D$22:$D$32</definedName>
    <definedName name="P0SV" localSheetId="12">QAProcess!$G$22:$G$32</definedName>
    <definedName name="P11PSI" localSheetId="12">QAProcess!$D$46:$D$56</definedName>
    <definedName name="P1a" localSheetId="12">QAProcess!$H$58</definedName>
    <definedName name="P1AirTemp" localSheetId="12">QAProcess!$D$41</definedName>
    <definedName name="P1b" localSheetId="12">QAProcess!$H$59</definedName>
    <definedName name="P1BackPress" localSheetId="12">QAProcess!$D$43</definedName>
    <definedName name="P1BaroPress" localSheetId="12">QAProcess!$D$42</definedName>
    <definedName name="P1c" localSheetId="12">QAProcess!$H$60</definedName>
    <definedName name="P1SV" localSheetId="12">QAProcess!$G$46:$G$56</definedName>
    <definedName name="P2a" localSheetId="12">QAProcess!$H$83</definedName>
    <definedName name="P2AirTemp" localSheetId="12">QAProcess!$D$66</definedName>
    <definedName name="P2b" localSheetId="12">QAProcess!$H$84</definedName>
    <definedName name="P2BackPress" localSheetId="12">QAProcess!$D$68</definedName>
    <definedName name="P2BaroPress" localSheetId="12">QAProcess!$D$67</definedName>
    <definedName name="P2c" localSheetId="12">QAProcess!$H$34+QAProcess!$H$85</definedName>
    <definedName name="P2PSI">QAProcess!$D$71:$D$81</definedName>
    <definedName name="P2SV" localSheetId="12">QAProcess!$G$71:$G$81</definedName>
    <definedName name="SubDiameter" localSheetId="12">QAProcess!$C$9</definedName>
    <definedName name="SubLength" localSheetId="12">QAProcess!$C$10</definedName>
    <definedName name="vehicle" localSheetId="8">DPF!$F$41:$F$48</definedName>
    <definedName name="vehicle" localSheetId="9">OutData!$F$41:$F$48</definedName>
    <definedName name="vehicle" localSheetId="4">Vehicle!$B$5:$B$9</definedName>
    <definedName name="Volume" localSheetId="12">QAProcess!$H$11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1" i="19" l="1"/>
  <c r="I80" i="19"/>
  <c r="I79" i="19"/>
  <c r="I78" i="19"/>
  <c r="I77" i="19"/>
  <c r="I76" i="19"/>
  <c r="I75" i="19"/>
  <c r="I74" i="19"/>
  <c r="I73" i="19"/>
  <c r="I72" i="19"/>
  <c r="I71" i="19"/>
  <c r="I56" i="19"/>
  <c r="I55" i="19"/>
  <c r="I54" i="19"/>
  <c r="I53" i="19"/>
  <c r="I52" i="19"/>
  <c r="I51" i="19"/>
  <c r="I50" i="19"/>
  <c r="I49" i="19"/>
  <c r="I48" i="19"/>
  <c r="I47" i="19"/>
  <c r="I46" i="19"/>
  <c r="I32" i="19"/>
  <c r="I31" i="19"/>
  <c r="I30" i="19"/>
  <c r="I29" i="19"/>
  <c r="I28" i="19"/>
  <c r="I27" i="19"/>
  <c r="I26" i="19"/>
  <c r="I25" i="19"/>
  <c r="I24" i="19"/>
  <c r="I23" i="19"/>
  <c r="I22" i="19"/>
  <c r="D64" i="19"/>
  <c r="D39" i="19"/>
  <c r="D15" i="19"/>
  <c r="H11" i="19" l="1"/>
  <c r="H49" i="19" l="1"/>
  <c r="H13" i="19"/>
  <c r="H14" i="19" s="1"/>
  <c r="H72" i="19"/>
  <c r="H79" i="19"/>
  <c r="H54" i="19"/>
  <c r="H78" i="19"/>
  <c r="H55" i="19"/>
  <c r="H73" i="19"/>
  <c r="H48" i="19"/>
  <c r="H22" i="19"/>
  <c r="H32" i="19"/>
  <c r="H53" i="19"/>
  <c r="H75" i="19"/>
  <c r="H12" i="19"/>
  <c r="H31" i="19"/>
  <c r="H52" i="19"/>
  <c r="H74" i="19"/>
  <c r="H25" i="19"/>
  <c r="H51" i="19"/>
  <c r="H81" i="19"/>
  <c r="H50" i="19"/>
  <c r="H80" i="19"/>
  <c r="H47" i="19"/>
  <c r="H77" i="19"/>
  <c r="H46" i="19"/>
  <c r="H76" i="19"/>
  <c r="H24" i="19"/>
  <c r="H23" i="19"/>
  <c r="H27" i="19"/>
  <c r="H29" i="19"/>
  <c r="H30" i="19"/>
  <c r="H56" i="19"/>
  <c r="H26" i="19"/>
  <c r="H71" i="19"/>
  <c r="H28" i="19"/>
  <c r="B25" i="19" l="1"/>
  <c r="C25" i="19" s="1"/>
  <c r="E25" i="19" s="1"/>
  <c r="F25" i="19" s="1"/>
  <c r="B48" i="19"/>
  <c r="C48" i="19" s="1"/>
  <c r="E48" i="19" s="1"/>
  <c r="F48" i="19" s="1"/>
  <c r="B52" i="19"/>
  <c r="C52" i="19" s="1"/>
  <c r="E52" i="19" s="1"/>
  <c r="F52" i="19" s="1"/>
  <c r="B72" i="19"/>
  <c r="C72" i="19" s="1"/>
  <c r="E72" i="19" s="1"/>
  <c r="F72" i="19" s="1"/>
  <c r="B29" i="19"/>
  <c r="C29" i="19" s="1"/>
  <c r="E29" i="19" s="1"/>
  <c r="F29" i="19" s="1"/>
  <c r="B73" i="19"/>
  <c r="C73" i="19" s="1"/>
  <c r="E73" i="19" s="1"/>
  <c r="F73" i="19" s="1"/>
  <c r="B30" i="19"/>
  <c r="C30" i="19" s="1"/>
  <c r="E30" i="19" s="1"/>
  <c r="F30" i="19" s="1"/>
  <c r="B75" i="19"/>
  <c r="C75" i="19" s="1"/>
  <c r="E75" i="19" s="1"/>
  <c r="F75" i="19" s="1"/>
  <c r="B24" i="19"/>
  <c r="C24" i="19" s="1"/>
  <c r="E24" i="19" s="1"/>
  <c r="F24" i="19" s="1"/>
  <c r="B56" i="19"/>
  <c r="C56" i="19" s="1"/>
  <c r="E56" i="19" s="1"/>
  <c r="F56" i="19" s="1"/>
  <c r="B31" i="19"/>
  <c r="C31" i="19" s="1"/>
  <c r="E31" i="19" s="1"/>
  <c r="F31" i="19" s="1"/>
  <c r="B54" i="19"/>
  <c r="C54" i="19" s="1"/>
  <c r="E54" i="19" s="1"/>
  <c r="F54" i="19" s="1"/>
  <c r="B80" i="19"/>
  <c r="C80" i="19" s="1"/>
  <c r="E80" i="19" s="1"/>
  <c r="F80" i="19" s="1"/>
  <c r="B55" i="19"/>
  <c r="C55" i="19" s="1"/>
  <c r="E55" i="19" s="1"/>
  <c r="F55" i="19" s="1"/>
  <c r="B26" i="19"/>
  <c r="C26" i="19" s="1"/>
  <c r="E26" i="19" s="1"/>
  <c r="F26" i="19" s="1"/>
  <c r="B71" i="19"/>
  <c r="C71" i="19" s="1"/>
  <c r="E71" i="19" s="1"/>
  <c r="F71" i="19" s="1"/>
  <c r="B49" i="19"/>
  <c r="C49" i="19" s="1"/>
  <c r="E49" i="19" s="1"/>
  <c r="F49" i="19" s="1"/>
  <c r="B78" i="19"/>
  <c r="C78" i="19" s="1"/>
  <c r="E78" i="19" s="1"/>
  <c r="F78" i="19" s="1"/>
  <c r="B23" i="19"/>
  <c r="C23" i="19" s="1"/>
  <c r="E23" i="19" s="1"/>
  <c r="F23" i="19" s="1"/>
  <c r="B81" i="19"/>
  <c r="C81" i="19" s="1"/>
  <c r="E81" i="19" s="1"/>
  <c r="F81" i="19" s="1"/>
  <c r="B22" i="19"/>
  <c r="C22" i="19" s="1"/>
  <c r="E22" i="19" s="1"/>
  <c r="F22" i="19" s="1"/>
  <c r="B28" i="19"/>
  <c r="C28" i="19" s="1"/>
  <c r="E28" i="19" s="1"/>
  <c r="F28" i="19" s="1"/>
  <c r="B76" i="19"/>
  <c r="C76" i="19" s="1"/>
  <c r="E76" i="19" s="1"/>
  <c r="F76" i="19" s="1"/>
  <c r="B77" i="19"/>
  <c r="C77" i="19" s="1"/>
  <c r="E77" i="19" s="1"/>
  <c r="F77" i="19" s="1"/>
  <c r="B79" i="19"/>
  <c r="C79" i="19" s="1"/>
  <c r="E79" i="19" s="1"/>
  <c r="F79" i="19" s="1"/>
  <c r="B27" i="19"/>
  <c r="C27" i="19" s="1"/>
  <c r="E27" i="19" s="1"/>
  <c r="F27" i="19" s="1"/>
  <c r="B50" i="19"/>
  <c r="C50" i="19" s="1"/>
  <c r="E50" i="19" s="1"/>
  <c r="F50" i="19" s="1"/>
  <c r="B51" i="19"/>
  <c r="C51" i="19" s="1"/>
  <c r="E51" i="19" s="1"/>
  <c r="F51" i="19" s="1"/>
  <c r="B53" i="19"/>
  <c r="C53" i="19" s="1"/>
  <c r="E53" i="19" s="1"/>
  <c r="F53" i="19" s="1"/>
  <c r="B74" i="19"/>
  <c r="C74" i="19" s="1"/>
  <c r="E74" i="19" s="1"/>
  <c r="F74" i="19" s="1"/>
  <c r="B46" i="19"/>
  <c r="C46" i="19" s="1"/>
  <c r="E46" i="19" s="1"/>
  <c r="F46" i="19" s="1"/>
  <c r="B47" i="19"/>
  <c r="C47" i="19" s="1"/>
  <c r="E47" i="19" s="1"/>
  <c r="F47" i="19" s="1"/>
  <c r="B32" i="19"/>
  <c r="C32" i="19" s="1"/>
  <c r="E32" i="19" s="1"/>
  <c r="F32" i="19" s="1"/>
</calcChain>
</file>

<file path=xl/sharedStrings.xml><?xml version="1.0" encoding="utf-8"?>
<sst xmlns="http://schemas.openxmlformats.org/spreadsheetml/2006/main" count="455" uniqueCount="231">
  <si>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</si>
  <si>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</si>
  <si>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</si>
  <si>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</si>
  <si>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</si>
  <si>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</si>
  <si>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</si>
  <si>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</si>
  <si>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</si>
  <si>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</si>
  <si>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</si>
  <si>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</si>
  <si>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</si>
  <si>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</si>
  <si>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</si>
  <si>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</si>
  <si>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</si>
  <si>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</si>
  <si>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</si>
  <si>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</si>
  <si>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</si>
  <si>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</si>
  <si>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</si>
  <si>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</si>
  <si>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</si>
  <si>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</si>
  <si>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</si>
  <si>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</si>
  <si>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</si>
  <si>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</si>
  <si>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</si>
  <si>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</si>
  <si>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</si>
  <si>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</si>
  <si>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</si>
  <si>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</si>
  <si>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</si>
  <si>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</si>
  <si>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</si>
  <si>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</si>
  <si>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</si>
  <si>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</si>
  <si>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</si>
  <si>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</si>
  <si>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</si>
  <si>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</si>
  <si>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</si>
  <si>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</si>
  <si>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</si>
  <si>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</si>
  <si>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</si>
  <si>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</si>
  <si>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</si>
  <si>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</si>
  <si>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</si>
  <si>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</si>
  <si>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</si>
  <si>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</si>
  <si>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</si>
  <si>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</si>
  <si>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</si>
  <si>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</si>
  <si>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</si>
  <si>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</si>
  <si>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</si>
  <si>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</si>
  <si>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</si>
  <si>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</si>
  <si>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</si>
  <si>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</si>
  <si>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</si>
  <si>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</si>
  <si>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Location ID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</si>
  <si>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</si>
  <si>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</si>
  <si>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</si>
  <si>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</si>
  <si>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</si>
  <si>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</si>
  <si>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</si>
  <si>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</si>
  <si>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</si>
  <si>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</si>
  <si>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</si>
  <si>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</si>
  <si>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</si>
  <si>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</si>
  <si>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</si>
  <si>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</si>
  <si>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</si>
  <si>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</si>
  <si>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</si>
  <si>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Company ID:</t>
  </si>
  <si>
    <t>Company Name:</t>
  </si>
  <si>
    <t>Address:</t>
  </si>
  <si>
    <t>Address2:</t>
  </si>
  <si>
    <t>City:</t>
  </si>
  <si>
    <t>State:</t>
  </si>
  <si>
    <t>Zip:</t>
  </si>
  <si>
    <t>Active:</t>
  </si>
  <si>
    <t>Contact:</t>
  </si>
  <si>
    <t>WorkOrder</t>
  </si>
  <si>
    <t>As</t>
  </si>
  <si>
    <t>Post</t>
  </si>
  <si>
    <t>Received</t>
  </si>
  <si>
    <t>Process 1</t>
  </si>
  <si>
    <t>Process 2</t>
  </si>
  <si>
    <t>ECD Mass</t>
  </si>
  <si>
    <t>lbs</t>
  </si>
  <si>
    <t>Ultrasound Signal Received</t>
  </si>
  <si>
    <t>ECD Pin Drop Depth</t>
  </si>
  <si>
    <t>Clean Channels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</si>
  <si>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</si>
  <si>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</si>
  <si>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</si>
  <si>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</si>
  <si>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</si>
  <si>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</si>
  <si>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</si>
  <si>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</si>
  <si>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Substrate Description</t>
  </si>
  <si>
    <t xml:space="preserve"> As Received</t>
  </si>
  <si>
    <t>Inlet Face</t>
  </si>
  <si>
    <t>Soot On Face</t>
  </si>
  <si>
    <t>Ash on Face</t>
  </si>
  <si>
    <t>Color</t>
  </si>
  <si>
    <t>Outlet Face</t>
  </si>
  <si>
    <t>Substrate Structural Conditions</t>
  </si>
  <si>
    <t>Breach</t>
  </si>
  <si>
    <t xml:space="preserve">Substrate </t>
  </si>
  <si>
    <t>Evidence of Contaminants</t>
  </si>
  <si>
    <t>Red color ash</t>
  </si>
  <si>
    <t>Quality Control</t>
  </si>
  <si>
    <t>Indication of Coolant</t>
  </si>
  <si>
    <t>Staining/Color</t>
  </si>
  <si>
    <t>Select Valid Manufacturer</t>
  </si>
  <si>
    <t>Process Description: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</si>
  <si>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</si>
  <si>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</si>
  <si>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</si>
  <si>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</si>
  <si>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</si>
  <si>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</si>
  <si>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</si>
  <si>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</si>
  <si>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</si>
  <si>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</si>
  <si>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</si>
  <si>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</si>
  <si>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</si>
  <si>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</si>
  <si>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</si>
  <si>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</si>
  <si>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ft3</t>
  </si>
  <si>
    <t>Coefficients:</t>
  </si>
  <si>
    <t>a</t>
  </si>
  <si>
    <t>b</t>
  </si>
  <si>
    <t>c</t>
  </si>
  <si>
    <t>Volume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</si>
  <si>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</si>
  <si>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</si>
  <si>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</si>
  <si>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</si>
  <si>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</si>
  <si>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</si>
  <si>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Liter</t>
  </si>
  <si>
    <t>Report</t>
  </si>
  <si>
    <t>Select a valid state</t>
  </si>
  <si>
    <t>WorkOrderID</t>
  </si>
  <si>
    <t>ContactsID</t>
  </si>
  <si>
    <t>WorkOrderStatusID</t>
  </si>
  <si>
    <t>PreventMaintAshCleanInter</t>
  </si>
  <si>
    <t>HighSootCEL</t>
  </si>
  <si>
    <t>EngineFailureFluidsInExhaust</t>
  </si>
  <si>
    <t>CleaningReasonID</t>
  </si>
  <si>
    <t>RoadHighway</t>
  </si>
  <si>
    <t>StartStop</t>
  </si>
  <si>
    <t>HighIdle</t>
  </si>
  <si>
    <t>DrivingTypeID</t>
  </si>
  <si>
    <t>FirstCleaning</t>
  </si>
  <si>
    <t>VehicleTotalMileage</t>
  </si>
  <si>
    <t>VehicleTotalHours</t>
  </si>
  <si>
    <t>DateAdded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</si>
  <si>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</si>
  <si>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</si>
  <si>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</si>
  <si>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</si>
  <si>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</si>
  <si>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</si>
  <si>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</si>
  <si>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CompanyLocationsID</t>
  </si>
  <si>
    <t>Address1</t>
  </si>
  <si>
    <t>VehicleID</t>
  </si>
  <si>
    <t>SerialNumber</t>
  </si>
  <si>
    <t>AssetNumber</t>
  </si>
  <si>
    <t>ManufacturerID</t>
  </si>
  <si>
    <t>EngineID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</si>
  <si>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</si>
  <si>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</si>
  <si>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</si>
  <si>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</si>
  <si>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</si>
  <si>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</si>
  <si>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</si>
  <si>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</si>
  <si>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</si>
  <si>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</si>
  <si>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</si>
  <si>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</si>
  <si>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</si>
  <si>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</si>
  <si>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1</t>
  </si>
  <si>
    <t>Cordierite (ceramic)</t>
  </si>
  <si>
    <t>Caterpillar</t>
  </si>
  <si>
    <t>DPF</t>
  </si>
  <si>
    <t>Engine Inc</t>
  </si>
  <si>
    <t>1330 Nor-Bath Blvd.</t>
  </si>
  <si>
    <t>Northampton</t>
  </si>
  <si>
    <t>18067</t>
  </si>
  <si>
    <t>vin12345</t>
  </si>
  <si>
    <t>Volvo</t>
  </si>
  <si>
    <t>Big</t>
  </si>
  <si>
    <t>Cummins</t>
  </si>
  <si>
    <t>999</t>
  </si>
  <si>
    <t>small</t>
  </si>
  <si>
    <t>333</t>
  </si>
  <si>
    <t>122</t>
  </si>
  <si>
    <t>444</t>
  </si>
  <si>
    <t>Report Generated: C:\Clients\GitHub\DP\Excel\Report4.xlsm</t>
  </si>
  <si>
    <t>Serial123</t>
  </si>
  <si>
    <t>Modl123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</si>
</sst>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94">
    <xf numFmtId="0" fontId="0" fillId="0" borderId="0" xfId="0"/>
    <xf numFmtId="0" fontId="1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Font="1" applyFill="1" applyAlignment="1">
      <alignment horizontal="center"/>
    </xf>
    <xf numFmtId="14" fontId="0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Fill="1" applyAlignment="1">
      <alignment horizontal="left"/>
    </xf>
    <xf numFmtId="0" fontId="3" fillId="0" borderId="0" xfId="0" applyFont="1" applyAlignment="1">
      <alignment horizontal="right" vertical="center" indent="2"/>
    </xf>
    <xf numFmtId="0" fontId="0" fillId="0" borderId="0" xfId="0" applyFill="1" applyAlignment="1">
      <alignment horizontal="center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horizontal="right" vertical="center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0" fillId="0" borderId="0" xfId="0" applyProtection="1"/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0" fillId="3" borderId="1" xfId="0" applyNumberFormat="1" applyFill="1" applyBorder="1" applyAlignment="1" applyProtection="1">
      <alignment horizontal="left" vertical="center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wrapText="1"/>
    </xf>
    <xf numFmtId="2" fontId="0" fillId="4" borderId="0" xfId="0" applyNumberFormat="1" applyFont="1" applyFill="1" applyBorder="1" applyAlignment="1">
      <alignment horizontal="right" vertical="center" indent="1"/>
    </xf>
    <xf numFmtId="2" fontId="0" fillId="4" borderId="0" xfId="0" applyNumberFormat="1" applyFill="1" applyBorder="1" applyAlignment="1">
      <alignment horizontal="right" vertical="center" indent="1"/>
    </xf>
    <xf numFmtId="0" fontId="0" fillId="4" borderId="0" xfId="0" applyFill="1"/>
    <xf numFmtId="2" fontId="0" fillId="0" borderId="0" xfId="0" applyNumberFormat="1" applyFill="1" applyBorder="1" applyAlignment="1">
      <alignment horizontal="right" vertical="center" indent="1"/>
    </xf>
    <xf numFmtId="0" fontId="0" fillId="0" borderId="0" xfId="0" applyFill="1" applyBorder="1" applyAlignment="1">
      <alignment horizontal="right" vertical="center" indent="1"/>
    </xf>
    <xf numFmtId="2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right" vertical="center" indent="1"/>
    </xf>
    <xf numFmtId="165" fontId="0" fillId="0" borderId="0" xfId="0" applyNumberFormat="1" applyFill="1" applyAlignment="1">
      <alignment horizontal="right" vertical="center" indent="1"/>
    </xf>
    <xf numFmtId="0" fontId="0" fillId="0" borderId="0" xfId="0" applyFill="1" applyAlignment="1">
      <alignment horizontal="left"/>
    </xf>
    <xf numFmtId="165" fontId="0" fillId="4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right"/>
    </xf>
    <xf numFmtId="2" fontId="0" fillId="0" borderId="0" xfId="0" applyNumberFormat="1" applyFill="1" applyAlignment="1"/>
    <xf numFmtId="2" fontId="0" fillId="0" borderId="0" xfId="0" applyNumberFormat="1" applyFill="1" applyAlignment="1">
      <alignment horizontal="left" indent="1"/>
    </xf>
    <xf numFmtId="0" fontId="11" fillId="0" borderId="0" xfId="0" applyFont="1" applyFill="1" applyAlignment="1">
      <alignment horizontal="left"/>
    </xf>
    <xf numFmtId="0" fontId="5" fillId="0" borderId="0" xfId="0" applyFont="1"/>
    <xf numFmtId="0" fontId="2" fillId="0" borderId="0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Border="1"/>
    <xf numFmtId="0" fontId="12" fillId="0" borderId="0" xfId="0" applyFont="1" applyFill="1" applyAlignment="1">
      <alignment horizontal="left"/>
    </xf>
    <xf numFmtId="0" fontId="10" fillId="0" borderId="0" xfId="0" applyFont="1" applyFill="1" applyAlignment="1">
      <alignment horizontal="left"/>
    </xf>
    <xf numFmtId="0" fontId="10" fillId="0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0" fontId="0" fillId="0" borderId="0" xfId="0" applyAlignment="1">
      <alignment horizontal="left"/>
    </xf>
    <xf numFmtId="165" fontId="0" fillId="0" borderId="0" xfId="0" applyNumberFormat="1"/>
    <xf numFmtId="0" fontId="10" fillId="0" borderId="0" xfId="0" applyFont="1" applyFill="1" applyAlignment="1">
      <alignment horizontal="center" vertical="center"/>
    </xf>
    <xf numFmtId="3" fontId="0" fillId="0" borderId="0" xfId="0" applyNumberFormat="1" applyFill="1"/>
    <xf numFmtId="3" fontId="0" fillId="0" borderId="0" xfId="0" applyNumberFormat="1" applyAlignment="1">
      <alignment horizontal="center"/>
    </xf>
    <xf numFmtId="11" fontId="0" fillId="4" borderId="0" xfId="0" applyNumberFormat="1" applyFill="1"/>
    <xf numFmtId="0" fontId="10" fillId="0" borderId="0" xfId="0" applyFont="1"/>
    <xf numFmtId="3" fontId="0" fillId="0" borderId="0" xfId="0" applyNumberFormat="1"/>
    <xf numFmtId="11" fontId="0" fillId="0" borderId="0" xfId="0" applyNumberFormat="1" applyFill="1"/>
    <xf numFmtId="0" fontId="0" fillId="0" borderId="0" xfId="0" applyFont="1" applyAlignment="1">
      <alignment horizontal="left"/>
    </xf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166" fontId="0" fillId="2" borderId="0" xfId="0" applyNumberFormat="1" applyFill="1" applyAlignment="1">
      <alignment horizontal="right"/>
    </xf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0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13" fillId="0" borderId="0" xfId="0" applyFont="1"/>
    <xf numFmtId="0" fontId="0" fillId="0" borderId="0" xfId="0" applyAlignment="1">
      <alignment vertical="top"/>
    </xf>
    <xf numFmtId="14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3.emf"/><Relationship Id="rId5" Type="http://schemas.openxmlformats.org/officeDocument/2006/relationships/image" Target="../media/image28.emf"/><Relationship Id="rId4" Type="http://schemas.openxmlformats.org/officeDocument/2006/relationships/image" Target="../media/image2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5" Type="http://schemas.openxmlformats.org/officeDocument/2006/relationships/image" Target="../media/image29.emf"/><Relationship Id="rId4" Type="http://schemas.openxmlformats.org/officeDocument/2006/relationships/image" Target="../media/image3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5" Type="http://schemas.openxmlformats.org/officeDocument/2006/relationships/image" Target="../media/image34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2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6" Type="http://schemas.openxmlformats.org/officeDocument/2006/relationships/image" Target="../media/image48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image" Target="../media/image52.emf"/><Relationship Id="rId7" Type="http://schemas.openxmlformats.org/officeDocument/2006/relationships/image" Target="../media/image56.emf"/><Relationship Id="rId12" Type="http://schemas.openxmlformats.org/officeDocument/2006/relationships/image" Target="../media/image49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6" Type="http://schemas.openxmlformats.org/officeDocument/2006/relationships/image" Target="../media/image55.emf"/><Relationship Id="rId11" Type="http://schemas.openxmlformats.org/officeDocument/2006/relationships/image" Target="../media/image60.emf"/><Relationship Id="rId5" Type="http://schemas.openxmlformats.org/officeDocument/2006/relationships/image" Target="../media/image54.emf"/><Relationship Id="rId10" Type="http://schemas.openxmlformats.org/officeDocument/2006/relationships/image" Target="../media/image59.emf"/><Relationship Id="rId4" Type="http://schemas.openxmlformats.org/officeDocument/2006/relationships/image" Target="../media/image53.emf"/><Relationship Id="rId9" Type="http://schemas.openxmlformats.org/officeDocument/2006/relationships/image" Target="../media/image58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3" Type="http://schemas.openxmlformats.org/officeDocument/2006/relationships/image" Target="../media/image72.emf"/><Relationship Id="rId7" Type="http://schemas.openxmlformats.org/officeDocument/2006/relationships/image" Target="../media/image68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Relationship Id="rId6" Type="http://schemas.openxmlformats.org/officeDocument/2006/relationships/image" Target="../media/image69.emf"/><Relationship Id="rId11" Type="http://schemas.openxmlformats.org/officeDocument/2006/relationships/image" Target="../media/image64.emf"/><Relationship Id="rId5" Type="http://schemas.openxmlformats.org/officeDocument/2006/relationships/image" Target="../media/image70.emf"/><Relationship Id="rId10" Type="http://schemas.openxmlformats.org/officeDocument/2006/relationships/image" Target="../media/image65.emf"/><Relationship Id="rId4" Type="http://schemas.openxmlformats.org/officeDocument/2006/relationships/image" Target="../media/image71.emf"/><Relationship Id="rId9" Type="http://schemas.openxmlformats.org/officeDocument/2006/relationships/image" Target="../media/image66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Relationship Id="rId4" Type="http://schemas.openxmlformats.org/officeDocument/2006/relationships/image" Target="../media/image7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4</xdr:col>
          <xdr:colOff>161925</xdr:colOff>
          <xdr:row>7</xdr:row>
          <xdr:rowOff>114300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0</xdr:rowOff>
        </xdr:from>
        <xdr:to>
          <xdr:col>4</xdr:col>
          <xdr:colOff>161925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104775</xdr:rowOff>
        </xdr:from>
        <xdr:to>
          <xdr:col>7</xdr:col>
          <xdr:colOff>161925</xdr:colOff>
          <xdr:row>4</xdr:row>
          <xdr:rowOff>152400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47625</xdr:rowOff>
        </xdr:from>
        <xdr:to>
          <xdr:col>7</xdr:col>
          <xdr:colOff>161925</xdr:colOff>
          <xdr:row>7</xdr:row>
          <xdr:rowOff>95250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171450</xdr:rowOff>
        </xdr:from>
        <xdr:to>
          <xdr:col>7</xdr:col>
          <xdr:colOff>161925</xdr:colOff>
          <xdr:row>10</xdr:row>
          <xdr:rowOff>28575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104775</xdr:rowOff>
        </xdr:from>
        <xdr:to>
          <xdr:col>7</xdr:col>
          <xdr:colOff>161925</xdr:colOff>
          <xdr:row>12</xdr:row>
          <xdr:rowOff>161925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123825</xdr:rowOff>
        </xdr:from>
        <xdr:to>
          <xdr:col>10</xdr:col>
          <xdr:colOff>190500</xdr:colOff>
          <xdr:row>4</xdr:row>
          <xdr:rowOff>171450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123825</xdr:rowOff>
        </xdr:from>
        <xdr:to>
          <xdr:col>4</xdr:col>
          <xdr:colOff>152400</xdr:colOff>
          <xdr:row>4</xdr:row>
          <xdr:rowOff>180975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5</xdr:row>
          <xdr:rowOff>66675</xdr:rowOff>
        </xdr:from>
        <xdr:to>
          <xdr:col>10</xdr:col>
          <xdr:colOff>190500</xdr:colOff>
          <xdr:row>7</xdr:row>
          <xdr:rowOff>114300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8</xdr:row>
          <xdr:rowOff>0</xdr:rowOff>
        </xdr:from>
        <xdr:to>
          <xdr:col>10</xdr:col>
          <xdr:colOff>190500</xdr:colOff>
          <xdr:row>10</xdr:row>
          <xdr:rowOff>47625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10</xdr:row>
          <xdr:rowOff>95250</xdr:rowOff>
        </xdr:from>
        <xdr:to>
          <xdr:col>10</xdr:col>
          <xdr:colOff>200025</xdr:colOff>
          <xdr:row>12</xdr:row>
          <xdr:rowOff>142875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371475</xdr:rowOff>
        </xdr:from>
        <xdr:to>
          <xdr:col>2</xdr:col>
          <xdr:colOff>2762250</xdr:colOff>
          <xdr:row>2</xdr:row>
          <xdr:rowOff>314325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2762250</xdr:colOff>
          <xdr:row>7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4</xdr:row>
          <xdr:rowOff>19050</xdr:rowOff>
        </xdr:from>
        <xdr:to>
          <xdr:col>5</xdr:col>
          <xdr:colOff>1400175</xdr:colOff>
          <xdr:row>4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28575</xdr:rowOff>
        </xdr:from>
        <xdr:to>
          <xdr:col>1</xdr:col>
          <xdr:colOff>3086100</xdr:colOff>
          <xdr:row>9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1</xdr:col>
          <xdr:colOff>3086100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685800</xdr:colOff>
          <xdr:row>13</xdr:row>
          <xdr:rowOff>295275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38100</xdr:rowOff>
        </xdr:from>
        <xdr:to>
          <xdr:col>1</xdr:col>
          <xdr:colOff>3086100</xdr:colOff>
          <xdr:row>3</xdr:row>
          <xdr:rowOff>19050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57150</xdr:rowOff>
        </xdr:from>
        <xdr:to>
          <xdr:col>1</xdr:col>
          <xdr:colOff>3086100</xdr:colOff>
          <xdr:row>3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11112</xdr:colOff>
          <xdr:row>1</xdr:row>
          <xdr:rowOff>19050</xdr:rowOff>
        </xdr:from>
        <xdr:to>
          <xdr:col>2</xdr:col>
          <xdr:colOff>1587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11112</xdr:colOff>
          <xdr:row>2</xdr:row>
          <xdr:rowOff>9525</xdr:rowOff>
        </xdr:from>
        <xdr:to>
          <xdr:col>2</xdr:col>
          <xdr:colOff>1587</xdr:colOff>
          <xdr:row>2</xdr:row>
          <xdr:rowOff>371475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427037</xdr:colOff>
          <xdr:row>0</xdr:row>
          <xdr:rowOff>352425</xdr:rowOff>
        </xdr:from>
        <xdr:to>
          <xdr:col>3</xdr:col>
          <xdr:colOff>674687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11112</xdr:colOff>
          <xdr:row>3</xdr:row>
          <xdr:rowOff>9524</xdr:rowOff>
        </xdr:from>
        <xdr:to>
          <xdr:col>2</xdr:col>
          <xdr:colOff>1587</xdr:colOff>
          <xdr:row>3</xdr:row>
          <xdr:rowOff>375284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427037</xdr:colOff>
          <xdr:row>3</xdr:row>
          <xdr:rowOff>76200</xdr:rowOff>
        </xdr:from>
        <xdr:to>
          <xdr:col>3</xdr:col>
          <xdr:colOff>674687</xdr:colOff>
          <xdr:row>4</xdr:row>
          <xdr:rowOff>19050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1</xdr:col>
          <xdr:colOff>3219450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333375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1</xdr:col>
          <xdr:colOff>3105150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333375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2</xdr:row>
          <xdr:rowOff>152400</xdr:rowOff>
        </xdr:from>
        <xdr:to>
          <xdr:col>6</xdr:col>
          <xdr:colOff>133350</xdr:colOff>
          <xdr:row>3</xdr:row>
          <xdr:rowOff>66675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78</xdr:row>
          <xdr:rowOff>161925</xdr:rowOff>
        </xdr:from>
        <xdr:to>
          <xdr:col>5</xdr:col>
          <xdr:colOff>933450</xdr:colOff>
          <xdr:row>79</xdr:row>
          <xdr:rowOff>161925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79</xdr:row>
          <xdr:rowOff>171450</xdr:rowOff>
        </xdr:from>
        <xdr:to>
          <xdr:col>5</xdr:col>
          <xdr:colOff>923925</xdr:colOff>
          <xdr:row>80</xdr:row>
          <xdr:rowOff>171450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81</xdr:row>
          <xdr:rowOff>0</xdr:rowOff>
        </xdr:from>
        <xdr:to>
          <xdr:col>5</xdr:col>
          <xdr:colOff>923925</xdr:colOff>
          <xdr:row>82</xdr:row>
          <xdr:rowOff>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85</xdr:row>
          <xdr:rowOff>9525</xdr:rowOff>
        </xdr:from>
        <xdr:to>
          <xdr:col>5</xdr:col>
          <xdr:colOff>942975</xdr:colOff>
          <xdr:row>86</xdr:row>
          <xdr:rowOff>9525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86</xdr:row>
          <xdr:rowOff>9525</xdr:rowOff>
        </xdr:from>
        <xdr:to>
          <xdr:col>5</xdr:col>
          <xdr:colOff>923925</xdr:colOff>
          <xdr:row>87</xdr:row>
          <xdr:rowOff>9525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87</xdr:row>
          <xdr:rowOff>19050</xdr:rowOff>
        </xdr:from>
        <xdr:to>
          <xdr:col>5</xdr:col>
          <xdr:colOff>923925</xdr:colOff>
          <xdr:row>88</xdr:row>
          <xdr:rowOff>19050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66675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28575</xdr:rowOff>
        </xdr:from>
        <xdr:to>
          <xdr:col>5</xdr:col>
          <xdr:colOff>1009650</xdr:colOff>
          <xdr:row>92</xdr:row>
          <xdr:rowOff>28575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8</xdr:col>
          <xdr:colOff>152400</xdr:colOff>
          <xdr:row>3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66675</xdr:rowOff>
        </xdr:from>
        <xdr:to>
          <xdr:col>8</xdr:col>
          <xdr:colOff>161925</xdr:colOff>
          <xdr:row>8</xdr:row>
          <xdr:rowOff>9525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66675</xdr:rowOff>
        </xdr:from>
        <xdr:to>
          <xdr:col>8</xdr:col>
          <xdr:colOff>161925</xdr:colOff>
          <xdr:row>20</xdr:row>
          <xdr:rowOff>123825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66675</xdr:rowOff>
        </xdr:from>
        <xdr:to>
          <xdr:col>8</xdr:col>
          <xdr:colOff>161925</xdr:colOff>
          <xdr:row>32</xdr:row>
          <xdr:rowOff>123825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66675</xdr:rowOff>
        </xdr:from>
        <xdr:to>
          <xdr:col>8</xdr:col>
          <xdr:colOff>161925</xdr:colOff>
          <xdr:row>40</xdr:row>
          <xdr:rowOff>123825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66675</xdr:rowOff>
        </xdr:from>
        <xdr:to>
          <xdr:col>8</xdr:col>
          <xdr:colOff>161925</xdr:colOff>
          <xdr:row>50</xdr:row>
          <xdr:rowOff>123825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66675</xdr:rowOff>
        </xdr:from>
        <xdr:to>
          <xdr:col>8</xdr:col>
          <xdr:colOff>161925</xdr:colOff>
          <xdr:row>56</xdr:row>
          <xdr:rowOff>123825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82</xdr:row>
          <xdr:rowOff>66675</xdr:rowOff>
        </xdr:from>
        <xdr:to>
          <xdr:col>8</xdr:col>
          <xdr:colOff>161925</xdr:colOff>
          <xdr:row>83</xdr:row>
          <xdr:rowOff>123825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88</xdr:row>
          <xdr:rowOff>66675</xdr:rowOff>
        </xdr:from>
        <xdr:to>
          <xdr:col>8</xdr:col>
          <xdr:colOff>161925</xdr:colOff>
          <xdr:row>89</xdr:row>
          <xdr:rowOff>123825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85725</xdr:rowOff>
        </xdr:from>
        <xdr:to>
          <xdr:col>12</xdr:col>
          <xdr:colOff>161925</xdr:colOff>
          <xdr:row>6</xdr:row>
          <xdr:rowOff>9525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47625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209550</xdr:colOff>
          <xdr:row>2</xdr:row>
          <xdr:rowOff>219075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57</xdr:row>
          <xdr:rowOff>9525</xdr:rowOff>
        </xdr:from>
        <xdr:to>
          <xdr:col>3</xdr:col>
          <xdr:colOff>361950</xdr:colOff>
          <xdr:row>57</xdr:row>
          <xdr:rowOff>180975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27</xdr:row>
          <xdr:rowOff>57150</xdr:rowOff>
        </xdr:from>
        <xdr:to>
          <xdr:col>3</xdr:col>
          <xdr:colOff>333375</xdr:colOff>
          <xdr:row>28</xdr:row>
          <xdr:rowOff>38100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28</xdr:row>
          <xdr:rowOff>161925</xdr:rowOff>
        </xdr:from>
        <xdr:to>
          <xdr:col>3</xdr:col>
          <xdr:colOff>333375</xdr:colOff>
          <xdr:row>29</xdr:row>
          <xdr:rowOff>142875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47625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59</xdr:row>
          <xdr:rowOff>38100</xdr:rowOff>
        </xdr:from>
        <xdr:to>
          <xdr:col>3</xdr:col>
          <xdr:colOff>352425</xdr:colOff>
          <xdr:row>60</xdr:row>
          <xdr:rowOff>19050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209550</xdr:colOff>
          <xdr:row>2</xdr:row>
          <xdr:rowOff>219075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66675</xdr:rowOff>
        </xdr:from>
        <xdr:to>
          <xdr:col>4</xdr:col>
          <xdr:colOff>219075</xdr:colOff>
          <xdr:row>9</xdr:row>
          <xdr:rowOff>104775</xdr:rowOff>
        </xdr:to>
        <xdr:sp macro="" textlink="">
          <xdr:nvSpPr>
            <xdr:cNvPr id="23567" name="cbECD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B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41</xdr:row>
          <xdr:rowOff>161925</xdr:rowOff>
        </xdr:from>
        <xdr:to>
          <xdr:col>6</xdr:col>
          <xdr:colOff>561975</xdr:colOff>
          <xdr:row>43</xdr:row>
          <xdr:rowOff>9525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43</xdr:row>
          <xdr:rowOff>161925</xdr:rowOff>
        </xdr:from>
        <xdr:to>
          <xdr:col>6</xdr:col>
          <xdr:colOff>561975</xdr:colOff>
          <xdr:row>45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45</xdr:row>
          <xdr:rowOff>9525</xdr:rowOff>
        </xdr:from>
        <xdr:to>
          <xdr:col>6</xdr:col>
          <xdr:colOff>542925</xdr:colOff>
          <xdr:row>46</xdr:row>
          <xdr:rowOff>47625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48</xdr:row>
          <xdr:rowOff>9525</xdr:rowOff>
        </xdr:from>
        <xdr:to>
          <xdr:col>6</xdr:col>
          <xdr:colOff>542925</xdr:colOff>
          <xdr:row>49</xdr:row>
          <xdr:rowOff>47625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52</xdr:row>
          <xdr:rowOff>0</xdr:rowOff>
        </xdr:from>
        <xdr:to>
          <xdr:col>6</xdr:col>
          <xdr:colOff>581025</xdr:colOff>
          <xdr:row>53</xdr:row>
          <xdr:rowOff>28575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54</xdr:row>
          <xdr:rowOff>0</xdr:rowOff>
        </xdr:from>
        <xdr:to>
          <xdr:col>6</xdr:col>
          <xdr:colOff>581025</xdr:colOff>
          <xdr:row>55</xdr:row>
          <xdr:rowOff>28575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533400</xdr:colOff>
          <xdr:row>3</xdr:row>
          <xdr:rowOff>38100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209550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6</xdr:row>
          <xdr:rowOff>19050</xdr:rowOff>
        </xdr:from>
        <xdr:to>
          <xdr:col>4</xdr:col>
          <xdr:colOff>238125</xdr:colOff>
          <xdr:row>7</xdr:row>
          <xdr:rowOff>57150</xdr:rowOff>
        </xdr:to>
        <xdr:sp macro="" textlink="">
          <xdr:nvSpPr>
            <xdr:cNvPr id="24583" name="cbECD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C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95250</xdr:rowOff>
        </xdr:from>
        <xdr:to>
          <xdr:col>8</xdr:col>
          <xdr:colOff>552450</xdr:colOff>
          <xdr:row>6</xdr:row>
          <xdr:rowOff>19050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4.emf"/><Relationship Id="rId12" Type="http://schemas.openxmlformats.org/officeDocument/2006/relationships/control" Target="../activeX/activeX2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25.emf"/><Relationship Id="rId14" Type="http://schemas.openxmlformats.org/officeDocument/2006/relationships/control" Target="../activeX/activeX2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0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0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control" Target="../activeX/activeX55.xml"/><Relationship Id="rId18" Type="http://schemas.openxmlformats.org/officeDocument/2006/relationships/control" Target="../activeX/activeX59.xml"/><Relationship Id="rId26" Type="http://schemas.openxmlformats.org/officeDocument/2006/relationships/control" Target="../activeX/activeX63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4.emf"/><Relationship Id="rId7" Type="http://schemas.openxmlformats.org/officeDocument/2006/relationships/image" Target="../media/image50.emf"/><Relationship Id="rId12" Type="http://schemas.openxmlformats.org/officeDocument/2006/relationships/control" Target="../activeX/activeX54.xml"/><Relationship Id="rId17" Type="http://schemas.openxmlformats.org/officeDocument/2006/relationships/image" Target="../media/image52.emf"/><Relationship Id="rId25" Type="http://schemas.openxmlformats.org/officeDocument/2006/relationships/image" Target="../media/image56.emf"/><Relationship Id="rId33" Type="http://schemas.openxmlformats.org/officeDocument/2006/relationships/image" Target="../media/image6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8.xml"/><Relationship Id="rId20" Type="http://schemas.openxmlformats.org/officeDocument/2006/relationships/control" Target="../activeX/activeX60.xml"/><Relationship Id="rId29" Type="http://schemas.openxmlformats.org/officeDocument/2006/relationships/image" Target="../media/image58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control" Target="../activeX/activeX53.xml"/><Relationship Id="rId24" Type="http://schemas.openxmlformats.org/officeDocument/2006/relationships/control" Target="../activeX/activeX62.xml"/><Relationship Id="rId32" Type="http://schemas.openxmlformats.org/officeDocument/2006/relationships/control" Target="../activeX/activeX66.xml"/><Relationship Id="rId5" Type="http://schemas.openxmlformats.org/officeDocument/2006/relationships/image" Target="../media/image49.emf"/><Relationship Id="rId15" Type="http://schemas.openxmlformats.org/officeDocument/2006/relationships/control" Target="../activeX/activeX57.xml"/><Relationship Id="rId23" Type="http://schemas.openxmlformats.org/officeDocument/2006/relationships/image" Target="../media/image55.emf"/><Relationship Id="rId28" Type="http://schemas.openxmlformats.org/officeDocument/2006/relationships/control" Target="../activeX/activeX64.xml"/><Relationship Id="rId10" Type="http://schemas.openxmlformats.org/officeDocument/2006/relationships/control" Target="../activeX/activeX52.xml"/><Relationship Id="rId19" Type="http://schemas.openxmlformats.org/officeDocument/2006/relationships/image" Target="../media/image53.emf"/><Relationship Id="rId31" Type="http://schemas.openxmlformats.org/officeDocument/2006/relationships/image" Target="../media/image59.emf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1.xml"/><Relationship Id="rId27" Type="http://schemas.openxmlformats.org/officeDocument/2006/relationships/image" Target="../media/image57.emf"/><Relationship Id="rId30" Type="http://schemas.openxmlformats.org/officeDocument/2006/relationships/control" Target="../activeX/activeX6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8.xml"/><Relationship Id="rId5" Type="http://schemas.openxmlformats.org/officeDocument/2006/relationships/image" Target="../media/image61.emf"/><Relationship Id="rId4" Type="http://schemas.openxmlformats.org/officeDocument/2006/relationships/control" Target="../activeX/activeX67.xml"/><Relationship Id="rId9" Type="http://schemas.openxmlformats.org/officeDocument/2006/relationships/image" Target="../media/image6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13" Type="http://schemas.openxmlformats.org/officeDocument/2006/relationships/image" Target="../media/image68.emf"/><Relationship Id="rId18" Type="http://schemas.openxmlformats.org/officeDocument/2006/relationships/control" Target="../activeX/activeX77.xml"/><Relationship Id="rId26" Type="http://schemas.openxmlformats.org/officeDocument/2006/relationships/control" Target="../activeX/activeX81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72.emf"/><Relationship Id="rId7" Type="http://schemas.openxmlformats.org/officeDocument/2006/relationships/image" Target="../media/image65.emf"/><Relationship Id="rId12" Type="http://schemas.openxmlformats.org/officeDocument/2006/relationships/control" Target="../activeX/activeX74.xml"/><Relationship Id="rId17" Type="http://schemas.openxmlformats.org/officeDocument/2006/relationships/image" Target="../media/image70.emf"/><Relationship Id="rId25" Type="http://schemas.openxmlformats.org/officeDocument/2006/relationships/image" Target="../media/image74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76.xml"/><Relationship Id="rId20" Type="http://schemas.openxmlformats.org/officeDocument/2006/relationships/control" Target="../activeX/activeX78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1.xml"/><Relationship Id="rId11" Type="http://schemas.openxmlformats.org/officeDocument/2006/relationships/image" Target="../media/image67.emf"/><Relationship Id="rId24" Type="http://schemas.openxmlformats.org/officeDocument/2006/relationships/control" Target="../activeX/activeX80.xml"/><Relationship Id="rId5" Type="http://schemas.openxmlformats.org/officeDocument/2006/relationships/image" Target="../media/image64.emf"/><Relationship Id="rId15" Type="http://schemas.openxmlformats.org/officeDocument/2006/relationships/image" Target="../media/image69.emf"/><Relationship Id="rId23" Type="http://schemas.openxmlformats.org/officeDocument/2006/relationships/image" Target="../media/image73.emf"/><Relationship Id="rId28" Type="http://schemas.openxmlformats.org/officeDocument/2006/relationships/control" Target="../activeX/activeX83.xml"/><Relationship Id="rId10" Type="http://schemas.openxmlformats.org/officeDocument/2006/relationships/control" Target="../activeX/activeX73.xml"/><Relationship Id="rId19" Type="http://schemas.openxmlformats.org/officeDocument/2006/relationships/image" Target="../media/image71.emf"/><Relationship Id="rId4" Type="http://schemas.openxmlformats.org/officeDocument/2006/relationships/control" Target="../activeX/activeX70.xml"/><Relationship Id="rId9" Type="http://schemas.openxmlformats.org/officeDocument/2006/relationships/image" Target="../media/image66.emf"/><Relationship Id="rId14" Type="http://schemas.openxmlformats.org/officeDocument/2006/relationships/control" Target="../activeX/activeX75.xml"/><Relationship Id="rId22" Type="http://schemas.openxmlformats.org/officeDocument/2006/relationships/control" Target="../activeX/activeX79.xml"/><Relationship Id="rId27" Type="http://schemas.openxmlformats.org/officeDocument/2006/relationships/control" Target="../activeX/activeX8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5.xml"/><Relationship Id="rId11" Type="http://schemas.openxmlformats.org/officeDocument/2006/relationships/image" Target="../media/image78.emf"/><Relationship Id="rId5" Type="http://schemas.openxmlformats.org/officeDocument/2006/relationships/image" Target="../media/image75.emf"/><Relationship Id="rId10" Type="http://schemas.openxmlformats.org/officeDocument/2006/relationships/control" Target="../activeX/activeX87.xml"/><Relationship Id="rId4" Type="http://schemas.openxmlformats.org/officeDocument/2006/relationships/control" Target="../activeX/activeX84.xml"/><Relationship Id="rId9" Type="http://schemas.openxmlformats.org/officeDocument/2006/relationships/image" Target="../media/image7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M9" sqref="M9"/>
    </sheetView>
  </sheetViews>
  <sheetFormatPr defaultRowHeight="15" x14ac:dyDescent="0.25"/>
  <cols>
    <col min="2" max="2" width="4.140625" customWidth="1"/>
  </cols>
  <sheetData>
    <row r="3" spans="2:11" x14ac:dyDescent="0.25">
      <c r="B3" s="82"/>
      <c r="C3" s="83"/>
      <c r="D3" s="83"/>
      <c r="E3" s="83"/>
      <c r="F3" s="83"/>
      <c r="G3" s="83"/>
      <c r="H3" s="83"/>
      <c r="I3" s="83"/>
      <c r="J3" s="83"/>
      <c r="K3" s="84"/>
    </row>
    <row r="4" spans="2:11" x14ac:dyDescent="0.25">
      <c r="B4" s="85"/>
      <c r="C4" s="86"/>
      <c r="D4" s="86"/>
      <c r="E4" s="86"/>
      <c r="F4" s="86"/>
      <c r="G4" s="86"/>
      <c r="H4" s="86"/>
      <c r="I4" s="86"/>
      <c r="J4" s="86"/>
      <c r="K4" s="87"/>
    </row>
    <row r="5" spans="2:11" x14ac:dyDescent="0.25">
      <c r="B5" s="85"/>
      <c r="C5" s="86"/>
      <c r="D5" s="86"/>
      <c r="E5" s="86"/>
      <c r="F5" s="86"/>
      <c r="G5" s="86"/>
      <c r="H5" s="86"/>
      <c r="I5" s="86"/>
      <c r="J5" s="86"/>
      <c r="K5" s="87"/>
    </row>
    <row r="6" spans="2:11" x14ac:dyDescent="0.25">
      <c r="B6" s="85"/>
      <c r="C6" s="86"/>
      <c r="D6" s="86"/>
      <c r="E6" s="86"/>
      <c r="F6" s="86"/>
      <c r="G6" s="86"/>
      <c r="H6" s="86"/>
      <c r="I6" s="86"/>
      <c r="J6" s="86"/>
      <c r="K6" s="87"/>
    </row>
    <row r="7" spans="2:11" x14ac:dyDescent="0.25">
      <c r="B7" s="85"/>
      <c r="C7" s="86"/>
      <c r="D7" s="86"/>
      <c r="E7" s="86"/>
      <c r="F7" s="86"/>
      <c r="G7" s="86"/>
      <c r="H7" s="86"/>
      <c r="I7" s="86"/>
      <c r="J7" s="86"/>
      <c r="K7" s="87"/>
    </row>
    <row r="8" spans="2:11" x14ac:dyDescent="0.25">
      <c r="B8" s="85"/>
      <c r="C8" s="86"/>
      <c r="D8" s="86"/>
      <c r="E8" s="86"/>
      <c r="F8" s="86"/>
      <c r="G8" s="86"/>
      <c r="H8" s="86"/>
      <c r="I8" s="86"/>
      <c r="J8" s="86"/>
      <c r="K8" s="87"/>
    </row>
    <row r="9" spans="2:11" x14ac:dyDescent="0.25">
      <c r="B9" s="85"/>
      <c r="C9" s="86"/>
      <c r="D9" s="86"/>
      <c r="E9" s="86"/>
      <c r="F9" s="86"/>
      <c r="G9" s="86"/>
      <c r="H9" s="86"/>
      <c r="I9" s="86"/>
      <c r="J9" s="86"/>
      <c r="K9" s="87"/>
    </row>
    <row r="10" spans="2:11" x14ac:dyDescent="0.25">
      <c r="B10" s="85"/>
      <c r="C10" s="86"/>
      <c r="D10" s="86"/>
      <c r="E10" s="86"/>
      <c r="F10" s="86"/>
      <c r="G10" s="86"/>
      <c r="H10" s="86"/>
      <c r="I10" s="86"/>
      <c r="J10" s="86"/>
      <c r="K10" s="87"/>
    </row>
    <row r="11" spans="2:11" x14ac:dyDescent="0.25">
      <c r="B11" s="85"/>
      <c r="C11" s="86"/>
      <c r="D11" s="86"/>
      <c r="E11" s="86"/>
      <c r="F11" s="86"/>
      <c r="G11" s="86"/>
      <c r="H11" s="86"/>
      <c r="I11" s="86"/>
      <c r="J11" s="86"/>
      <c r="K11" s="87"/>
    </row>
    <row r="12" spans="2:11" x14ac:dyDescent="0.25">
      <c r="B12" s="85"/>
      <c r="C12" s="86"/>
      <c r="D12" s="86"/>
      <c r="E12" s="86"/>
      <c r="F12" s="86"/>
      <c r="G12" s="86"/>
      <c r="H12" s="86"/>
      <c r="I12" s="86"/>
      <c r="J12" s="86"/>
      <c r="K12" s="87"/>
    </row>
    <row r="13" spans="2:11" x14ac:dyDescent="0.25">
      <c r="B13" s="85"/>
      <c r="C13" s="86"/>
      <c r="D13" s="86"/>
      <c r="E13" s="86"/>
      <c r="F13" s="86"/>
      <c r="G13" s="86"/>
      <c r="H13" s="86"/>
      <c r="I13" s="86"/>
      <c r="J13" s="86"/>
      <c r="K13" s="87"/>
    </row>
    <row r="14" spans="2:11" x14ac:dyDescent="0.25">
      <c r="B14" s="88"/>
      <c r="C14" s="89"/>
      <c r="D14" s="89"/>
      <c r="E14" s="89"/>
      <c r="F14" s="89"/>
      <c r="G14" s="89"/>
      <c r="H14" s="89"/>
      <c r="I14" s="89"/>
      <c r="J14" s="89"/>
      <c r="K14" s="90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9" r:id="rId4" name="cmdQAProcess">
          <controlPr defaultSize="0" autoLine="0" r:id="rId5">
            <anchor moveWithCells="1">
              <from>
                <xdr:col>8</xdr:col>
                <xdr:colOff>38100</xdr:colOff>
                <xdr:row>8</xdr:row>
                <xdr:rowOff>0</xdr:rowOff>
              </from>
              <to>
                <xdr:col>10</xdr:col>
                <xdr:colOff>190500</xdr:colOff>
                <xdr:row>10</xdr:row>
                <xdr:rowOff>28575</xdr:rowOff>
              </to>
            </anchor>
          </controlPr>
        </control>
      </mc:Choice>
      <mc:Fallback>
        <control shapeId="7179" r:id="rId4" name="cmdQAProcess"/>
      </mc:Fallback>
    </mc:AlternateContent>
    <mc:AlternateContent xmlns:mc="http://schemas.openxmlformats.org/markup-compatibility/2006">
      <mc:Choice Requires="x14">
        <control shapeId="7178" r:id="rId6" name="cmdQuality">
          <controlPr defaultSize="0" autoLine="0" r:id="rId7">
            <anchor moveWithCells="1">
              <from>
                <xdr:col>8</xdr:col>
                <xdr:colOff>38100</xdr:colOff>
                <xdr:row>5</xdr:row>
                <xdr:rowOff>66675</xdr:rowOff>
              </from>
              <to>
                <xdr:col>10</xdr:col>
                <xdr:colOff>190500</xdr:colOff>
                <xdr:row>7</xdr:row>
                <xdr:rowOff>95250</xdr:rowOff>
              </to>
            </anchor>
          </controlPr>
        </control>
      </mc:Choice>
      <mc:Fallback>
        <control shapeId="7178" r:id="rId6" name="cmdQuality"/>
      </mc:Fallback>
    </mc:AlternateContent>
    <mc:AlternateContent xmlns:mc="http://schemas.openxmlformats.org/markup-compatibility/2006">
      <mc:Choice Requires="x14">
        <control shapeId="7177" r:id="rId8" name="cmdContacts">
          <controlPr defaultSize="0" autoLine="0" r:id="rId9">
            <anchor moveWithCells="1">
              <from>
                <xdr:col>2</xdr:col>
                <xdr:colOff>0</xdr:colOff>
                <xdr:row>2</xdr:row>
                <xdr:rowOff>123825</xdr:rowOff>
              </from>
              <to>
                <xdr:col>4</xdr:col>
                <xdr:colOff>152400</xdr:colOff>
                <xdr:row>4</xdr:row>
                <xdr:rowOff>161925</xdr:rowOff>
              </to>
            </anchor>
          </controlPr>
        </control>
      </mc:Choice>
      <mc:Fallback>
        <control shapeId="7177" r:id="rId8" name="cmdContacts"/>
      </mc:Fallback>
    </mc:AlternateContent>
    <mc:AlternateContent xmlns:mc="http://schemas.openxmlformats.org/markup-compatibility/2006">
      <mc:Choice Requires="x14">
        <control shapeId="7175" r:id="rId10" name="cmdDPF">
          <controlPr defaultSize="0" autoLine="0" r:id="rId11">
            <anchor moveWithCells="1">
              <from>
                <xdr:col>8</xdr:col>
                <xdr:colOff>38100</xdr:colOff>
                <xdr:row>2</xdr:row>
                <xdr:rowOff>123825</xdr:rowOff>
              </from>
              <to>
                <xdr:col>10</xdr:col>
                <xdr:colOff>190500</xdr:colOff>
                <xdr:row>4</xdr:row>
                <xdr:rowOff>152400</xdr:rowOff>
              </to>
            </anchor>
          </controlPr>
        </control>
      </mc:Choice>
      <mc:Fallback>
        <control shapeId="7175" r:id="rId10" name="cmdDPF"/>
      </mc:Fallback>
    </mc:AlternateContent>
    <mc:AlternateContent xmlns:mc="http://schemas.openxmlformats.org/markup-compatibility/2006">
      <mc:Choice Requires="x14">
        <control shapeId="7174" r:id="rId12" name="cmdECD">
          <controlPr defaultSize="0" autoLine="0" r:id="rId13">
            <anchor moveWithCells="1">
              <from>
                <xdr:col>5</xdr:col>
                <xdr:colOff>9525</xdr:colOff>
                <xdr:row>10</xdr:row>
                <xdr:rowOff>104775</xdr:rowOff>
              </from>
              <to>
                <xdr:col>7</xdr:col>
                <xdr:colOff>161925</xdr:colOff>
                <xdr:row>12</xdr:row>
                <xdr:rowOff>142875</xdr:rowOff>
              </to>
            </anchor>
          </controlPr>
        </control>
      </mc:Choice>
      <mc:Fallback>
        <control shapeId="7174" r:id="rId12" name="cmdECD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4</xdr:col>
                <xdr:colOff>161925</xdr:colOff>
                <xdr:row>7</xdr:row>
                <xdr:rowOff>95250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0" r:id="rId16" name="cmdLocation">
          <controlPr defaultSize="0" autoLine="0" r:id="rId17">
            <anchor moveWithCells="1">
              <from>
                <xdr:col>2</xdr:col>
                <xdr:colOff>9525</xdr:colOff>
                <xdr:row>8</xdr:row>
                <xdr:rowOff>0</xdr:rowOff>
              </from>
              <to>
                <xdr:col>4</xdr:col>
                <xdr:colOff>161925</xdr:colOff>
                <xdr:row>10</xdr:row>
                <xdr:rowOff>28575</xdr:rowOff>
              </to>
            </anchor>
          </controlPr>
        </control>
      </mc:Choice>
      <mc:Fallback>
        <control shapeId="7170" r:id="rId16" name="cmdLocation"/>
      </mc:Fallback>
    </mc:AlternateContent>
    <mc:AlternateContent xmlns:mc="http://schemas.openxmlformats.org/markup-compatibility/2006">
      <mc:Choice Requires="x14">
        <control shapeId="7171" r:id="rId18" name="cmdVehicle">
          <controlPr defaultSize="0" autoLine="0" r:id="rId19">
            <anchor moveWithCells="1">
              <from>
                <xdr:col>5</xdr:col>
                <xdr:colOff>9525</xdr:colOff>
                <xdr:row>2</xdr:row>
                <xdr:rowOff>104775</xdr:rowOff>
              </from>
              <to>
                <xdr:col>7</xdr:col>
                <xdr:colOff>161925</xdr:colOff>
                <xdr:row>4</xdr:row>
                <xdr:rowOff>133350</xdr:rowOff>
              </to>
            </anchor>
          </controlPr>
        </control>
      </mc:Choice>
      <mc:Fallback>
        <control shapeId="7171" r:id="rId18" name="cmdVehicle"/>
      </mc:Fallback>
    </mc:AlternateContent>
    <mc:AlternateContent xmlns:mc="http://schemas.openxmlformats.org/markup-compatibility/2006">
      <mc:Choice Requires="x14">
        <control shapeId="7172" r:id="rId20" name="cmdEngine">
          <controlPr defaultSize="0" autoLine="0" r:id="rId21">
            <anchor moveWithCells="1">
              <from>
                <xdr:col>5</xdr:col>
                <xdr:colOff>9525</xdr:colOff>
                <xdr:row>5</xdr:row>
                <xdr:rowOff>47625</xdr:rowOff>
              </from>
              <to>
                <xdr:col>7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7172" r:id="rId20" name="cmdEngine"/>
      </mc:Fallback>
    </mc:AlternateContent>
    <mc:AlternateContent xmlns:mc="http://schemas.openxmlformats.org/markup-compatibility/2006">
      <mc:Choice Requires="x14">
        <control shapeId="7173" r:id="rId22" name="cmdManufacturer">
          <controlPr defaultSize="0" autoLine="0" r:id="rId23">
            <anchor moveWithCells="1">
              <from>
                <xdr:col>5</xdr:col>
                <xdr:colOff>9525</xdr:colOff>
                <xdr:row>7</xdr:row>
                <xdr:rowOff>171450</xdr:rowOff>
              </from>
              <to>
                <xdr:col>7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7173" r:id="rId22" name="cmdManufacturer"/>
      </mc:Fallback>
    </mc:AlternateContent>
    <mc:AlternateContent xmlns:mc="http://schemas.openxmlformats.org/markup-compatibility/2006">
      <mc:Choice Requires="x14">
        <control shapeId="7180" r:id="rId24" name="cmdReports">
          <controlPr defaultSize="0" autoLine="0" r:id="rId25">
            <anchor moveWithCells="1">
              <from>
                <xdr:col>8</xdr:col>
                <xdr:colOff>47625</xdr:colOff>
                <xdr:row>10</xdr:row>
                <xdr:rowOff>95250</xdr:rowOff>
              </from>
              <to>
                <xdr:col>10</xdr:col>
                <xdr:colOff>200025</xdr:colOff>
                <xdr:row>12</xdr:row>
                <xdr:rowOff>123825</xdr:rowOff>
              </to>
            </anchor>
          </controlPr>
        </control>
      </mc:Choice>
      <mc:Fallback>
        <control shapeId="7180" r:id="rId24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1"/>
  <sheetViews>
    <sheetView showGridLines="0" workbookViewId="0">
      <selection activeCell="C5" sqref="C5"/>
    </sheetView>
  </sheetViews>
  <sheetFormatPr defaultRowHeight="30" customHeight="1" x14ac:dyDescent="0.25"/>
  <cols>
    <col min="2" max="2" width="30.85546875" style="19" bestFit="1" customWidth="1"/>
    <col min="3" max="3" width="47.5703125" style="18" customWidth="1"/>
    <col min="6" max="6" width="24.140625" customWidth="1"/>
  </cols>
  <sheetData>
    <row r="1" spans="1:6" ht="30" customHeight="1" x14ac:dyDescent="0.25">
      <c r="A1" s="24"/>
      <c r="C1" s="17"/>
    </row>
    <row r="2" spans="1:6" ht="30" customHeight="1" x14ac:dyDescent="0.25">
      <c r="B2" s="20" t="s">
        <v>91</v>
      </c>
      <c r="C2" s="21"/>
    </row>
    <row r="3" spans="1:6" ht="30" customHeight="1" x14ac:dyDescent="0.25">
      <c r="B3" s="20" t="s">
        <v>92</v>
      </c>
      <c r="C3" s="25"/>
      <c r="F3" s="91"/>
    </row>
    <row r="4" spans="1:6" ht="30" customHeight="1" x14ac:dyDescent="0.25">
      <c r="B4" s="20" t="s">
        <v>93</v>
      </c>
      <c r="C4" s="23"/>
      <c r="F4" s="92"/>
    </row>
    <row r="5" spans="1:6" ht="30" customHeight="1" x14ac:dyDescent="0.25">
      <c r="B5" s="20" t="s">
        <v>94</v>
      </c>
      <c r="C5" s="23"/>
    </row>
    <row r="6" spans="1:6" ht="30" customHeight="1" x14ac:dyDescent="0.25">
      <c r="B6" s="20" t="s">
        <v>95</v>
      </c>
      <c r="C6" s="23"/>
    </row>
    <row r="7" spans="1:6" ht="30" customHeight="1" x14ac:dyDescent="0.25">
      <c r="B7" s="20" t="s">
        <v>96</v>
      </c>
      <c r="C7" s="23"/>
    </row>
    <row r="8" spans="1:6" ht="30" customHeight="1" x14ac:dyDescent="0.25">
      <c r="B8" s="20" t="s">
        <v>97</v>
      </c>
      <c r="C8" s="23"/>
    </row>
    <row r="9" spans="1:6" ht="30" customHeight="1" x14ac:dyDescent="0.25">
      <c r="B9" s="20" t="s">
        <v>98</v>
      </c>
      <c r="C9" s="23"/>
    </row>
    <row r="10" spans="1:6" ht="30" customHeight="1" x14ac:dyDescent="0.25">
      <c r="B10" s="20" t="s">
        <v>99</v>
      </c>
      <c r="C10" s="23"/>
    </row>
    <row r="11" spans="1:6" ht="30" customHeight="1" x14ac:dyDescent="0.25">
      <c r="B11" s="20" t="s">
        <v>100</v>
      </c>
      <c r="C11" s="23"/>
    </row>
  </sheetData>
  <sheetProtection sheet="1" selectLockedCells="1"/>
  <protectedRanges>
    <protectedRange sqref="F4" name="CompanyNotes"/>
    <protectedRange sqref="C2:C11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5</xdr:col>
                <xdr:colOff>28575</xdr:colOff>
                <xdr:row>4</xdr:row>
                <xdr:rowOff>19050</xdr:rowOff>
              </from>
              <to>
                <xdr:col>5</xdr:col>
                <xdr:colOff>1400175</xdr:colOff>
                <xdr:row>4</xdr:row>
                <xdr:rowOff>342900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2762250</xdr:colOff>
                <xdr:row>7</xdr:row>
                <xdr:rowOff>323850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371475</xdr:rowOff>
              </from>
              <to>
                <xdr:col>2</xdr:col>
                <xdr:colOff>2762250</xdr:colOff>
                <xdr:row>2</xdr:row>
                <xdr:rowOff>314325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2"/>
  <sheetViews>
    <sheetView showGridLines="0" workbookViewId="0">
      <selection activeCell="B7" sqref="B7"/>
    </sheetView>
  </sheetViews>
  <sheetFormatPr defaultRowHeight="30" customHeight="1" x14ac:dyDescent="0.25"/>
  <cols>
    <col min="1" max="1" width="30.85546875" bestFit="1" customWidth="1"/>
    <col min="2" max="2" width="45.5703125" style="18" customWidth="1"/>
    <col min="4" max="4" width="26.5703125" customWidth="1"/>
  </cols>
  <sheetData>
    <row r="2" spans="1:4" ht="30" customHeight="1" x14ac:dyDescent="0.25">
      <c r="A2" s="7" t="s">
        <v>78</v>
      </c>
      <c r="B2" s="21"/>
    </row>
    <row r="3" spans="1:4" ht="30" customHeight="1" x14ac:dyDescent="0.25">
      <c r="A3" s="7" t="s">
        <v>70</v>
      </c>
      <c r="B3" s="25">
        <v>28</v>
      </c>
    </row>
    <row r="4" spans="1:4" ht="30" customHeight="1" x14ac:dyDescent="0.25">
      <c r="A4" s="7" t="s">
        <v>72</v>
      </c>
      <c r="B4" s="22"/>
      <c r="D4" s="92"/>
    </row>
    <row r="5" spans="1:4" ht="30" customHeight="1" x14ac:dyDescent="0.25">
      <c r="A5" s="7" t="s">
        <v>71</v>
      </c>
      <c r="B5" s="23"/>
    </row>
    <row r="6" spans="1:4" ht="30" customHeight="1" x14ac:dyDescent="0.25">
      <c r="A6" s="7" t="s">
        <v>6</v>
      </c>
      <c r="B6" s="23"/>
    </row>
    <row r="7" spans="1:4" ht="30" customHeight="1" x14ac:dyDescent="0.25">
      <c r="A7" s="7" t="s">
        <v>69</v>
      </c>
      <c r="B7" s="23"/>
    </row>
    <row r="8" spans="1:4" ht="30" customHeight="1" x14ac:dyDescent="0.25">
      <c r="A8" s="7" t="s">
        <v>7</v>
      </c>
      <c r="B8" s="23"/>
    </row>
    <row r="9" spans="1:4" ht="30" customHeight="1" x14ac:dyDescent="0.25">
      <c r="A9" s="7" t="s">
        <v>8</v>
      </c>
      <c r="B9" s="23"/>
    </row>
    <row r="10" spans="1:4" ht="30" customHeight="1" x14ac:dyDescent="0.25">
      <c r="A10" s="7" t="s">
        <v>9</v>
      </c>
      <c r="B10" s="23"/>
    </row>
    <row r="11" spans="1:4" ht="30" customHeight="1" x14ac:dyDescent="0.25">
      <c r="A11" s="7"/>
      <c r="B11" s="17"/>
    </row>
    <row r="12" spans="1:4" ht="30" customHeight="1" x14ac:dyDescent="0.25">
      <c r="A12" s="7"/>
      <c r="B12" s="17"/>
    </row>
  </sheetData>
  <sheetProtection sheet="1" selectLockedCells="1"/>
  <protectedRanges>
    <protectedRange sqref="D4" name="CompanyLocationNote"/>
    <protectedRange sqref="B2:B10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8</xdr:row>
                <xdr:rowOff>28575</xdr:rowOff>
              </from>
              <to>
                <xdr:col>2</xdr:col>
                <xdr:colOff>47625</xdr:colOff>
                <xdr:row>9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B2" sqref="B2"/>
    </sheetView>
  </sheetViews>
  <sheetFormatPr defaultRowHeight="30" customHeight="1" x14ac:dyDescent="0.25"/>
  <cols>
    <col min="1" max="1" width="30.85546875" style="7" bestFit="1" customWidth="1"/>
    <col min="2" max="2" width="46" style="18" customWidth="1"/>
    <col min="4" max="4" width="35.5703125" customWidth="1"/>
  </cols>
  <sheetData>
    <row r="1" spans="1:7" ht="30" customHeight="1" x14ac:dyDescent="0.25">
      <c r="B1" s="17"/>
    </row>
    <row r="2" spans="1:7" ht="30" customHeight="1" x14ac:dyDescent="0.25">
      <c r="A2" s="7" t="s">
        <v>78</v>
      </c>
      <c r="B2" s="21"/>
    </row>
    <row r="3" spans="1:7" ht="30" customHeight="1" x14ac:dyDescent="0.25">
      <c r="A3" s="7" t="s">
        <v>89</v>
      </c>
      <c r="B3" s="25">
        <v>28</v>
      </c>
      <c r="D3" s="30" t="s">
        <v>167</v>
      </c>
      <c r="E3" s="29"/>
      <c r="F3" s="29"/>
      <c r="G3" s="29"/>
    </row>
    <row r="4" spans="1:7" ht="30" customHeight="1" x14ac:dyDescent="0.25">
      <c r="A4" s="7" t="s">
        <v>90</v>
      </c>
      <c r="B4" s="22"/>
    </row>
    <row r="5" spans="1:7" ht="30" customHeight="1" x14ac:dyDescent="0.25">
      <c r="A5" s="7" t="s">
        <v>11</v>
      </c>
      <c r="B5" s="23"/>
    </row>
    <row r="6" spans="1:7" ht="30" customHeight="1" x14ac:dyDescent="0.25">
      <c r="A6" s="7" t="s">
        <v>12</v>
      </c>
      <c r="B6" s="23"/>
    </row>
    <row r="7" spans="1:7" ht="30" customHeight="1" x14ac:dyDescent="0.25">
      <c r="A7" s="7" t="s">
        <v>6</v>
      </c>
      <c r="B7" s="23"/>
    </row>
    <row r="8" spans="1:7" ht="30" customHeight="1" x14ac:dyDescent="0.25">
      <c r="A8" s="7" t="s">
        <v>69</v>
      </c>
      <c r="B8" s="23"/>
    </row>
    <row r="9" spans="1:7" ht="30" customHeight="1" x14ac:dyDescent="0.25">
      <c r="A9" s="7" t="s">
        <v>7</v>
      </c>
      <c r="B9" s="23"/>
    </row>
    <row r="10" spans="1:7" ht="30" customHeight="1" x14ac:dyDescent="0.25">
      <c r="A10" s="7" t="s">
        <v>8</v>
      </c>
      <c r="B10" s="23"/>
    </row>
    <row r="11" spans="1:7" ht="30" customHeight="1" x14ac:dyDescent="0.25">
      <c r="A11" s="7" t="s">
        <v>9</v>
      </c>
      <c r="B11" s="23"/>
    </row>
    <row r="12" spans="1:7" ht="30" customHeight="1" x14ac:dyDescent="0.25">
      <c r="A12" s="7" t="s">
        <v>87</v>
      </c>
      <c r="B12" s="28"/>
    </row>
    <row r="13" spans="1:7" ht="30" customHeight="1" x14ac:dyDescent="0.25">
      <c r="A13" s="7" t="s">
        <v>88</v>
      </c>
      <c r="B13" s="23"/>
    </row>
    <row r="14" spans="1:7" ht="30" customHeight="1" x14ac:dyDescent="0.25">
      <c r="A14" s="7" t="s">
        <v>68</v>
      </c>
      <c r="B14" s="23"/>
    </row>
  </sheetData>
  <sheetProtection sheet="1" selectLockedCells="1"/>
  <protectedRanges>
    <protectedRange sqref="D3" name="ContactsNote"/>
    <protectedRange sqref="B2:B14" name="ContactsMain"/>
  </protectedRanges>
  <dataConsolidate/>
  <dataValidations disablePrompts="1"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685800</xdr:colOff>
                <xdr:row>13</xdr:row>
                <xdr:rowOff>295275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2"/>
  <sheetViews>
    <sheetView showGridLines="0" workbookViewId="0">
      <selection activeCell="B6" sqref="B6"/>
    </sheetView>
  </sheetViews>
  <sheetFormatPr defaultRowHeight="30" customHeight="1" x14ac:dyDescent="0.25"/>
  <cols>
    <col min="1" max="1" width="30.85546875" bestFit="1" customWidth="1"/>
    <col min="2" max="2" width="46" style="18" customWidth="1"/>
    <col min="4" max="4" width="20.140625" customWidth="1"/>
  </cols>
  <sheetData>
    <row r="1" spans="1:4" ht="30" customHeight="1" x14ac:dyDescent="0.25">
      <c r="B1" s="17"/>
    </row>
    <row r="2" spans="1:4" ht="30" customHeight="1" x14ac:dyDescent="0.25">
      <c r="A2" s="7" t="s">
        <v>78</v>
      </c>
      <c r="B2" s="21"/>
    </row>
    <row r="3" spans="1:4" ht="30" customHeight="1" x14ac:dyDescent="0.25">
      <c r="A3" s="7" t="s">
        <v>42</v>
      </c>
      <c r="B3" s="23"/>
      <c r="D3" s="92"/>
    </row>
    <row r="4" spans="1:4" ht="30" customHeight="1" x14ac:dyDescent="0.25">
      <c r="A4" s="7" t="s">
        <v>73</v>
      </c>
      <c r="B4" s="25">
        <v>28</v>
      </c>
    </row>
    <row r="5" spans="1:4" ht="30" customHeight="1" x14ac:dyDescent="0.25">
      <c r="A5" s="7" t="s">
        <v>25</v>
      </c>
      <c r="B5" s="22"/>
    </row>
    <row r="6" spans="1:4" ht="30" customHeight="1" x14ac:dyDescent="0.25">
      <c r="A6" s="7" t="s">
        <v>74</v>
      </c>
      <c r="B6" s="23"/>
    </row>
    <row r="7" spans="1:4" ht="30" customHeight="1" x14ac:dyDescent="0.25">
      <c r="A7" s="7" t="s">
        <v>75</v>
      </c>
      <c r="B7" s="23"/>
    </row>
    <row r="8" spans="1:4" ht="30" customHeight="1" x14ac:dyDescent="0.25">
      <c r="A8" s="7" t="s">
        <v>28</v>
      </c>
      <c r="B8" s="23"/>
    </row>
    <row r="9" spans="1:4" ht="30" customHeight="1" x14ac:dyDescent="0.25">
      <c r="A9" s="7" t="s">
        <v>29</v>
      </c>
      <c r="B9" s="23"/>
    </row>
    <row r="10" spans="1:4" ht="30" customHeight="1" x14ac:dyDescent="0.25">
      <c r="A10" s="7"/>
      <c r="B10" s="17"/>
    </row>
    <row r="11" spans="1:4" ht="30" customHeight="1" x14ac:dyDescent="0.25">
      <c r="A11" s="7"/>
      <c r="B11" s="17"/>
    </row>
    <row r="12" spans="1:4" ht="30" customHeight="1" x14ac:dyDescent="0.25">
      <c r="A12" s="7"/>
      <c r="B12" s="17"/>
    </row>
  </sheetData>
  <sheetProtection sheet="1" selectLockedCells="1"/>
  <protectedRanges>
    <protectedRange sqref="B6:B9" name="VehicleMain2"/>
    <protectedRange sqref="D3" name="VehicleNote"/>
    <protectedRange sqref="B2:B4" name="VehicleMain1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4</xdr:col>
                <xdr:colOff>28575</xdr:colOff>
                <xdr:row>3</xdr:row>
                <xdr:rowOff>314325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9525</xdr:colOff>
                <xdr:row>3</xdr:row>
                <xdr:rowOff>57150</xdr:rowOff>
              </from>
              <to>
                <xdr:col>2</xdr:col>
                <xdr:colOff>19050</xdr:colOff>
                <xdr:row>3</xdr:row>
                <xdr:rowOff>371475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4</xdr:col>
                <xdr:colOff>28575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2</xdr:row>
                <xdr:rowOff>38100</xdr:rowOff>
              </from>
              <to>
                <xdr:col>2</xdr:col>
                <xdr:colOff>19050</xdr:colOff>
                <xdr:row>3</xdr:row>
                <xdr:rowOff>19050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tabSelected="1" workbookViewId="0">
      <selection activeCell="B8" sqref="B8"/>
    </sheetView>
  </sheetViews>
  <sheetFormatPr defaultRowHeight="30" customHeight="1" x14ac:dyDescent="0.25"/>
  <cols>
    <col min="1" max="1" width="13.28515625" customWidth="1"/>
    <col min="2" max="2" width="23.140625" style="18" customWidth="1"/>
    <col min="3" max="3" width="6.5703125" customWidth="1"/>
    <col min="4" max="4" width="11.5703125" customWidth="1"/>
  </cols>
  <sheetData>
    <row r="1" spans="1:4" ht="30" customHeight="1" x14ac:dyDescent="0.25">
      <c r="B1" s="17"/>
    </row>
    <row r="2" spans="1:4" ht="30" customHeight="1" x14ac:dyDescent="0.25">
      <c r="A2" s="7" t="s">
        <v>78</v>
      </c>
      <c r="B2" s="21"/>
    </row>
    <row r="3" spans="1:4" ht="30" customHeight="1" x14ac:dyDescent="0.25">
      <c r="A3" s="7" t="s">
        <v>42</v>
      </c>
      <c r="B3" s="25"/>
      <c r="D3" s="92" t="s">
        <v>135</v>
      </c>
    </row>
    <row r="4" spans="1:4" ht="30" customHeight="1" x14ac:dyDescent="0.25">
      <c r="A4" s="7" t="s">
        <v>79</v>
      </c>
      <c r="B4" s="25"/>
    </row>
    <row r="5" spans="1:4" ht="30" customHeight="1" x14ac:dyDescent="0.25">
      <c r="A5" s="7" t="s">
        <v>80</v>
      </c>
      <c r="B5" s="22">
        <v>5</v>
      </c>
    </row>
    <row r="6" spans="1:4" ht="30" customHeight="1" x14ac:dyDescent="0.25">
      <c r="A6" s="7" t="s">
        <v>74</v>
      </c>
      <c r="B6" s="23"/>
    </row>
    <row r="7" spans="1:4" ht="30" customHeight="1" x14ac:dyDescent="0.25">
      <c r="A7" s="7" t="s">
        <v>28</v>
      </c>
      <c r="B7" s="23" t="s">
        <v>229</v>
      </c>
    </row>
    <row r="8" spans="1:4" ht="30" customHeight="1" x14ac:dyDescent="0.25">
      <c r="A8" s="7" t="s">
        <v>29</v>
      </c>
      <c r="B8" s="27" t="s">
        <v>230</v>
      </c>
    </row>
    <row r="9" spans="1:4" ht="30" customHeight="1" x14ac:dyDescent="0.25">
      <c r="A9" s="7"/>
      <c r="B9" s="17">
        <v>2019</v>
      </c>
    </row>
    <row r="10" spans="1:4" ht="30" customHeight="1" x14ac:dyDescent="0.25">
      <c r="A10" s="7"/>
      <c r="B10" s="17"/>
    </row>
    <row r="11" spans="1:4" ht="30" customHeight="1" x14ac:dyDescent="0.25">
      <c r="A11" s="7"/>
      <c r="B11" s="17"/>
    </row>
  </sheetData>
  <sheetProtection selectLockedCells="1"/>
  <protectedRanges>
    <protectedRange sqref="D3" name="EngineNote"/>
    <protectedRange sqref="B2:B4" name="EngineMain1"/>
    <protectedRange sqref="B6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428625</xdr:colOff>
                <xdr:row>3</xdr:row>
                <xdr:rowOff>76200</xdr:rowOff>
              </from>
              <to>
                <xdr:col>3</xdr:col>
                <xdr:colOff>676275</xdr:colOff>
                <xdr:row>4</xdr:row>
                <xdr:rowOff>19050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9525</xdr:colOff>
                <xdr:row>3</xdr:row>
                <xdr:rowOff>9525</xdr:rowOff>
              </from>
              <to>
                <xdr:col>2</xdr:col>
                <xdr:colOff>0</xdr:colOff>
                <xdr:row>3</xdr:row>
                <xdr:rowOff>371475</xdr:rowOff>
              </to>
            </anchor>
          </controlPr>
        </control>
      </mc:Choice>
      <mc:Fallback>
        <control shapeId="13316" r:id="rId12" name="cbEngi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76</v>
      </c>
      <c r="B2" s="21"/>
    </row>
    <row r="3" spans="1:2" ht="30" customHeight="1" x14ac:dyDescent="0.25">
      <c r="A3" s="9" t="s">
        <v>77</v>
      </c>
      <c r="B3" s="22"/>
    </row>
    <row r="4" spans="1:2" ht="30" customHeight="1" x14ac:dyDescent="0.25">
      <c r="A4" s="7" t="s">
        <v>42</v>
      </c>
      <c r="B4" s="23"/>
    </row>
    <row r="5" spans="1:2" ht="30" customHeight="1" x14ac:dyDescent="0.25">
      <c r="A5" s="7"/>
      <c r="B5" s="17"/>
    </row>
    <row r="6" spans="1:2" ht="30" customHeight="1" x14ac:dyDescent="0.25">
      <c r="A6" s="7"/>
      <c r="B6" s="17"/>
    </row>
    <row r="7" spans="1:2" ht="30" customHeight="1" x14ac:dyDescent="0.25">
      <c r="A7" s="7"/>
      <c r="B7" s="17"/>
    </row>
    <row r="8" spans="1:2" ht="30" customHeight="1" x14ac:dyDescent="0.25">
      <c r="A8" s="7"/>
      <c r="B8" s="17"/>
    </row>
    <row r="9" spans="1:2" ht="30" customHeight="1" x14ac:dyDescent="0.25">
      <c r="A9" s="7"/>
      <c r="B9" s="17"/>
    </row>
    <row r="10" spans="1:2" ht="30" customHeight="1" x14ac:dyDescent="0.25">
      <c r="A10" s="7"/>
      <c r="B10" s="17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14"/>
  <sheetViews>
    <sheetView showGridLines="0" workbookViewId="0">
      <selection activeCell="B14" sqref="B14"/>
    </sheetView>
  </sheetViews>
  <sheetFormatPr defaultRowHeight="30" customHeight="1" x14ac:dyDescent="0.25"/>
  <cols>
    <col min="1" max="1" width="30.85546875" bestFit="1" customWidth="1"/>
    <col min="2" max="2" width="46.5703125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78</v>
      </c>
      <c r="B2" s="21"/>
    </row>
    <row r="3" spans="1:2" ht="30" customHeight="1" x14ac:dyDescent="0.25">
      <c r="A3" s="5" t="s">
        <v>81</v>
      </c>
      <c r="B3" s="25">
        <v>28</v>
      </c>
    </row>
    <row r="4" spans="1:2" ht="30" customHeight="1" x14ac:dyDescent="0.25">
      <c r="A4" s="9" t="s">
        <v>82</v>
      </c>
      <c r="B4" s="22"/>
    </row>
    <row r="5" spans="1:2" ht="30" customHeight="1" x14ac:dyDescent="0.25">
      <c r="A5" s="7" t="s">
        <v>83</v>
      </c>
      <c r="B5" s="23"/>
    </row>
    <row r="6" spans="1:2" ht="30" customHeight="1" x14ac:dyDescent="0.25">
      <c r="A6" s="7" t="s">
        <v>42</v>
      </c>
      <c r="B6" s="23"/>
    </row>
    <row r="7" spans="1:2" ht="30" customHeight="1" x14ac:dyDescent="0.25">
      <c r="A7" s="7" t="s">
        <v>84</v>
      </c>
      <c r="B7" s="23"/>
    </row>
    <row r="8" spans="1:2" ht="30" customHeight="1" x14ac:dyDescent="0.25">
      <c r="A8" s="7" t="s">
        <v>85</v>
      </c>
      <c r="B8" s="23"/>
    </row>
    <row r="9" spans="1:2" ht="30" customHeight="1" x14ac:dyDescent="0.25">
      <c r="A9" s="7" t="s">
        <v>40</v>
      </c>
      <c r="B9" s="23"/>
    </row>
    <row r="10" spans="1:2" ht="30" customHeight="1" x14ac:dyDescent="0.25">
      <c r="A10" s="7" t="s">
        <v>86</v>
      </c>
      <c r="B10" s="23"/>
    </row>
    <row r="11" spans="1:2" ht="30" customHeight="1" x14ac:dyDescent="0.25">
      <c r="A11" s="7" t="s">
        <v>44</v>
      </c>
      <c r="B11" s="23"/>
    </row>
    <row r="12" spans="1:2" ht="30" customHeight="1" x14ac:dyDescent="0.25">
      <c r="A12" s="7" t="s">
        <v>45</v>
      </c>
      <c r="B12" s="26"/>
    </row>
    <row r="13" spans="1:2" ht="30" customHeight="1" x14ac:dyDescent="0.25">
      <c r="A13" s="7" t="s">
        <v>46</v>
      </c>
      <c r="B13" s="26"/>
    </row>
    <row r="14" spans="1:2" ht="30" customHeight="1" x14ac:dyDescent="0.25">
      <c r="A14" s="7" t="s">
        <v>47</v>
      </c>
      <c r="B14" s="26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Menu">
          <controlPr autoLine="0" r:id="rId5">
            <anchor moveWithCells="1">
              <from>
                <xdr:col>3</xdr:col>
                <xdr:colOff>581025</xdr:colOff>
                <xdr:row>2</xdr:row>
                <xdr:rowOff>152400</xdr:rowOff>
              </from>
              <to>
                <xdr:col>6</xdr:col>
                <xdr:colOff>133350</xdr:colOff>
                <xdr:row>3</xdr:row>
                <xdr:rowOff>66675</xdr:rowOff>
              </to>
            </anchor>
          </controlPr>
        </control>
      </mc:Choice>
      <mc:Fallback>
        <control shapeId="15367" r:id="rId4" name="cmdMenu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4" r:id="rId12" name="cbECD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12" name="cbECD"/>
      </mc:Fallback>
    </mc:AlternateContent>
    <mc:AlternateContent xmlns:mc="http://schemas.openxmlformats.org/markup-compatibility/2006">
      <mc:Choice Requires="x14">
        <control shapeId="15365" r:id="rId14" name="cbECDType">
          <controlPr autoLine="0" r:id="rId15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14" name="cbECDType"/>
      </mc:Fallback>
    </mc:AlternateContent>
    <mc:AlternateContent xmlns:mc="http://schemas.openxmlformats.org/markup-compatibility/2006">
      <mc:Choice Requires="x14">
        <control shapeId="15366" r:id="rId16" name="cbSubStrateType">
          <controlPr autoLine="0" r:id="rId17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16" name="cbSubStrate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E3:F97"/>
  <sheetViews>
    <sheetView topLeftCell="D1" workbookViewId="0">
      <selection activeCell="F6" sqref="F6"/>
    </sheetView>
  </sheetViews>
  <sheetFormatPr defaultRowHeight="15" x14ac:dyDescent="0.25"/>
  <cols>
    <col min="5" max="5" width="46.85546875" bestFit="1" customWidth="1"/>
    <col min="6" max="6" width="24.5703125" bestFit="1" customWidth="1"/>
  </cols>
  <sheetData>
    <row r="3" spans="5:6" ht="18.75" x14ac:dyDescent="0.3">
      <c r="E3" s="1" t="s">
        <v>0</v>
      </c>
      <c r="F3" s="2"/>
    </row>
    <row r="4" spans="5:6" x14ac:dyDescent="0.25">
      <c r="E4" s="2"/>
      <c r="F4" s="2"/>
    </row>
    <row r="5" spans="5:6" x14ac:dyDescent="0.25">
      <c r="E5" s="3" t="s">
        <v>1</v>
      </c>
      <c r="F5" s="3"/>
    </row>
    <row r="6" spans="5:6" x14ac:dyDescent="0.25">
      <c r="E6" s="3" t="s">
        <v>2</v>
      </c>
      <c r="F6" s="4"/>
    </row>
    <row r="7" spans="5:6" x14ac:dyDescent="0.25">
      <c r="E7" s="2"/>
      <c r="F7" s="2"/>
    </row>
    <row r="8" spans="5:6" ht="23.45" customHeight="1" x14ac:dyDescent="0.25">
      <c r="E8" s="5" t="s">
        <v>3</v>
      </c>
      <c r="F8" s="6"/>
    </row>
    <row r="9" spans="5:6" x14ac:dyDescent="0.25">
      <c r="E9" s="7" t="s">
        <v>4</v>
      </c>
      <c r="F9" s="8"/>
    </row>
    <row r="10" spans="5:6" x14ac:dyDescent="0.25">
      <c r="E10" s="9" t="s">
        <v>5</v>
      </c>
      <c r="F10" s="8"/>
    </row>
    <row r="11" spans="5:6" x14ac:dyDescent="0.25">
      <c r="E11" s="7" t="s">
        <v>6</v>
      </c>
      <c r="F11" s="8"/>
    </row>
    <row r="12" spans="5:6" x14ac:dyDescent="0.25">
      <c r="E12" s="7" t="s">
        <v>7</v>
      </c>
      <c r="F12" s="8"/>
    </row>
    <row r="13" spans="5:6" x14ac:dyDescent="0.25">
      <c r="E13" s="7" t="s">
        <v>8</v>
      </c>
      <c r="F13" s="8"/>
    </row>
    <row r="14" spans="5:6" x14ac:dyDescent="0.25">
      <c r="E14" s="7" t="s">
        <v>9</v>
      </c>
      <c r="F14" s="8"/>
    </row>
    <row r="15" spans="5:6" x14ac:dyDescent="0.25">
      <c r="E15" s="7" t="s">
        <v>10</v>
      </c>
      <c r="F15" s="8"/>
    </row>
    <row r="16" spans="5:6" x14ac:dyDescent="0.25">
      <c r="E16" s="7" t="s">
        <v>11</v>
      </c>
      <c r="F16" s="8"/>
    </row>
    <row r="17" spans="5:6" x14ac:dyDescent="0.25">
      <c r="E17" s="7" t="s">
        <v>12</v>
      </c>
      <c r="F17" s="8"/>
    </row>
    <row r="18" spans="5:6" x14ac:dyDescent="0.25">
      <c r="E18" s="7" t="s">
        <v>13</v>
      </c>
      <c r="F18" s="8"/>
    </row>
    <row r="19" spans="5:6" x14ac:dyDescent="0.25">
      <c r="E19" s="7"/>
      <c r="F19" s="8"/>
    </row>
    <row r="20" spans="5:6" x14ac:dyDescent="0.25">
      <c r="E20" s="5" t="s">
        <v>14</v>
      </c>
      <c r="F20" s="8"/>
    </row>
    <row r="21" spans="5:6" x14ac:dyDescent="0.25">
      <c r="E21" s="7" t="s">
        <v>15</v>
      </c>
      <c r="F21" s="8"/>
    </row>
    <row r="22" spans="5:6" x14ac:dyDescent="0.25">
      <c r="E22" s="9" t="s">
        <v>16</v>
      </c>
      <c r="F22" s="8"/>
    </row>
    <row r="23" spans="5:6" x14ac:dyDescent="0.25">
      <c r="E23" s="7" t="s">
        <v>11</v>
      </c>
      <c r="F23" s="8"/>
    </row>
    <row r="24" spans="5:6" x14ac:dyDescent="0.25">
      <c r="E24" s="7" t="s">
        <v>17</v>
      </c>
      <c r="F24" s="8"/>
    </row>
    <row r="25" spans="5:6" x14ac:dyDescent="0.25">
      <c r="E25" s="7"/>
      <c r="F25" s="8"/>
    </row>
    <row r="26" spans="5:6" x14ac:dyDescent="0.25">
      <c r="E26" s="7"/>
      <c r="F26" s="8"/>
    </row>
    <row r="27" spans="5:6" x14ac:dyDescent="0.25">
      <c r="E27" s="7"/>
      <c r="F27" s="8"/>
    </row>
    <row r="28" spans="5:6" x14ac:dyDescent="0.25">
      <c r="E28" s="7" t="s">
        <v>13</v>
      </c>
      <c r="F28" s="8"/>
    </row>
    <row r="29" spans="5:6" x14ac:dyDescent="0.25">
      <c r="E29" s="7" t="s">
        <v>18</v>
      </c>
      <c r="F29" s="8"/>
    </row>
    <row r="30" spans="5:6" x14ac:dyDescent="0.25">
      <c r="E30" s="7"/>
      <c r="F30" s="8"/>
    </row>
    <row r="31" spans="5:6" x14ac:dyDescent="0.25">
      <c r="E31" s="7"/>
      <c r="F31" s="8"/>
    </row>
    <row r="32" spans="5:6" x14ac:dyDescent="0.25">
      <c r="E32" s="5" t="s">
        <v>19</v>
      </c>
      <c r="F32" s="8"/>
    </row>
    <row r="33" spans="5:6" x14ac:dyDescent="0.25">
      <c r="E33" s="7" t="s">
        <v>20</v>
      </c>
      <c r="F33" s="8"/>
    </row>
    <row r="34" spans="5:6" x14ac:dyDescent="0.25">
      <c r="E34" s="7" t="s">
        <v>7</v>
      </c>
      <c r="F34" s="8"/>
    </row>
    <row r="35" spans="5:6" x14ac:dyDescent="0.25">
      <c r="E35" s="7" t="s">
        <v>8</v>
      </c>
      <c r="F35" s="8"/>
    </row>
    <row r="36" spans="5:6" x14ac:dyDescent="0.25">
      <c r="E36" s="7" t="s">
        <v>9</v>
      </c>
      <c r="F36" s="8"/>
    </row>
    <row r="37" spans="5:6" x14ac:dyDescent="0.25">
      <c r="E37" s="7"/>
      <c r="F37" s="8"/>
    </row>
    <row r="38" spans="5:6" x14ac:dyDescent="0.25">
      <c r="E38" s="7"/>
      <c r="F38" s="8"/>
    </row>
    <row r="39" spans="5:6" x14ac:dyDescent="0.25">
      <c r="E39" s="7"/>
      <c r="F39" s="8"/>
    </row>
    <row r="40" spans="5:6" x14ac:dyDescent="0.25">
      <c r="E40" s="5" t="s">
        <v>21</v>
      </c>
      <c r="F40" s="8"/>
    </row>
    <row r="41" spans="5:6" x14ac:dyDescent="0.25">
      <c r="E41" s="7" t="s">
        <v>22</v>
      </c>
      <c r="F41" s="8"/>
    </row>
    <row r="42" spans="5:6" x14ac:dyDescent="0.25">
      <c r="E42" s="7" t="s">
        <v>23</v>
      </c>
      <c r="F42" s="8"/>
    </row>
    <row r="43" spans="5:6" x14ac:dyDescent="0.25">
      <c r="E43" s="7" t="s">
        <v>24</v>
      </c>
      <c r="F43" s="8"/>
    </row>
    <row r="44" spans="5:6" x14ac:dyDescent="0.25">
      <c r="E44" s="9" t="s">
        <v>25</v>
      </c>
      <c r="F44" s="8"/>
    </row>
    <row r="45" spans="5:6" x14ac:dyDescent="0.25">
      <c r="E45" s="7" t="s">
        <v>26</v>
      </c>
      <c r="F45" s="8"/>
    </row>
    <row r="46" spans="5:6" x14ac:dyDescent="0.25">
      <c r="E46" s="7" t="s">
        <v>27</v>
      </c>
      <c r="F46" s="8"/>
    </row>
    <row r="47" spans="5:6" x14ac:dyDescent="0.25">
      <c r="E47" s="7" t="s">
        <v>28</v>
      </c>
      <c r="F47" s="8"/>
    </row>
    <row r="48" spans="5:6" x14ac:dyDescent="0.25">
      <c r="E48" s="7" t="s">
        <v>29</v>
      </c>
      <c r="F48" s="8"/>
    </row>
    <row r="49" spans="5:6" x14ac:dyDescent="0.25">
      <c r="E49" s="7"/>
      <c r="F49" s="8"/>
    </row>
    <row r="50" spans="5:6" x14ac:dyDescent="0.25">
      <c r="E50" s="5" t="s">
        <v>30</v>
      </c>
      <c r="F50" s="8"/>
    </row>
    <row r="51" spans="5:6" x14ac:dyDescent="0.25">
      <c r="E51" s="7" t="s">
        <v>31</v>
      </c>
      <c r="F51" s="8"/>
    </row>
    <row r="52" spans="5:6" x14ac:dyDescent="0.25">
      <c r="E52" s="7" t="s">
        <v>32</v>
      </c>
      <c r="F52" s="8"/>
    </row>
    <row r="53" spans="5:6" x14ac:dyDescent="0.25">
      <c r="E53" s="7" t="s">
        <v>33</v>
      </c>
      <c r="F53" s="8"/>
    </row>
    <row r="54" spans="5:6" x14ac:dyDescent="0.25">
      <c r="E54" s="7" t="s">
        <v>34</v>
      </c>
      <c r="F54" s="8"/>
    </row>
    <row r="55" spans="5:6" x14ac:dyDescent="0.25">
      <c r="E55" s="7"/>
      <c r="F55" s="8"/>
    </row>
    <row r="56" spans="5:6" x14ac:dyDescent="0.25">
      <c r="E56" s="5" t="s">
        <v>35</v>
      </c>
      <c r="F56" s="8"/>
    </row>
    <row r="57" spans="5:6" x14ac:dyDescent="0.25">
      <c r="E57" s="7" t="s">
        <v>36</v>
      </c>
      <c r="F57" s="10"/>
    </row>
    <row r="58" spans="5:6" x14ac:dyDescent="0.25">
      <c r="E58" s="7" t="s">
        <v>37</v>
      </c>
      <c r="F58" s="8"/>
    </row>
    <row r="59" spans="5:6" x14ac:dyDescent="0.25">
      <c r="E59" s="7" t="s">
        <v>38</v>
      </c>
      <c r="F59" s="8"/>
    </row>
    <row r="60" spans="5:6" x14ac:dyDescent="0.25">
      <c r="E60" s="7" t="s">
        <v>39</v>
      </c>
      <c r="F60" s="8"/>
    </row>
    <row r="61" spans="5:6" x14ac:dyDescent="0.25">
      <c r="E61" s="7" t="s">
        <v>40</v>
      </c>
      <c r="F61" s="8"/>
    </row>
    <row r="62" spans="5:6" x14ac:dyDescent="0.25">
      <c r="E62" s="7" t="s">
        <v>41</v>
      </c>
      <c r="F62" s="8"/>
    </row>
    <row r="63" spans="5:6" x14ac:dyDescent="0.25">
      <c r="E63" s="7" t="s">
        <v>42</v>
      </c>
      <c r="F63" s="8"/>
    </row>
    <row r="64" spans="5:6" x14ac:dyDescent="0.25">
      <c r="E64" s="7" t="s">
        <v>43</v>
      </c>
      <c r="F64" s="8"/>
    </row>
    <row r="65" spans="5:6" x14ac:dyDescent="0.25">
      <c r="E65" s="7" t="s">
        <v>44</v>
      </c>
      <c r="F65" s="8"/>
    </row>
    <row r="66" spans="5:6" x14ac:dyDescent="0.25">
      <c r="E66" s="7" t="s">
        <v>45</v>
      </c>
      <c r="F66" s="8"/>
    </row>
    <row r="67" spans="5:6" x14ac:dyDescent="0.25">
      <c r="E67" s="7" t="s">
        <v>46</v>
      </c>
      <c r="F67" s="8"/>
    </row>
    <row r="68" spans="5:6" x14ac:dyDescent="0.25">
      <c r="E68" s="7" t="s">
        <v>47</v>
      </c>
      <c r="F68" s="8"/>
    </row>
    <row r="69" spans="5:6" x14ac:dyDescent="0.25">
      <c r="E69" s="7"/>
      <c r="F69" s="8"/>
    </row>
    <row r="70" spans="5:6" x14ac:dyDescent="0.25">
      <c r="E70" s="5" t="s">
        <v>48</v>
      </c>
      <c r="F70" s="8"/>
    </row>
    <row r="71" spans="5:6" x14ac:dyDescent="0.25">
      <c r="E71" s="7" t="s">
        <v>49</v>
      </c>
      <c r="F71" s="11"/>
    </row>
    <row r="72" spans="5:6" x14ac:dyDescent="0.25">
      <c r="E72" s="7" t="s">
        <v>50</v>
      </c>
      <c r="F72" s="8"/>
    </row>
    <row r="73" spans="5:6" x14ac:dyDescent="0.25">
      <c r="E73" s="7" t="s">
        <v>51</v>
      </c>
      <c r="F73" s="8"/>
    </row>
    <row r="74" spans="5:6" x14ac:dyDescent="0.25">
      <c r="E74" s="7" t="s">
        <v>52</v>
      </c>
      <c r="F74" s="8"/>
    </row>
    <row r="75" spans="5:6" x14ac:dyDescent="0.25">
      <c r="E75" s="7" t="s">
        <v>53</v>
      </c>
      <c r="F75" s="12"/>
    </row>
    <row r="76" spans="5:6" x14ac:dyDescent="0.25">
      <c r="E76" s="7" t="s">
        <v>54</v>
      </c>
      <c r="F76" s="8"/>
    </row>
    <row r="77" spans="5:6" x14ac:dyDescent="0.25">
      <c r="E77" s="7" t="s">
        <v>2</v>
      </c>
      <c r="F77" s="13"/>
    </row>
    <row r="78" spans="5:6" x14ac:dyDescent="0.25">
      <c r="E78" s="7"/>
      <c r="F78" s="8"/>
    </row>
    <row r="79" spans="5:6" x14ac:dyDescent="0.25">
      <c r="E79" s="5" t="s">
        <v>55</v>
      </c>
      <c r="F79" s="8"/>
    </row>
    <row r="80" spans="5:6" x14ac:dyDescent="0.25">
      <c r="E80" s="7" t="s">
        <v>56</v>
      </c>
      <c r="F80" s="14"/>
    </row>
    <row r="81" spans="5:6" x14ac:dyDescent="0.25">
      <c r="E81" s="7" t="s">
        <v>57</v>
      </c>
      <c r="F81" s="8"/>
    </row>
    <row r="82" spans="5:6" x14ac:dyDescent="0.25">
      <c r="E82" s="7" t="s">
        <v>58</v>
      </c>
      <c r="F82" s="8"/>
    </row>
    <row r="83" spans="5:6" x14ac:dyDescent="0.25">
      <c r="E83" s="7" t="s">
        <v>59</v>
      </c>
      <c r="F83" s="8"/>
    </row>
    <row r="84" spans="5:6" x14ac:dyDescent="0.25">
      <c r="E84" s="7"/>
      <c r="F84" s="8"/>
    </row>
    <row r="85" spans="5:6" x14ac:dyDescent="0.25">
      <c r="E85" s="5" t="s">
        <v>60</v>
      </c>
      <c r="F85" s="8"/>
    </row>
    <row r="86" spans="5:6" x14ac:dyDescent="0.25">
      <c r="E86" s="7" t="s">
        <v>61</v>
      </c>
      <c r="F86" s="14"/>
    </row>
    <row r="87" spans="5:6" x14ac:dyDescent="0.25">
      <c r="E87" s="7" t="s">
        <v>62</v>
      </c>
      <c r="F87" s="8"/>
    </row>
    <row r="88" spans="5:6" x14ac:dyDescent="0.25">
      <c r="E88" s="7" t="s">
        <v>63</v>
      </c>
      <c r="F88" s="8"/>
    </row>
    <row r="89" spans="5:6" x14ac:dyDescent="0.25">
      <c r="E89" s="7" t="s">
        <v>64</v>
      </c>
      <c r="F89" s="8"/>
    </row>
    <row r="90" spans="5:6" x14ac:dyDescent="0.25">
      <c r="E90" s="15" t="s">
        <v>18</v>
      </c>
      <c r="F90" s="8"/>
    </row>
    <row r="91" spans="5:6" x14ac:dyDescent="0.25">
      <c r="E91" s="5" t="s">
        <v>65</v>
      </c>
      <c r="F91" s="8"/>
    </row>
    <row r="92" spans="5:6" x14ac:dyDescent="0.25">
      <c r="E92" s="16" t="s">
        <v>66</v>
      </c>
      <c r="F92" s="8"/>
    </row>
    <row r="93" spans="5:6" x14ac:dyDescent="0.25">
      <c r="E93" s="16" t="s">
        <v>67</v>
      </c>
      <c r="F93" s="14"/>
    </row>
    <row r="94" spans="5:6" x14ac:dyDescent="0.25">
      <c r="E94" s="7" t="s">
        <v>53</v>
      </c>
      <c r="F94" s="12"/>
    </row>
    <row r="95" spans="5:6" x14ac:dyDescent="0.25">
      <c r="E95" s="7" t="s">
        <v>54</v>
      </c>
      <c r="F95" s="8"/>
    </row>
    <row r="96" spans="5:6" x14ac:dyDescent="0.25">
      <c r="E96" s="2"/>
      <c r="F96" s="2"/>
    </row>
    <row r="97" spans="5:6" x14ac:dyDescent="0.25">
      <c r="E97" s="2"/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10</xdr:col>
                <xdr:colOff>0</xdr:colOff>
                <xdr:row>4</xdr:row>
                <xdr:rowOff>85725</xdr:rowOff>
              </from>
              <to>
                <xdr:col>12</xdr:col>
                <xdr:colOff>161925</xdr:colOff>
                <xdr:row>6</xdr:row>
                <xdr:rowOff>0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21" r:id="rId6" name="chkFirstCleaning">
          <controlPr autoLine="0" r:id="rId7">
            <anchor moveWithCells="1">
              <from>
                <xdr:col>5</xdr:col>
                <xdr:colOff>819150</xdr:colOff>
                <xdr:row>91</xdr:row>
                <xdr:rowOff>28575</xdr:rowOff>
              </from>
              <to>
                <xdr:col>5</xdr:col>
                <xdr:colOff>1009650</xdr:colOff>
                <xdr:row>92</xdr:row>
                <xdr:rowOff>19050</xdr:rowOff>
              </to>
            </anchor>
          </controlPr>
        </control>
      </mc:Choice>
      <mc:Fallback>
        <control shapeId="21521" r:id="rId6" name="chkFirstCleaning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57150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r:id="rId7">
            <anchor moveWithCells="1">
              <from>
                <xdr:col>5</xdr:col>
                <xdr:colOff>733425</xdr:colOff>
                <xdr:row>87</xdr:row>
                <xdr:rowOff>19050</xdr:rowOff>
              </from>
              <to>
                <xdr:col>5</xdr:col>
                <xdr:colOff>923925</xdr:colOff>
                <xdr:row>88</xdr:row>
                <xdr:rowOff>9525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1" name="chkHighSootLoad">
          <controlPr autoLine="0" r:id="rId7">
            <anchor moveWithCells="1">
              <from>
                <xdr:col>5</xdr:col>
                <xdr:colOff>733425</xdr:colOff>
                <xdr:row>86</xdr:row>
                <xdr:rowOff>9525</xdr:rowOff>
              </from>
              <to>
                <xdr:col>5</xdr:col>
                <xdr:colOff>923925</xdr:colOff>
                <xdr:row>87</xdr:row>
                <xdr:rowOff>0</xdr:rowOff>
              </to>
            </anchor>
          </controlPr>
        </control>
      </mc:Choice>
      <mc:Fallback>
        <control shapeId="21509" r:id="rId11" name="chkHighSootLoad"/>
      </mc:Fallback>
    </mc:AlternateContent>
    <mc:AlternateContent xmlns:mc="http://schemas.openxmlformats.org/markup-compatibility/2006">
      <mc:Choice Requires="x14">
        <control shapeId="21508" r:id="rId12" name="chkPreventMaint">
          <controlPr autoLine="0" r:id="rId7">
            <anchor moveWithCells="1">
              <from>
                <xdr:col>5</xdr:col>
                <xdr:colOff>752475</xdr:colOff>
                <xdr:row>85</xdr:row>
                <xdr:rowOff>9525</xdr:rowOff>
              </from>
              <to>
                <xdr:col>5</xdr:col>
                <xdr:colOff>942975</xdr:colOff>
                <xdr:row>86</xdr:row>
                <xdr:rowOff>0</xdr:rowOff>
              </to>
            </anchor>
          </controlPr>
        </control>
      </mc:Choice>
      <mc:Fallback>
        <control shapeId="21508" r:id="rId12" name="chkPreventMaint"/>
      </mc:Fallback>
    </mc:AlternateContent>
    <mc:AlternateContent xmlns:mc="http://schemas.openxmlformats.org/markup-compatibility/2006">
      <mc:Choice Requires="x14">
        <control shapeId="21507" r:id="rId13" name="chkHighIdle">
          <controlPr autoLine="0" r:id="rId7">
            <anchor moveWithCells="1">
              <from>
                <xdr:col>5</xdr:col>
                <xdr:colOff>733425</xdr:colOff>
                <xdr:row>81</xdr:row>
                <xdr:rowOff>0</xdr:rowOff>
              </from>
              <to>
                <xdr:col>5</xdr:col>
                <xdr:colOff>923925</xdr:colOff>
                <xdr:row>81</xdr:row>
                <xdr:rowOff>180975</xdr:rowOff>
              </to>
            </anchor>
          </controlPr>
        </control>
      </mc:Choice>
      <mc:Fallback>
        <control shapeId="21507" r:id="rId13" name="chkHighIdle"/>
      </mc:Fallback>
    </mc:AlternateContent>
    <mc:AlternateContent xmlns:mc="http://schemas.openxmlformats.org/markup-compatibility/2006">
      <mc:Choice Requires="x14">
        <control shapeId="21506" r:id="rId14" name="chkStartStop">
          <controlPr autoLine="0" r:id="rId7">
            <anchor moveWithCells="1">
              <from>
                <xdr:col>5</xdr:col>
                <xdr:colOff>733425</xdr:colOff>
                <xdr:row>79</xdr:row>
                <xdr:rowOff>171450</xdr:rowOff>
              </from>
              <to>
                <xdr:col>5</xdr:col>
                <xdr:colOff>923925</xdr:colOff>
                <xdr:row>80</xdr:row>
                <xdr:rowOff>161925</xdr:rowOff>
              </to>
            </anchor>
          </controlPr>
        </control>
      </mc:Choice>
      <mc:Fallback>
        <control shapeId="21506" r:id="rId14" name="chkStartStop"/>
      </mc:Fallback>
    </mc:AlternateContent>
    <mc:AlternateContent xmlns:mc="http://schemas.openxmlformats.org/markup-compatibility/2006">
      <mc:Choice Requires="x14">
        <control shapeId="21505" r:id="rId15" name="chkOvrRdHw">
          <controlPr autoLine="0" r:id="rId7">
            <anchor moveWithCells="1">
              <from>
                <xdr:col>5</xdr:col>
                <xdr:colOff>742950</xdr:colOff>
                <xdr:row>78</xdr:row>
                <xdr:rowOff>161925</xdr:rowOff>
              </from>
              <to>
                <xdr:col>5</xdr:col>
                <xdr:colOff>933450</xdr:colOff>
                <xdr:row>79</xdr:row>
                <xdr:rowOff>152400</xdr:rowOff>
              </to>
            </anchor>
          </controlPr>
        </control>
      </mc:Choice>
      <mc:Fallback>
        <control shapeId="21505" r:id="rId15" name="chkOvrRdHw"/>
      </mc:Fallback>
    </mc:AlternateContent>
    <mc:AlternateContent xmlns:mc="http://schemas.openxmlformats.org/markup-compatibility/2006">
      <mc:Choice Requires="x14">
        <control shapeId="21522" r:id="rId16" name="cbDPF">
          <controlPr defaultSize="0" autoFill="0" autoLine="0" r:id="rId17">
            <anchor moveWithCells="1">
              <from>
                <xdr:col>5</xdr:col>
                <xdr:colOff>9525</xdr:colOff>
                <xdr:row>2</xdr:row>
                <xdr:rowOff>0</xdr:rowOff>
              </from>
              <to>
                <xdr:col>8</xdr:col>
                <xdr:colOff>228600</xdr:colOff>
                <xdr:row>3</xdr:row>
                <xdr:rowOff>0</xdr:rowOff>
              </to>
            </anchor>
          </controlPr>
        </control>
      </mc:Choice>
      <mc:Fallback>
        <control shapeId="21522" r:id="rId16" name="cbDPF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5</xdr:col>
                <xdr:colOff>19050</xdr:colOff>
                <xdr:row>7</xdr:row>
                <xdr:rowOff>66675</xdr:rowOff>
              </from>
              <to>
                <xdr:col>8</xdr:col>
                <xdr:colOff>238125</xdr:colOff>
                <xdr:row>8</xdr:row>
                <xdr:rowOff>9525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4" r:id="rId20" name="cbContacts">
          <controlPr defaultSize="0" autoFill="0" autoLine="0" r:id="rId21">
            <anchor moveWithCells="1">
              <from>
                <xdr:col>5</xdr:col>
                <xdr:colOff>19050</xdr:colOff>
                <xdr:row>19</xdr:row>
                <xdr:rowOff>66675</xdr:rowOff>
              </from>
              <to>
                <xdr:col>8</xdr:col>
                <xdr:colOff>238125</xdr:colOff>
                <xdr:row>20</xdr:row>
                <xdr:rowOff>114300</xdr:rowOff>
              </to>
            </anchor>
          </controlPr>
        </control>
      </mc:Choice>
      <mc:Fallback>
        <control shapeId="21524" r:id="rId20" name="cbContacts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5</xdr:col>
                <xdr:colOff>19050</xdr:colOff>
                <xdr:row>31</xdr:row>
                <xdr:rowOff>66675</xdr:rowOff>
              </from>
              <to>
                <xdr:col>8</xdr:col>
                <xdr:colOff>238125</xdr:colOff>
                <xdr:row>32</xdr:row>
                <xdr:rowOff>114300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5</xdr:col>
                <xdr:colOff>19050</xdr:colOff>
                <xdr:row>39</xdr:row>
                <xdr:rowOff>66675</xdr:rowOff>
              </from>
              <to>
                <xdr:col>8</xdr:col>
                <xdr:colOff>238125</xdr:colOff>
                <xdr:row>40</xdr:row>
                <xdr:rowOff>114300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5</xdr:col>
                <xdr:colOff>19050</xdr:colOff>
                <xdr:row>49</xdr:row>
                <xdr:rowOff>66675</xdr:rowOff>
              </from>
              <to>
                <xdr:col>8</xdr:col>
                <xdr:colOff>238125</xdr:colOff>
                <xdr:row>50</xdr:row>
                <xdr:rowOff>114300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5</xdr:col>
                <xdr:colOff>19050</xdr:colOff>
                <xdr:row>55</xdr:row>
                <xdr:rowOff>66675</xdr:rowOff>
              </from>
              <to>
                <xdr:col>8</xdr:col>
                <xdr:colOff>238125</xdr:colOff>
                <xdr:row>56</xdr:row>
                <xdr:rowOff>114300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5</xdr:col>
                <xdr:colOff>19050</xdr:colOff>
                <xdr:row>82</xdr:row>
                <xdr:rowOff>66675</xdr:rowOff>
              </from>
              <to>
                <xdr:col>8</xdr:col>
                <xdr:colOff>238125</xdr:colOff>
                <xdr:row>83</xdr:row>
                <xdr:rowOff>114300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r:id="rId33">
            <anchor moveWithCells="1">
              <from>
                <xdr:col>5</xdr:col>
                <xdr:colOff>19050</xdr:colOff>
                <xdr:row>88</xdr:row>
                <xdr:rowOff>66675</xdr:rowOff>
              </from>
              <to>
                <xdr:col>8</xdr:col>
                <xdr:colOff>238125</xdr:colOff>
                <xdr:row>89</xdr:row>
                <xdr:rowOff>114300</xdr:rowOff>
              </to>
            </anchor>
          </controlPr>
        </control>
      </mc:Choice>
      <mc:Fallback>
        <control shapeId="21530" r:id="rId32" name="cbCleaningReason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BL97"/>
  <sheetViews>
    <sheetView topLeftCell="AE1" workbookViewId="0">
      <selection sqref="A1:XFD1"/>
    </sheetView>
  </sheetViews>
  <sheetFormatPr defaultRowHeight="15" x14ac:dyDescent="0.25"/>
  <cols>
    <col min="2" max="2" width="9.85546875" bestFit="1" customWidth="1"/>
    <col min="3" max="3" width="17.42578125" bestFit="1" customWidth="1"/>
    <col min="4" max="4" width="24.140625" bestFit="1" customWidth="1"/>
    <col min="5" max="5" width="46.85546875" bestFit="1" customWidth="1"/>
    <col min="6" max="6" width="24.5703125" bestFit="1" customWidth="1"/>
    <col min="13" max="13" width="17.5703125" bestFit="1" customWidth="1"/>
    <col min="14" max="14" width="16" bestFit="1" customWidth="1"/>
  </cols>
  <sheetData>
    <row r="1" spans="1:64" x14ac:dyDescent="0.25">
      <c r="A1" t="s">
        <v>168</v>
      </c>
      <c r="B1" t="s">
        <v>169</v>
      </c>
      <c r="C1" t="s">
        <v>170</v>
      </c>
      <c r="D1" t="s">
        <v>171</v>
      </c>
      <c r="E1" t="s">
        <v>172</v>
      </c>
      <c r="F1" t="s">
        <v>173</v>
      </c>
      <c r="G1" t="s">
        <v>174</v>
      </c>
      <c r="H1" t="s">
        <v>175</v>
      </c>
      <c r="I1" t="s">
        <v>176</v>
      </c>
      <c r="J1" t="s">
        <v>177</v>
      </c>
      <c r="K1" t="s">
        <v>178</v>
      </c>
      <c r="L1" t="s">
        <v>179</v>
      </c>
      <c r="M1" t="s">
        <v>180</v>
      </c>
      <c r="N1" t="s">
        <v>181</v>
      </c>
      <c r="O1" t="s">
        <v>182</v>
      </c>
      <c r="P1" t="s">
        <v>183</v>
      </c>
      <c r="Q1" t="s">
        <v>184</v>
      </c>
      <c r="R1" t="s">
        <v>185</v>
      </c>
      <c r="S1" t="s">
        <v>186</v>
      </c>
      <c r="T1" t="s">
        <v>187</v>
      </c>
      <c r="U1" t="s">
        <v>188</v>
      </c>
      <c r="V1" t="s">
        <v>189</v>
      </c>
      <c r="W1" t="s">
        <v>8</v>
      </c>
      <c r="X1" t="s">
        <v>169</v>
      </c>
      <c r="Y1" t="s">
        <v>68</v>
      </c>
      <c r="Z1" t="s">
        <v>190</v>
      </c>
      <c r="AA1" t="s">
        <v>70</v>
      </c>
      <c r="AB1" t="s">
        <v>191</v>
      </c>
      <c r="AC1" t="s">
        <v>69</v>
      </c>
      <c r="AD1" t="s">
        <v>7</v>
      </c>
      <c r="AE1" t="s">
        <v>9</v>
      </c>
      <c r="AF1" t="s">
        <v>189</v>
      </c>
      <c r="AG1" t="s">
        <v>8</v>
      </c>
      <c r="AH1" t="s">
        <v>192</v>
      </c>
      <c r="AI1" t="s">
        <v>183</v>
      </c>
      <c r="AJ1" t="s">
        <v>193</v>
      </c>
      <c r="AK1" t="s">
        <v>194</v>
      </c>
      <c r="AL1" t="s">
        <v>195</v>
      </c>
      <c r="AM1" t="s">
        <v>42</v>
      </c>
      <c r="AN1" t="s">
        <v>28</v>
      </c>
      <c r="AO1" t="s">
        <v>29</v>
      </c>
      <c r="AP1" t="s">
        <v>196</v>
      </c>
      <c r="AQ1" t="s">
        <v>183</v>
      </c>
      <c r="AR1" t="s">
        <v>195</v>
      </c>
      <c r="AS1" t="s">
        <v>42</v>
      </c>
      <c r="AT1" t="s">
        <v>193</v>
      </c>
      <c r="AU1" t="s">
        <v>28</v>
      </c>
      <c r="AV1" t="s">
        <v>29</v>
      </c>
      <c r="AW1" t="s">
        <v>197</v>
      </c>
      <c r="AX1" t="s">
        <v>183</v>
      </c>
      <c r="AY1" t="s">
        <v>198</v>
      </c>
      <c r="AZ1" t="s">
        <v>199</v>
      </c>
      <c r="BA1" t="s">
        <v>200</v>
      </c>
      <c r="BB1" t="s">
        <v>42</v>
      </c>
      <c r="BC1" t="s">
        <v>201</v>
      </c>
      <c r="BD1" t="s">
        <v>202</v>
      </c>
      <c r="BE1" t="s">
        <v>203</v>
      </c>
      <c r="BF1" t="s">
        <v>204</v>
      </c>
      <c r="BG1" t="s">
        <v>193</v>
      </c>
      <c r="BH1" t="s">
        <v>205</v>
      </c>
      <c r="BI1" t="s">
        <v>206</v>
      </c>
      <c r="BJ1" t="s">
        <v>207</v>
      </c>
      <c r="BK1" t="s">
        <v>208</v>
      </c>
      <c r="BL1" t="s">
        <v>209</v>
      </c>
    </row>
    <row r="2" spans="1:64" x14ac:dyDescent="0.25">
      <c r="A2">
        <v>4</v>
      </c>
      <c r="B2">
        <v>79</v>
      </c>
      <c r="C2">
        <v>1</v>
      </c>
      <c r="D2" t="b">
        <v>0</v>
      </c>
      <c r="E2" t="b">
        <v>0</v>
      </c>
      <c r="F2" t="b">
        <v>0</v>
      </c>
      <c r="H2" t="b">
        <v>1</v>
      </c>
      <c r="I2" t="b">
        <v>1</v>
      </c>
      <c r="J2" t="b">
        <v>0</v>
      </c>
      <c r="L2" t="b">
        <v>1</v>
      </c>
      <c r="O2" s="93">
        <v>43438.030222800924</v>
      </c>
      <c r="P2">
        <v>8</v>
      </c>
      <c r="Q2" t="s">
        <v>215</v>
      </c>
      <c r="R2" t="s">
        <v>216</v>
      </c>
      <c r="T2" t="s">
        <v>217</v>
      </c>
      <c r="U2" t="s">
        <v>218</v>
      </c>
      <c r="V2">
        <v>2</v>
      </c>
      <c r="W2" t="s">
        <v>210</v>
      </c>
      <c r="X2">
        <v>67</v>
      </c>
      <c r="Y2" t="b">
        <v>1</v>
      </c>
      <c r="Z2">
        <v>1</v>
      </c>
      <c r="AA2" t="s">
        <v>216</v>
      </c>
      <c r="AB2" t="s">
        <v>216</v>
      </c>
      <c r="AD2" t="s">
        <v>217</v>
      </c>
      <c r="AE2" t="s">
        <v>218</v>
      </c>
      <c r="AF2">
        <v>2</v>
      </c>
      <c r="AG2" t="s">
        <v>210</v>
      </c>
      <c r="AH2">
        <v>2</v>
      </c>
      <c r="AI2">
        <v>8</v>
      </c>
      <c r="AJ2" t="s">
        <v>219</v>
      </c>
      <c r="AK2" t="s">
        <v>211</v>
      </c>
      <c r="AL2">
        <v>4</v>
      </c>
      <c r="AM2" t="s">
        <v>220</v>
      </c>
      <c r="AN2" t="s">
        <v>221</v>
      </c>
      <c r="AO2">
        <v>2018</v>
      </c>
      <c r="AP2">
        <v>4</v>
      </c>
      <c r="AQ2">
        <v>8</v>
      </c>
      <c r="AR2">
        <v>2</v>
      </c>
      <c r="AS2" t="s">
        <v>222</v>
      </c>
      <c r="AT2" t="s">
        <v>223</v>
      </c>
      <c r="AU2" t="s">
        <v>224</v>
      </c>
      <c r="AV2">
        <v>2017</v>
      </c>
      <c r="AW2">
        <v>4</v>
      </c>
      <c r="AX2">
        <v>8</v>
      </c>
      <c r="AY2">
        <v>1</v>
      </c>
      <c r="AZ2" t="s">
        <v>212</v>
      </c>
      <c r="BA2">
        <v>1</v>
      </c>
      <c r="BB2" t="s">
        <v>213</v>
      </c>
      <c r="BC2">
        <v>1</v>
      </c>
      <c r="BD2" t="s">
        <v>214</v>
      </c>
      <c r="BE2">
        <v>0</v>
      </c>
      <c r="BF2" t="s">
        <v>225</v>
      </c>
      <c r="BG2" t="s">
        <v>226</v>
      </c>
      <c r="BH2" t="s">
        <v>227</v>
      </c>
      <c r="BI2">
        <v>12</v>
      </c>
      <c r="BJ2">
        <v>11</v>
      </c>
      <c r="BK2">
        <v>14</v>
      </c>
      <c r="BL2">
        <v>15</v>
      </c>
    </row>
    <row r="3" spans="1:64" ht="18.75" x14ac:dyDescent="0.3">
      <c r="E3" s="1" t="s">
        <v>0</v>
      </c>
    </row>
    <row r="4" spans="1:64" x14ac:dyDescent="0.25">
      <c r="E4" s="2"/>
    </row>
    <row r="5" spans="1:64" x14ac:dyDescent="0.25">
      <c r="E5" s="3" t="s">
        <v>1</v>
      </c>
    </row>
    <row r="6" spans="1:64" x14ac:dyDescent="0.25">
      <c r="E6" s="3" t="s">
        <v>2</v>
      </c>
    </row>
    <row r="7" spans="1:64" x14ac:dyDescent="0.25">
      <c r="E7" s="2"/>
    </row>
    <row r="8" spans="1:64" ht="23.45" customHeight="1" x14ac:dyDescent="0.25">
      <c r="E8" s="5" t="s">
        <v>3</v>
      </c>
    </row>
    <row r="9" spans="1:64" x14ac:dyDescent="0.25">
      <c r="E9" s="7" t="s">
        <v>4</v>
      </c>
    </row>
    <row r="10" spans="1:64" x14ac:dyDescent="0.25">
      <c r="E10" s="9" t="s">
        <v>5</v>
      </c>
    </row>
    <row r="11" spans="1:64" x14ac:dyDescent="0.25">
      <c r="E11" s="7" t="s">
        <v>6</v>
      </c>
    </row>
    <row r="12" spans="1:64" x14ac:dyDescent="0.25">
      <c r="E12" s="7" t="s">
        <v>7</v>
      </c>
    </row>
    <row r="13" spans="1:64" x14ac:dyDescent="0.25">
      <c r="E13" s="7" t="s">
        <v>8</v>
      </c>
    </row>
    <row r="14" spans="1:64" x14ac:dyDescent="0.25">
      <c r="E14" s="7" t="s">
        <v>9</v>
      </c>
    </row>
    <row r="15" spans="1:64" x14ac:dyDescent="0.25">
      <c r="E15" s="7" t="s">
        <v>10</v>
      </c>
    </row>
    <row r="16" spans="1:64" x14ac:dyDescent="0.25">
      <c r="E16" s="7" t="s">
        <v>11</v>
      </c>
    </row>
    <row r="17" spans="5:5" x14ac:dyDescent="0.25">
      <c r="E17" s="7" t="s">
        <v>12</v>
      </c>
    </row>
    <row r="18" spans="5:5" x14ac:dyDescent="0.25">
      <c r="E18" s="7" t="s">
        <v>13</v>
      </c>
    </row>
    <row r="19" spans="5:5" x14ac:dyDescent="0.25">
      <c r="E19" s="7"/>
    </row>
    <row r="20" spans="5:5" x14ac:dyDescent="0.25">
      <c r="E20" s="5" t="s">
        <v>14</v>
      </c>
    </row>
    <row r="21" spans="5:5" x14ac:dyDescent="0.25">
      <c r="E21" s="7" t="s">
        <v>15</v>
      </c>
    </row>
    <row r="22" spans="5:5" x14ac:dyDescent="0.25">
      <c r="E22" s="9" t="s">
        <v>16</v>
      </c>
    </row>
    <row r="23" spans="5:5" x14ac:dyDescent="0.25">
      <c r="E23" s="7" t="s">
        <v>11</v>
      </c>
    </row>
    <row r="24" spans="5:5" x14ac:dyDescent="0.25">
      <c r="E24" s="7" t="s">
        <v>17</v>
      </c>
    </row>
    <row r="25" spans="5:5" x14ac:dyDescent="0.25">
      <c r="E25" s="7"/>
    </row>
    <row r="26" spans="5:5" x14ac:dyDescent="0.25">
      <c r="E26" s="7"/>
    </row>
    <row r="27" spans="5:5" x14ac:dyDescent="0.25">
      <c r="E27" s="7"/>
    </row>
    <row r="28" spans="5:5" x14ac:dyDescent="0.25">
      <c r="E28" s="7" t="s">
        <v>13</v>
      </c>
    </row>
    <row r="29" spans="5:5" x14ac:dyDescent="0.25">
      <c r="E29" s="7" t="s">
        <v>18</v>
      </c>
    </row>
    <row r="30" spans="5:5" x14ac:dyDescent="0.25">
      <c r="E30" s="7"/>
    </row>
    <row r="31" spans="5:5" x14ac:dyDescent="0.25">
      <c r="E31" s="7"/>
    </row>
    <row r="32" spans="5:5" x14ac:dyDescent="0.25">
      <c r="E32" s="5" t="s">
        <v>19</v>
      </c>
    </row>
    <row r="33" spans="5:5" x14ac:dyDescent="0.25">
      <c r="E33" s="7" t="s">
        <v>20</v>
      </c>
    </row>
    <row r="34" spans="5:5" x14ac:dyDescent="0.25">
      <c r="E34" s="7" t="s">
        <v>7</v>
      </c>
    </row>
    <row r="35" spans="5:5" x14ac:dyDescent="0.25">
      <c r="E35" s="7" t="s">
        <v>8</v>
      </c>
    </row>
    <row r="36" spans="5:5" x14ac:dyDescent="0.25">
      <c r="E36" s="7" t="s">
        <v>9</v>
      </c>
    </row>
    <row r="37" spans="5:5" x14ac:dyDescent="0.25">
      <c r="E37" s="7"/>
    </row>
    <row r="38" spans="5:5" x14ac:dyDescent="0.25">
      <c r="E38" s="7"/>
    </row>
    <row r="39" spans="5:5" x14ac:dyDescent="0.25">
      <c r="E39" s="7"/>
    </row>
    <row r="40" spans="5:5" x14ac:dyDescent="0.25">
      <c r="E40" s="5" t="s">
        <v>21</v>
      </c>
    </row>
    <row r="41" spans="5:5" x14ac:dyDescent="0.25">
      <c r="E41" s="7" t="s">
        <v>22</v>
      </c>
    </row>
    <row r="42" spans="5:5" x14ac:dyDescent="0.25">
      <c r="E42" s="7" t="s">
        <v>23</v>
      </c>
    </row>
    <row r="43" spans="5:5" x14ac:dyDescent="0.25">
      <c r="E43" s="7" t="s">
        <v>24</v>
      </c>
    </row>
    <row r="44" spans="5:5" x14ac:dyDescent="0.25">
      <c r="E44" s="9" t="s">
        <v>25</v>
      </c>
    </row>
    <row r="45" spans="5:5" x14ac:dyDescent="0.25">
      <c r="E45" s="7" t="s">
        <v>26</v>
      </c>
    </row>
    <row r="46" spans="5:5" x14ac:dyDescent="0.25">
      <c r="E46" s="7" t="s">
        <v>27</v>
      </c>
    </row>
    <row r="47" spans="5:5" x14ac:dyDescent="0.25">
      <c r="E47" s="7" t="s">
        <v>28</v>
      </c>
    </row>
    <row r="48" spans="5:5" x14ac:dyDescent="0.25">
      <c r="E48" s="7" t="s">
        <v>29</v>
      </c>
    </row>
    <row r="49" spans="5:5" x14ac:dyDescent="0.25">
      <c r="E49" s="7"/>
    </row>
    <row r="50" spans="5:5" x14ac:dyDescent="0.25">
      <c r="E50" s="5" t="s">
        <v>30</v>
      </c>
    </row>
    <row r="51" spans="5:5" x14ac:dyDescent="0.25">
      <c r="E51" s="7" t="s">
        <v>31</v>
      </c>
    </row>
    <row r="52" spans="5:5" x14ac:dyDescent="0.25">
      <c r="E52" s="7" t="s">
        <v>32</v>
      </c>
    </row>
    <row r="53" spans="5:5" x14ac:dyDescent="0.25">
      <c r="E53" s="7" t="s">
        <v>33</v>
      </c>
    </row>
    <row r="54" spans="5:5" x14ac:dyDescent="0.25">
      <c r="E54" s="7" t="s">
        <v>34</v>
      </c>
    </row>
    <row r="55" spans="5:5" x14ac:dyDescent="0.25">
      <c r="E55" s="7"/>
    </row>
    <row r="56" spans="5:5" x14ac:dyDescent="0.25">
      <c r="E56" s="5" t="s">
        <v>35</v>
      </c>
    </row>
    <row r="57" spans="5:5" x14ac:dyDescent="0.25">
      <c r="E57" s="7" t="s">
        <v>36</v>
      </c>
    </row>
    <row r="58" spans="5:5" x14ac:dyDescent="0.25">
      <c r="E58" s="7" t="s">
        <v>37</v>
      </c>
    </row>
    <row r="59" spans="5:5" x14ac:dyDescent="0.25">
      <c r="E59" s="7" t="s">
        <v>38</v>
      </c>
    </row>
    <row r="60" spans="5:5" x14ac:dyDescent="0.25">
      <c r="E60" s="7" t="s">
        <v>39</v>
      </c>
    </row>
    <row r="61" spans="5:5" x14ac:dyDescent="0.25">
      <c r="E61" s="7" t="s">
        <v>40</v>
      </c>
    </row>
    <row r="62" spans="5:5" x14ac:dyDescent="0.25">
      <c r="E62" s="7" t="s">
        <v>41</v>
      </c>
    </row>
    <row r="63" spans="5:5" x14ac:dyDescent="0.25">
      <c r="E63" s="7" t="s">
        <v>42</v>
      </c>
    </row>
    <row r="64" spans="5:5" x14ac:dyDescent="0.25">
      <c r="E64" s="7" t="s">
        <v>43</v>
      </c>
    </row>
    <row r="65" spans="5:5" x14ac:dyDescent="0.25">
      <c r="E65" s="7" t="s">
        <v>44</v>
      </c>
    </row>
    <row r="66" spans="5:5" x14ac:dyDescent="0.25">
      <c r="E66" s="7" t="s">
        <v>45</v>
      </c>
    </row>
    <row r="67" spans="5:5" x14ac:dyDescent="0.25">
      <c r="E67" s="7" t="s">
        <v>46</v>
      </c>
    </row>
    <row r="68" spans="5:5" x14ac:dyDescent="0.25">
      <c r="E68" s="7" t="s">
        <v>47</v>
      </c>
    </row>
    <row r="69" spans="5:5" x14ac:dyDescent="0.25">
      <c r="E69" s="7"/>
    </row>
    <row r="70" spans="5:5" x14ac:dyDescent="0.25">
      <c r="E70" s="5" t="s">
        <v>48</v>
      </c>
    </row>
    <row r="71" spans="5:5" x14ac:dyDescent="0.25">
      <c r="E71" s="7" t="s">
        <v>49</v>
      </c>
    </row>
    <row r="72" spans="5:5" x14ac:dyDescent="0.25">
      <c r="E72" s="7" t="s">
        <v>50</v>
      </c>
    </row>
    <row r="73" spans="5:5" x14ac:dyDescent="0.25">
      <c r="E73" s="7" t="s">
        <v>51</v>
      </c>
    </row>
    <row r="74" spans="5:5" x14ac:dyDescent="0.25">
      <c r="E74" s="7" t="s">
        <v>52</v>
      </c>
    </row>
    <row r="75" spans="5:5" x14ac:dyDescent="0.25">
      <c r="E75" s="7" t="s">
        <v>53</v>
      </c>
    </row>
    <row r="76" spans="5:5" x14ac:dyDescent="0.25">
      <c r="E76" s="7" t="s">
        <v>54</v>
      </c>
    </row>
    <row r="77" spans="5:5" x14ac:dyDescent="0.25">
      <c r="E77" s="7" t="s">
        <v>2</v>
      </c>
    </row>
    <row r="78" spans="5:5" x14ac:dyDescent="0.25">
      <c r="E78" s="7"/>
    </row>
    <row r="79" spans="5:5" x14ac:dyDescent="0.25">
      <c r="E79" s="5" t="s">
        <v>55</v>
      </c>
    </row>
    <row r="80" spans="5:5" x14ac:dyDescent="0.25">
      <c r="E80" s="7" t="s">
        <v>56</v>
      </c>
    </row>
    <row r="81" spans="5:5" x14ac:dyDescent="0.25">
      <c r="E81" s="7" t="s">
        <v>57</v>
      </c>
    </row>
    <row r="82" spans="5:5" x14ac:dyDescent="0.25">
      <c r="E82" s="7" t="s">
        <v>58</v>
      </c>
    </row>
    <row r="83" spans="5:5" x14ac:dyDescent="0.25">
      <c r="E83" s="7" t="s">
        <v>59</v>
      </c>
    </row>
    <row r="84" spans="5:5" x14ac:dyDescent="0.25">
      <c r="E84" s="7"/>
    </row>
    <row r="85" spans="5:5" x14ac:dyDescent="0.25">
      <c r="E85" s="5" t="s">
        <v>60</v>
      </c>
    </row>
    <row r="86" spans="5:5" x14ac:dyDescent="0.25">
      <c r="E86" s="7" t="s">
        <v>61</v>
      </c>
    </row>
    <row r="87" spans="5:5" x14ac:dyDescent="0.25">
      <c r="E87" s="7" t="s">
        <v>62</v>
      </c>
    </row>
    <row r="88" spans="5:5" x14ac:dyDescent="0.25">
      <c r="E88" s="7" t="s">
        <v>63</v>
      </c>
    </row>
    <row r="89" spans="5:5" x14ac:dyDescent="0.25">
      <c r="E89" s="7" t="s">
        <v>64</v>
      </c>
    </row>
    <row r="90" spans="5:5" x14ac:dyDescent="0.25">
      <c r="E90" s="15" t="s">
        <v>18</v>
      </c>
    </row>
    <row r="91" spans="5:5" x14ac:dyDescent="0.25">
      <c r="E91" s="5" t="s">
        <v>65</v>
      </c>
    </row>
    <row r="92" spans="5:5" x14ac:dyDescent="0.25">
      <c r="E92" s="16" t="s">
        <v>66</v>
      </c>
    </row>
    <row r="93" spans="5:5" x14ac:dyDescent="0.25">
      <c r="E93" s="16" t="s">
        <v>67</v>
      </c>
    </row>
    <row r="94" spans="5:5" x14ac:dyDescent="0.25">
      <c r="E94" s="7" t="s">
        <v>53</v>
      </c>
    </row>
    <row r="95" spans="5:5" x14ac:dyDescent="0.25">
      <c r="E95" s="7" t="s">
        <v>54</v>
      </c>
    </row>
    <row r="96" spans="5:5" x14ac:dyDescent="0.25">
      <c r="E96" s="2"/>
    </row>
    <row r="97" spans="5:5" x14ac:dyDescent="0.25">
      <c r="E97" s="2"/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A1:I35"/>
  <sheetViews>
    <sheetView workbookViewId="0">
      <selection activeCell="D8" sqref="D8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1" spans="1:3" x14ac:dyDescent="0.25">
      <c r="A1" t="s">
        <v>228</v>
      </c>
    </row>
    <row r="2" spans="1:3" x14ac:dyDescent="0.25">
      <c r="B2" t="s">
        <v>166</v>
      </c>
    </row>
    <row r="3" spans="1:3" ht="18.75" x14ac:dyDescent="0.3">
      <c r="B3" s="1" t="s">
        <v>101</v>
      </c>
      <c r="C3" s="2"/>
    </row>
    <row r="4" spans="1:3" x14ac:dyDescent="0.25">
      <c r="B4" s="2"/>
      <c r="C4" s="2"/>
    </row>
    <row r="5" spans="1:3" x14ac:dyDescent="0.25">
      <c r="B5" s="3"/>
      <c r="C5" s="3"/>
    </row>
    <row r="6" spans="1:3" x14ac:dyDescent="0.25">
      <c r="B6" s="3"/>
      <c r="C6" s="4"/>
    </row>
    <row r="7" spans="1:3" x14ac:dyDescent="0.25">
      <c r="B7" s="2"/>
      <c r="C7" s="2"/>
    </row>
    <row r="8" spans="1:3" x14ac:dyDescent="0.25">
      <c r="B8" s="7"/>
      <c r="C8" s="8"/>
    </row>
    <row r="9" spans="1:3" x14ac:dyDescent="0.25">
      <c r="B9" s="5"/>
      <c r="C9" s="8"/>
    </row>
    <row r="10" spans="1:3" x14ac:dyDescent="0.25">
      <c r="B10" s="7"/>
      <c r="C10" s="10"/>
    </row>
    <row r="11" spans="1:3" x14ac:dyDescent="0.25">
      <c r="B11" s="7"/>
      <c r="C11" s="8"/>
    </row>
    <row r="12" spans="1:3" x14ac:dyDescent="0.25">
      <c r="B12" s="7"/>
      <c r="C12" s="8"/>
    </row>
    <row r="13" spans="1:3" x14ac:dyDescent="0.25">
      <c r="B13" s="7"/>
      <c r="C13" s="8"/>
    </row>
    <row r="14" spans="1:3" x14ac:dyDescent="0.25">
      <c r="B14" s="7"/>
      <c r="C14" s="8"/>
    </row>
    <row r="15" spans="1:3" x14ac:dyDescent="0.25">
      <c r="B15" s="7"/>
      <c r="C15" s="8"/>
    </row>
    <row r="16" spans="1:3" x14ac:dyDescent="0.25">
      <c r="B16" s="7"/>
      <c r="C16" s="8"/>
    </row>
    <row r="17" spans="2:8" x14ac:dyDescent="0.25">
      <c r="B17" s="7"/>
      <c r="C17" s="8"/>
    </row>
    <row r="18" spans="2:8" ht="15.95" customHeight="1" x14ac:dyDescent="0.25">
      <c r="B18" s="7"/>
      <c r="C18" s="8"/>
    </row>
    <row r="19" spans="2:8" x14ac:dyDescent="0.25">
      <c r="B19" s="2"/>
      <c r="C19" s="2"/>
      <c r="D19" s="2"/>
      <c r="E19" s="2"/>
      <c r="F19" s="2"/>
    </row>
    <row r="20" spans="2:8" x14ac:dyDescent="0.25">
      <c r="B20" s="2"/>
      <c r="C20" s="2"/>
      <c r="D20" s="45"/>
      <c r="E20" s="45"/>
      <c r="F20" s="2"/>
    </row>
    <row r="21" spans="2:8" x14ac:dyDescent="0.25">
      <c r="B21" s="2"/>
      <c r="C21" s="2"/>
      <c r="D21" s="45"/>
      <c r="E21" s="45"/>
      <c r="F21" s="2"/>
    </row>
    <row r="22" spans="2:8" x14ac:dyDescent="0.25">
      <c r="B22" s="48"/>
      <c r="C22" s="2"/>
      <c r="D22" s="45"/>
      <c r="E22" s="45"/>
      <c r="F22" s="2"/>
    </row>
    <row r="23" spans="2:8" x14ac:dyDescent="0.25">
      <c r="B23" s="2"/>
      <c r="C23" s="2"/>
      <c r="D23" s="45"/>
      <c r="E23" s="45"/>
      <c r="F23" s="2"/>
    </row>
    <row r="24" spans="2:8" x14ac:dyDescent="0.25">
      <c r="B24" s="2"/>
      <c r="C24" s="2"/>
      <c r="D24" s="45"/>
      <c r="E24" s="45"/>
      <c r="F24" s="2"/>
    </row>
    <row r="25" spans="2:8" x14ac:dyDescent="0.25">
      <c r="B25" s="2"/>
      <c r="C25" s="49"/>
      <c r="D25" s="45"/>
      <c r="E25" s="45"/>
      <c r="F25" s="2"/>
    </row>
    <row r="26" spans="2:8" x14ac:dyDescent="0.25">
      <c r="B26" s="2"/>
      <c r="C26" s="2"/>
      <c r="D26" s="45"/>
      <c r="E26" s="45"/>
      <c r="F26" s="2"/>
    </row>
    <row r="27" spans="2:8" x14ac:dyDescent="0.25">
      <c r="B27" s="2"/>
      <c r="C27" s="2"/>
      <c r="D27" s="2"/>
      <c r="E27" s="2"/>
      <c r="F27" s="2"/>
    </row>
    <row r="28" spans="2:8" x14ac:dyDescent="0.25">
      <c r="B28" s="2"/>
      <c r="C28" s="50"/>
      <c r="D28" s="2"/>
      <c r="E28" s="2"/>
      <c r="F28" s="2"/>
      <c r="G28" s="45"/>
    </row>
    <row r="29" spans="2:8" x14ac:dyDescent="0.25">
      <c r="B29" s="2"/>
      <c r="C29" s="50"/>
      <c r="D29" s="2"/>
      <c r="E29" s="2"/>
      <c r="F29" s="2"/>
      <c r="G29" s="45"/>
    </row>
    <row r="30" spans="2:8" x14ac:dyDescent="0.25">
      <c r="B30" s="2"/>
      <c r="C30" s="50"/>
      <c r="D30" s="8"/>
      <c r="E30" s="2"/>
      <c r="F30" s="2"/>
      <c r="G30" s="2"/>
      <c r="H30" s="45"/>
    </row>
    <row r="31" spans="2:8" x14ac:dyDescent="0.25">
      <c r="B31" s="2"/>
      <c r="C31" s="50"/>
      <c r="D31" s="8"/>
      <c r="E31" s="2"/>
      <c r="F31" s="2"/>
      <c r="G31" s="2"/>
      <c r="H31" s="45"/>
    </row>
    <row r="32" spans="2:8" x14ac:dyDescent="0.25">
      <c r="B32" s="2"/>
      <c r="C32" s="50"/>
      <c r="D32" s="2"/>
      <c r="E32" s="2"/>
      <c r="F32" s="2"/>
      <c r="G32" s="45"/>
    </row>
    <row r="33" spans="2:9" x14ac:dyDescent="0.25">
      <c r="B33" s="2"/>
      <c r="C33" s="50"/>
      <c r="D33" s="2"/>
      <c r="E33" s="2"/>
      <c r="F33" s="2"/>
      <c r="G33" s="45"/>
    </row>
    <row r="34" spans="2:9" x14ac:dyDescent="0.25">
      <c r="B34" s="2"/>
      <c r="C34" s="50"/>
      <c r="D34" s="2"/>
      <c r="E34" s="2"/>
      <c r="F34" s="2"/>
      <c r="G34" s="45"/>
    </row>
    <row r="35" spans="2:9" x14ac:dyDescent="0.25">
      <c r="B35" s="11"/>
      <c r="C35" s="2"/>
      <c r="D35" s="2"/>
      <c r="E35" s="2"/>
      <c r="F35" s="2"/>
      <c r="G35" s="2"/>
      <c r="H35" s="45"/>
      <c r="I35" s="4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8" name="cmdMenu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B2:I61"/>
  <sheetViews>
    <sheetView workbookViewId="0">
      <selection activeCell="L6" sqref="L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2" spans="2:3" x14ac:dyDescent="0.25">
      <c r="B2" t="s">
        <v>132</v>
      </c>
    </row>
    <row r="3" spans="2:3" ht="18.75" x14ac:dyDescent="0.3">
      <c r="B3" s="1" t="s">
        <v>101</v>
      </c>
      <c r="C3" s="2"/>
    </row>
    <row r="4" spans="2:3" x14ac:dyDescent="0.25">
      <c r="B4" s="2"/>
      <c r="C4" s="2"/>
    </row>
    <row r="5" spans="2:3" x14ac:dyDescent="0.25">
      <c r="B5" s="3" t="s">
        <v>1</v>
      </c>
      <c r="C5" s="3"/>
    </row>
    <row r="6" spans="2:3" x14ac:dyDescent="0.25">
      <c r="B6" s="3" t="s">
        <v>2</v>
      </c>
      <c r="C6" s="4"/>
    </row>
    <row r="7" spans="2:3" x14ac:dyDescent="0.25">
      <c r="B7" s="2"/>
      <c r="C7" s="2"/>
    </row>
    <row r="8" spans="2:3" x14ac:dyDescent="0.25">
      <c r="B8" s="7"/>
      <c r="C8" s="8"/>
    </row>
    <row r="9" spans="2:3" x14ac:dyDescent="0.25">
      <c r="B9" s="5" t="s">
        <v>35</v>
      </c>
      <c r="C9" s="8"/>
    </row>
    <row r="10" spans="2:3" x14ac:dyDescent="0.25">
      <c r="B10" s="7" t="s">
        <v>36</v>
      </c>
      <c r="C10" s="10"/>
    </row>
    <row r="11" spans="2:3" x14ac:dyDescent="0.25">
      <c r="B11" s="7" t="s">
        <v>37</v>
      </c>
      <c r="C11" s="8"/>
    </row>
    <row r="12" spans="2:3" x14ac:dyDescent="0.25">
      <c r="B12" s="7" t="s">
        <v>38</v>
      </c>
      <c r="C12" s="8"/>
    </row>
    <row r="13" spans="2:3" x14ac:dyDescent="0.25">
      <c r="B13" s="7" t="s">
        <v>39</v>
      </c>
      <c r="C13" s="8"/>
    </row>
    <row r="14" spans="2:3" x14ac:dyDescent="0.25">
      <c r="B14" s="7" t="s">
        <v>40</v>
      </c>
      <c r="C14" s="8"/>
    </row>
    <row r="15" spans="2:3" x14ac:dyDescent="0.25">
      <c r="B15" s="7" t="s">
        <v>41</v>
      </c>
      <c r="C15" s="8"/>
    </row>
    <row r="16" spans="2:3" x14ac:dyDescent="0.25">
      <c r="B16" s="7" t="s">
        <v>42</v>
      </c>
      <c r="C16" s="8"/>
    </row>
    <row r="17" spans="2:9" x14ac:dyDescent="0.25">
      <c r="B17" s="7" t="s">
        <v>43</v>
      </c>
      <c r="C17" s="8"/>
    </row>
    <row r="18" spans="2:9" x14ac:dyDescent="0.25">
      <c r="B18" s="7" t="s">
        <v>44</v>
      </c>
      <c r="C18" s="8"/>
    </row>
    <row r="19" spans="2:9" x14ac:dyDescent="0.25">
      <c r="B19" s="7" t="s">
        <v>45</v>
      </c>
      <c r="C19" s="8"/>
    </row>
    <row r="20" spans="2:9" x14ac:dyDescent="0.25">
      <c r="B20" s="7" t="s">
        <v>46</v>
      </c>
      <c r="C20" s="8"/>
    </row>
    <row r="21" spans="2:9" x14ac:dyDescent="0.25">
      <c r="B21" s="7" t="s">
        <v>47</v>
      </c>
      <c r="C21" s="8"/>
    </row>
    <row r="22" spans="2:9" x14ac:dyDescent="0.25">
      <c r="B22" s="7"/>
      <c r="C22" s="8"/>
    </row>
    <row r="23" spans="2:9" x14ac:dyDescent="0.25">
      <c r="B23" s="2"/>
      <c r="C23" s="2"/>
    </row>
    <row r="24" spans="2:9" x14ac:dyDescent="0.25">
      <c r="B24" s="31"/>
      <c r="C24" s="31"/>
      <c r="D24" s="31"/>
      <c r="E24" s="32" t="s">
        <v>102</v>
      </c>
      <c r="F24" s="32" t="s">
        <v>103</v>
      </c>
      <c r="G24" s="8" t="s">
        <v>103</v>
      </c>
      <c r="H24" s="33"/>
      <c r="I24" s="33"/>
    </row>
    <row r="25" spans="2:9" x14ac:dyDescent="0.25">
      <c r="B25" s="34"/>
      <c r="C25" s="34"/>
      <c r="D25" s="34"/>
      <c r="E25" s="35" t="s">
        <v>104</v>
      </c>
      <c r="F25" s="35" t="s">
        <v>105</v>
      </c>
      <c r="G25" s="8" t="s">
        <v>106</v>
      </c>
      <c r="H25" s="36"/>
      <c r="I25" s="36"/>
    </row>
    <row r="26" spans="2:9" x14ac:dyDescent="0.25">
      <c r="B26" s="34" t="s">
        <v>107</v>
      </c>
      <c r="C26" s="2"/>
      <c r="D26" s="32" t="s">
        <v>108</v>
      </c>
      <c r="E26" s="37"/>
      <c r="F26" s="38"/>
      <c r="G26" s="39"/>
      <c r="H26" s="40"/>
      <c r="I26" s="41"/>
    </row>
    <row r="27" spans="2:9" x14ac:dyDescent="0.25">
      <c r="B27" s="6"/>
      <c r="C27" s="2"/>
      <c r="D27" s="42"/>
      <c r="E27" s="43"/>
      <c r="F27" s="43"/>
      <c r="G27" s="43"/>
      <c r="H27" s="43"/>
      <c r="I27" s="43"/>
    </row>
    <row r="28" spans="2:9" x14ac:dyDescent="0.25">
      <c r="B28" s="6" t="s">
        <v>109</v>
      </c>
      <c r="C28" s="2"/>
      <c r="D28" s="43"/>
      <c r="E28" s="43"/>
      <c r="F28" s="43"/>
      <c r="G28" s="43"/>
    </row>
    <row r="29" spans="2:9" x14ac:dyDescent="0.25">
      <c r="B29" s="6"/>
      <c r="C29" s="2"/>
      <c r="D29" s="43"/>
      <c r="E29" s="43"/>
      <c r="F29" s="43"/>
      <c r="G29" s="43"/>
    </row>
    <row r="30" spans="2:9" x14ac:dyDescent="0.25">
      <c r="B30" s="6" t="s">
        <v>110</v>
      </c>
      <c r="C30" s="2"/>
      <c r="D30" s="44"/>
      <c r="E30" s="43"/>
      <c r="F30" s="43"/>
      <c r="G30" s="43"/>
    </row>
    <row r="31" spans="2:9" x14ac:dyDescent="0.25">
      <c r="B31" s="6" t="s">
        <v>111</v>
      </c>
      <c r="C31" s="2"/>
      <c r="D31" s="42"/>
      <c r="E31" s="44"/>
      <c r="F31" s="44"/>
      <c r="G31" s="44"/>
    </row>
    <row r="32" spans="2:9" x14ac:dyDescent="0.25">
      <c r="B32" s="6"/>
      <c r="C32" s="2"/>
      <c r="D32" s="42"/>
      <c r="E32" s="44"/>
      <c r="F32" s="44"/>
      <c r="G32" s="44"/>
    </row>
    <row r="33" spans="2:8" x14ac:dyDescent="0.25">
      <c r="B33" s="45" t="s">
        <v>112</v>
      </c>
      <c r="C33" s="2"/>
      <c r="D33" s="42" t="s">
        <v>113</v>
      </c>
      <c r="E33" s="42" t="s">
        <v>114</v>
      </c>
      <c r="F33" s="44"/>
      <c r="G33" s="44"/>
    </row>
    <row r="34" spans="2:8" x14ac:dyDescent="0.25">
      <c r="B34" s="45"/>
      <c r="C34" s="2" t="s">
        <v>115</v>
      </c>
      <c r="D34" s="46"/>
      <c r="E34" s="46"/>
      <c r="F34" s="42"/>
      <c r="G34" s="44"/>
    </row>
    <row r="35" spans="2:8" x14ac:dyDescent="0.25">
      <c r="B35" s="2"/>
      <c r="C35" s="2" t="s">
        <v>116</v>
      </c>
      <c r="D35" s="46"/>
      <c r="E35" s="46"/>
      <c r="F35" s="42"/>
      <c r="G35" s="44"/>
    </row>
    <row r="36" spans="2:8" x14ac:dyDescent="0.25">
      <c r="B36" s="2"/>
      <c r="C36" s="2" t="s">
        <v>117</v>
      </c>
      <c r="D36" s="46"/>
      <c r="E36" s="46"/>
      <c r="F36" s="42"/>
      <c r="G36" s="44"/>
    </row>
    <row r="37" spans="2:8" x14ac:dyDescent="0.25">
      <c r="B37" s="2"/>
      <c r="C37" s="2" t="s">
        <v>118</v>
      </c>
      <c r="D37" s="46"/>
      <c r="E37" s="46"/>
      <c r="F37" s="42"/>
      <c r="G37" s="44"/>
    </row>
    <row r="38" spans="2:8" x14ac:dyDescent="0.25">
      <c r="B38" s="2"/>
      <c r="C38" s="2" t="s">
        <v>119</v>
      </c>
      <c r="D38" s="46"/>
      <c r="E38" s="46"/>
      <c r="F38" s="42"/>
      <c r="G38" s="44"/>
    </row>
    <row r="39" spans="2:8" x14ac:dyDescent="0.25">
      <c r="B39" s="2"/>
      <c r="C39" s="2"/>
      <c r="D39" s="8"/>
      <c r="E39" s="2"/>
      <c r="F39" s="2"/>
      <c r="G39" s="2"/>
      <c r="H39" s="2"/>
    </row>
    <row r="40" spans="2:8" x14ac:dyDescent="0.25">
      <c r="B40" s="2" t="s">
        <v>120</v>
      </c>
      <c r="C40" s="2"/>
      <c r="D40" s="47"/>
      <c r="E40" s="2"/>
      <c r="F40" s="2"/>
      <c r="G40" s="2"/>
      <c r="H40" s="2"/>
    </row>
    <row r="41" spans="2:8" x14ac:dyDescent="0.25">
      <c r="B41" s="8" t="s">
        <v>121</v>
      </c>
      <c r="C41" s="2"/>
      <c r="D41" s="8"/>
      <c r="E41" s="2"/>
      <c r="F41" s="2"/>
      <c r="G41" s="2"/>
      <c r="H41" s="8"/>
    </row>
    <row r="42" spans="2:8" x14ac:dyDescent="0.25">
      <c r="B42" s="48" t="s">
        <v>122</v>
      </c>
      <c r="C42" s="2" t="s">
        <v>18</v>
      </c>
      <c r="D42" s="8" t="s">
        <v>18</v>
      </c>
      <c r="E42" s="45"/>
      <c r="F42" s="45"/>
      <c r="G42" s="2"/>
    </row>
    <row r="43" spans="2:8" x14ac:dyDescent="0.25">
      <c r="B43" s="2"/>
      <c r="C43" s="2" t="s">
        <v>123</v>
      </c>
      <c r="D43" s="45"/>
      <c r="E43" s="45"/>
      <c r="F43" s="2"/>
    </row>
    <row r="44" spans="2:8" x14ac:dyDescent="0.25">
      <c r="B44" s="2"/>
      <c r="C44" s="2"/>
      <c r="D44" s="45"/>
      <c r="E44" s="45"/>
      <c r="F44" s="2"/>
    </row>
    <row r="45" spans="2:8" x14ac:dyDescent="0.25">
      <c r="B45" s="2"/>
      <c r="C45" s="2" t="s">
        <v>124</v>
      </c>
      <c r="D45" s="2"/>
      <c r="E45" s="2"/>
      <c r="F45" s="2"/>
    </row>
    <row r="46" spans="2:8" x14ac:dyDescent="0.25">
      <c r="B46" s="2"/>
      <c r="C46" s="2" t="s">
        <v>125</v>
      </c>
      <c r="D46" s="45"/>
      <c r="E46" s="45"/>
      <c r="F46" s="2"/>
    </row>
    <row r="47" spans="2:8" x14ac:dyDescent="0.25">
      <c r="B47" s="2"/>
      <c r="C47" s="2"/>
      <c r="D47" s="45"/>
      <c r="E47" s="45"/>
      <c r="F47" s="2"/>
    </row>
    <row r="48" spans="2:8" x14ac:dyDescent="0.25">
      <c r="B48" s="48" t="s">
        <v>126</v>
      </c>
      <c r="C48" s="2"/>
      <c r="D48" s="45"/>
      <c r="E48" s="45"/>
      <c r="F48" s="2"/>
    </row>
    <row r="49" spans="2:9" x14ac:dyDescent="0.25">
      <c r="B49" s="2"/>
      <c r="C49" s="2" t="s">
        <v>134</v>
      </c>
      <c r="D49" s="45"/>
      <c r="E49" s="45"/>
      <c r="F49" s="2"/>
    </row>
    <row r="50" spans="2:9" x14ac:dyDescent="0.25">
      <c r="B50" s="2"/>
      <c r="C50" s="2" t="s">
        <v>125</v>
      </c>
      <c r="D50" s="45"/>
      <c r="E50" s="45"/>
      <c r="F50" s="2"/>
    </row>
    <row r="51" spans="2:9" x14ac:dyDescent="0.25">
      <c r="B51" s="2"/>
      <c r="C51" s="49" t="s">
        <v>18</v>
      </c>
      <c r="D51" s="45"/>
      <c r="E51" s="45"/>
      <c r="F51" s="2"/>
    </row>
    <row r="52" spans="2:9" x14ac:dyDescent="0.25">
      <c r="B52" s="2" t="s">
        <v>127</v>
      </c>
      <c r="C52" s="2" t="s">
        <v>18</v>
      </c>
      <c r="D52" s="45"/>
      <c r="E52" s="45"/>
      <c r="F52" s="2"/>
    </row>
    <row r="53" spans="2:9" x14ac:dyDescent="0.25">
      <c r="B53" s="2"/>
      <c r="C53" s="2" t="s">
        <v>128</v>
      </c>
      <c r="D53" s="2"/>
      <c r="E53" s="2"/>
      <c r="F53" s="2"/>
    </row>
    <row r="54" spans="2:9" x14ac:dyDescent="0.25">
      <c r="B54" s="2"/>
      <c r="C54" s="50"/>
      <c r="D54" s="2"/>
      <c r="E54" s="2"/>
      <c r="F54" s="2"/>
      <c r="G54" s="45"/>
    </row>
    <row r="55" spans="2:9" x14ac:dyDescent="0.25">
      <c r="B55" s="2"/>
      <c r="C55" s="50" t="s">
        <v>129</v>
      </c>
      <c r="D55" s="2"/>
      <c r="E55" s="2"/>
      <c r="F55" s="2"/>
      <c r="G55" s="45"/>
    </row>
    <row r="56" spans="2:9" x14ac:dyDescent="0.25">
      <c r="B56" s="2"/>
      <c r="C56" s="50"/>
      <c r="D56" s="8"/>
      <c r="E56" s="2"/>
      <c r="F56" s="2"/>
      <c r="G56" s="2"/>
      <c r="H56" s="45"/>
    </row>
    <row r="57" spans="2:9" x14ac:dyDescent="0.25">
      <c r="B57" s="2" t="s">
        <v>130</v>
      </c>
      <c r="C57" s="50"/>
      <c r="D57" s="8"/>
      <c r="E57" s="2"/>
      <c r="F57" s="2"/>
      <c r="G57" s="2"/>
      <c r="H57" s="45"/>
    </row>
    <row r="58" spans="2:9" x14ac:dyDescent="0.25">
      <c r="B58" s="2"/>
      <c r="C58" s="50" t="s">
        <v>133</v>
      </c>
      <c r="D58" s="2"/>
      <c r="E58" s="2"/>
      <c r="F58" s="2"/>
      <c r="G58" s="45"/>
    </row>
    <row r="59" spans="2:9" x14ac:dyDescent="0.25">
      <c r="B59" s="2"/>
      <c r="C59" s="50"/>
      <c r="D59" s="2"/>
      <c r="E59" s="2"/>
      <c r="F59" s="2"/>
      <c r="G59" s="45"/>
    </row>
    <row r="60" spans="2:9" x14ac:dyDescent="0.25">
      <c r="B60" s="2"/>
      <c r="C60" s="50" t="s">
        <v>131</v>
      </c>
      <c r="D60" s="2"/>
      <c r="E60" s="2"/>
      <c r="F60" s="2"/>
      <c r="G60" s="45"/>
    </row>
    <row r="61" spans="2:9" x14ac:dyDescent="0.25">
      <c r="B61" s="11"/>
      <c r="C61" s="2"/>
      <c r="D61" s="2"/>
      <c r="E61" s="2"/>
      <c r="F61" s="2"/>
      <c r="G61" s="2"/>
      <c r="H61" s="45"/>
      <c r="I61" s="4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76" r:id="rId4" name="cmdMenu">
          <controlPr autoLine="0" autoPict="0" r:id="rId5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3576" r:id="rId4" name="cmdMenu"/>
      </mc:Fallback>
    </mc:AlternateContent>
    <mc:AlternateContent xmlns:mc="http://schemas.openxmlformats.org/markup-compatibility/2006">
      <mc:Choice Requires="x14">
        <control shapeId="23575" r:id="rId6" name="cbCracking">
          <controlPr defaultSize="0" autoFill="0" autoLine="0" r:id="rId7">
            <anchor moveWithCells="1">
              <from>
                <xdr:col>3</xdr:col>
                <xdr:colOff>47625</xdr:colOff>
                <xdr:row>54</xdr:row>
                <xdr:rowOff>0</xdr:rowOff>
              </from>
              <to>
                <xdr:col>7</xdr:col>
                <xdr:colOff>38100</xdr:colOff>
                <xdr:row>55</xdr:row>
                <xdr:rowOff>28575</xdr:rowOff>
              </to>
            </anchor>
          </controlPr>
        </control>
      </mc:Choice>
      <mc:Fallback>
        <control shapeId="23575" r:id="rId6" name="cbCracking"/>
      </mc:Fallback>
    </mc:AlternateContent>
    <mc:AlternateContent xmlns:mc="http://schemas.openxmlformats.org/markup-compatibility/2006">
      <mc:Choice Requires="x14">
        <control shapeId="23574" r:id="rId8" name="cbBreachChannels">
          <controlPr defaultSize="0" autoFill="0" autoLine="0" r:id="rId9">
            <anchor moveWithCells="1">
              <from>
                <xdr:col>3</xdr:col>
                <xdr:colOff>47625</xdr:colOff>
                <xdr:row>52</xdr:row>
                <xdr:rowOff>0</xdr:rowOff>
              </from>
              <to>
                <xdr:col>7</xdr:col>
                <xdr:colOff>38100</xdr:colOff>
                <xdr:row>53</xdr:row>
                <xdr:rowOff>28575</xdr:rowOff>
              </to>
            </anchor>
          </controlPr>
        </control>
      </mc:Choice>
      <mc:Fallback>
        <control shapeId="23574" r:id="rId8" name="cbBreachChannels"/>
      </mc:Fallback>
    </mc:AlternateContent>
    <mc:AlternateContent xmlns:mc="http://schemas.openxmlformats.org/markup-compatibility/2006">
      <mc:Choice Requires="x14">
        <control shapeId="23573" r:id="rId10" name="cbOutletColor">
          <controlPr defaultSize="0" autoFill="0" autoLine="0" r:id="rId11">
            <anchor moveWithCells="1">
              <from>
                <xdr:col>3</xdr:col>
                <xdr:colOff>9525</xdr:colOff>
                <xdr:row>48</xdr:row>
                <xdr:rowOff>9525</xdr:rowOff>
              </from>
              <to>
                <xdr:col>7</xdr:col>
                <xdr:colOff>0</xdr:colOff>
                <xdr:row>49</xdr:row>
                <xdr:rowOff>38100</xdr:rowOff>
              </to>
            </anchor>
          </controlPr>
        </control>
      </mc:Choice>
      <mc:Fallback>
        <control shapeId="23573" r:id="rId10" name="cbOutletColor"/>
      </mc:Fallback>
    </mc:AlternateContent>
    <mc:AlternateContent xmlns:mc="http://schemas.openxmlformats.org/markup-compatibility/2006">
      <mc:Choice Requires="x14">
        <control shapeId="23572" r:id="rId12" name="cbAshColor">
          <controlPr defaultSize="0" autoFill="0" autoLine="0" r:id="rId13">
            <anchor moveWithCells="1">
              <from>
                <xdr:col>3</xdr:col>
                <xdr:colOff>9525</xdr:colOff>
                <xdr:row>45</xdr:row>
                <xdr:rowOff>9525</xdr:rowOff>
              </from>
              <to>
                <xdr:col>7</xdr:col>
                <xdr:colOff>0</xdr:colOff>
                <xdr:row>46</xdr:row>
                <xdr:rowOff>38100</xdr:rowOff>
              </to>
            </anchor>
          </controlPr>
        </control>
      </mc:Choice>
      <mc:Fallback>
        <control shapeId="23572" r:id="rId12" name="cbAshColor"/>
      </mc:Fallback>
    </mc:AlternateContent>
    <mc:AlternateContent xmlns:mc="http://schemas.openxmlformats.org/markup-compatibility/2006">
      <mc:Choice Requires="x14">
        <control shapeId="23571" r:id="rId14" name="cbAsh">
          <controlPr defaultSize="0" autoFill="0" autoLine="0" r:id="rId15">
            <anchor moveWithCells="1">
              <from>
                <xdr:col>3</xdr:col>
                <xdr:colOff>28575</xdr:colOff>
                <xdr:row>43</xdr:row>
                <xdr:rowOff>161925</xdr:rowOff>
              </from>
              <to>
                <xdr:col>7</xdr:col>
                <xdr:colOff>19050</xdr:colOff>
                <xdr:row>45</xdr:row>
                <xdr:rowOff>0</xdr:rowOff>
              </to>
            </anchor>
          </controlPr>
        </control>
      </mc:Choice>
      <mc:Fallback>
        <control shapeId="23571" r:id="rId14" name="cbAsh"/>
      </mc:Fallback>
    </mc:AlternateContent>
    <mc:AlternateContent xmlns:mc="http://schemas.openxmlformats.org/markup-compatibility/2006">
      <mc:Choice Requires="x14">
        <control shapeId="23570" r:id="rId16" name="cbSoot">
          <controlPr defaultSize="0" autoFill="0" autoLine="0" r:id="rId17">
            <anchor moveWithCells="1">
              <from>
                <xdr:col>3</xdr:col>
                <xdr:colOff>28575</xdr:colOff>
                <xdr:row>41</xdr:row>
                <xdr:rowOff>161925</xdr:rowOff>
              </from>
              <to>
                <xdr:col>7</xdr:col>
                <xdr:colOff>19050</xdr:colOff>
                <xdr:row>43</xdr:row>
                <xdr:rowOff>0</xdr:rowOff>
              </to>
            </anchor>
          </controlPr>
        </control>
      </mc:Choice>
      <mc:Fallback>
        <control shapeId="23570" r:id="rId16" name="cbSoot"/>
      </mc:Fallback>
    </mc:AlternateContent>
    <mc:AlternateContent xmlns:mc="http://schemas.openxmlformats.org/markup-compatibility/2006">
      <mc:Choice Requires="x14">
        <control shapeId="23567" r:id="rId18" name="cbECD">
          <controlPr defaultSize="0" autoFill="0" autoLine="0" autoPict="0" r:id="rId19">
            <anchor moveWithCells="1">
              <from>
                <xdr:col>2</xdr:col>
                <xdr:colOff>19050</xdr:colOff>
                <xdr:row>8</xdr:row>
                <xdr:rowOff>66675</xdr:rowOff>
              </from>
              <to>
                <xdr:col>4</xdr:col>
                <xdr:colOff>219075</xdr:colOff>
                <xdr:row>9</xdr:row>
                <xdr:rowOff>104775</xdr:rowOff>
              </to>
            </anchor>
          </controlPr>
        </control>
      </mc:Choice>
      <mc:Fallback>
        <control shapeId="23567" r:id="rId18" name="cbECD"/>
      </mc:Fallback>
    </mc:AlternateContent>
    <mc:AlternateContent xmlns:mc="http://schemas.openxmlformats.org/markup-compatibility/2006">
      <mc:Choice Requires="x14">
        <control shapeId="23561" r:id="rId20" name="cbDPF">
          <controlPr defaultSize="0" autoFill="0" autoLine="0" autoPict="0" r:id="rId21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219075</xdr:rowOff>
              </to>
            </anchor>
          </controlPr>
        </control>
      </mc:Choice>
      <mc:Fallback>
        <control shapeId="23561" r:id="rId20" name="cbDPF"/>
      </mc:Fallback>
    </mc:AlternateContent>
    <mc:AlternateContent xmlns:mc="http://schemas.openxmlformats.org/markup-compatibility/2006">
      <mc:Choice Requires="x14">
        <control shapeId="23560" r:id="rId22" name="chkRedAsh">
          <controlPr autoLine="0" r:id="rId23">
            <anchor moveWithCells="1">
              <from>
                <xdr:col>3</xdr:col>
                <xdr:colOff>180975</xdr:colOff>
                <xdr:row>59</xdr:row>
                <xdr:rowOff>38100</xdr:rowOff>
              </from>
              <to>
                <xdr:col>3</xdr:col>
                <xdr:colOff>352425</xdr:colOff>
                <xdr:row>60</xdr:row>
                <xdr:rowOff>9525</xdr:rowOff>
              </to>
            </anchor>
          </controlPr>
        </control>
      </mc:Choice>
      <mc:Fallback>
        <control shapeId="23560" r:id="rId22" name="chkRedAsh"/>
      </mc:Fallback>
    </mc:AlternateContent>
    <mc:AlternateContent xmlns:mc="http://schemas.openxmlformats.org/markup-compatibility/2006">
      <mc:Choice Requires="x14">
        <control shapeId="23559" r:id="rId24" name="cmdSave">
          <controlPr defaultSize="0" autoFill="0" autoLine="0" autoPict="0" r:id="rId2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47625</xdr:rowOff>
              </to>
            </anchor>
          </controlPr>
        </control>
      </mc:Choice>
      <mc:Fallback>
        <control shapeId="23559" r:id="rId24" name="cmdSave"/>
      </mc:Fallback>
    </mc:AlternateContent>
    <mc:AlternateContent xmlns:mc="http://schemas.openxmlformats.org/markup-compatibility/2006">
      <mc:Choice Requires="x14">
        <control shapeId="23555" r:id="rId26" name="chkECDPinDropDepth">
          <controlPr autoLine="0" r:id="rId23">
            <anchor moveWithCells="1">
              <from>
                <xdr:col>3</xdr:col>
                <xdr:colOff>161925</xdr:colOff>
                <xdr:row>28</xdr:row>
                <xdr:rowOff>161925</xdr:rowOff>
              </from>
              <to>
                <xdr:col>3</xdr:col>
                <xdr:colOff>333375</xdr:colOff>
                <xdr:row>29</xdr:row>
                <xdr:rowOff>133350</xdr:rowOff>
              </to>
            </anchor>
          </controlPr>
        </control>
      </mc:Choice>
      <mc:Fallback>
        <control shapeId="23555" r:id="rId26" name="chkECDPinDropDepth"/>
      </mc:Fallback>
    </mc:AlternateContent>
    <mc:AlternateContent xmlns:mc="http://schemas.openxmlformats.org/markup-compatibility/2006">
      <mc:Choice Requires="x14">
        <control shapeId="23554" r:id="rId27" name="chkUSignalReceived">
          <controlPr autoLine="0" r:id="rId23">
            <anchor moveWithCells="1">
              <from>
                <xdr:col>3</xdr:col>
                <xdr:colOff>161925</xdr:colOff>
                <xdr:row>27</xdr:row>
                <xdr:rowOff>57150</xdr:rowOff>
              </from>
              <to>
                <xdr:col>3</xdr:col>
                <xdr:colOff>333375</xdr:colOff>
                <xdr:row>28</xdr:row>
                <xdr:rowOff>28575</xdr:rowOff>
              </to>
            </anchor>
          </controlPr>
        </control>
      </mc:Choice>
      <mc:Fallback>
        <control shapeId="23554" r:id="rId27" name="chkUSignalReceived"/>
      </mc:Fallback>
    </mc:AlternateContent>
    <mc:AlternateContent xmlns:mc="http://schemas.openxmlformats.org/markup-compatibility/2006">
      <mc:Choice Requires="x14">
        <control shapeId="23553" r:id="rId28" name="chkCoolant">
          <controlPr autoLine="0" r:id="rId23">
            <anchor moveWithCells="1">
              <from>
                <xdr:col>3</xdr:col>
                <xdr:colOff>190500</xdr:colOff>
                <xdr:row>57</xdr:row>
                <xdr:rowOff>9525</xdr:rowOff>
              </from>
              <to>
                <xdr:col>3</xdr:col>
                <xdr:colOff>361950</xdr:colOff>
                <xdr:row>57</xdr:row>
                <xdr:rowOff>171450</xdr:rowOff>
              </to>
            </anchor>
          </controlPr>
        </control>
      </mc:Choice>
      <mc:Fallback>
        <control shapeId="23553" r:id="rId28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6"/>
  <sheetViews>
    <sheetView workbookViewId="0">
      <selection activeCell="G16" sqref="G1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132</v>
      </c>
    </row>
    <row r="3" spans="2:9" ht="18.75" x14ac:dyDescent="0.3">
      <c r="B3" s="1" t="s">
        <v>101</v>
      </c>
      <c r="C3" s="2"/>
    </row>
    <row r="4" spans="2:9" x14ac:dyDescent="0.25">
      <c r="B4" s="2"/>
      <c r="C4" s="2"/>
    </row>
    <row r="5" spans="2:9" x14ac:dyDescent="0.25">
      <c r="B5" s="3" t="s">
        <v>1</v>
      </c>
      <c r="C5" s="3"/>
    </row>
    <row r="6" spans="2:9" x14ac:dyDescent="0.25">
      <c r="B6" s="3" t="s">
        <v>2</v>
      </c>
      <c r="C6" s="4"/>
    </row>
    <row r="7" spans="2:9" x14ac:dyDescent="0.25">
      <c r="B7" s="5" t="s">
        <v>35</v>
      </c>
      <c r="C7" s="8"/>
    </row>
    <row r="8" spans="2:9" x14ac:dyDescent="0.25">
      <c r="B8" s="7" t="s">
        <v>36</v>
      </c>
      <c r="C8" s="10"/>
    </row>
    <row r="9" spans="2:9" x14ac:dyDescent="0.25">
      <c r="B9" s="7" t="s">
        <v>45</v>
      </c>
      <c r="C9" s="79"/>
    </row>
    <row r="10" spans="2:9" x14ac:dyDescent="0.25">
      <c r="B10" s="7" t="s">
        <v>47</v>
      </c>
      <c r="C10" s="79"/>
    </row>
    <row r="11" spans="2:9" x14ac:dyDescent="0.25">
      <c r="B11" t="s">
        <v>159</v>
      </c>
      <c r="C11" s="46"/>
      <c r="D11" s="73" t="s">
        <v>160</v>
      </c>
      <c r="G11" s="73" t="s">
        <v>158</v>
      </c>
      <c r="H11" s="79">
        <f>(3.14*(SubDiameter/2)^2)*(SubLength)*(1/12)^3</f>
        <v>0</v>
      </c>
      <c r="I11" s="81" t="s">
        <v>153</v>
      </c>
    </row>
    <row r="12" spans="2:9" x14ac:dyDescent="0.25">
      <c r="B12" t="s">
        <v>163</v>
      </c>
      <c r="C12" s="46"/>
      <c r="D12" t="s">
        <v>162</v>
      </c>
      <c r="G12" s="73"/>
      <c r="H12" s="79">
        <f>Volume*28.317</f>
        <v>0</v>
      </c>
      <c r="I12" s="81" t="s">
        <v>165</v>
      </c>
    </row>
    <row r="13" spans="2:9" x14ac:dyDescent="0.25">
      <c r="B13" s="7"/>
      <c r="C13" s="8"/>
      <c r="G13" t="s">
        <v>161</v>
      </c>
      <c r="H13" s="79">
        <f>(Volume*MaxSpaceVelocity)*(1/60)*(61.7)/(2350*0.395)</f>
        <v>0</v>
      </c>
      <c r="I13" t="s">
        <v>162</v>
      </c>
    </row>
    <row r="14" spans="2:9" x14ac:dyDescent="0.25">
      <c r="G14" t="s">
        <v>164</v>
      </c>
      <c r="H14" s="80">
        <f>IF(H13&gt;MaxHertz,"60",H13)</f>
        <v>0</v>
      </c>
      <c r="I14" t="s">
        <v>162</v>
      </c>
    </row>
    <row r="15" spans="2:9" x14ac:dyDescent="0.25">
      <c r="B15" s="51" t="s">
        <v>136</v>
      </c>
      <c r="C15" s="52"/>
      <c r="D15" s="53" t="str">
        <f>B7</f>
        <v>DPF Information</v>
      </c>
      <c r="E15" s="54"/>
      <c r="F15" s="54"/>
    </row>
    <row r="16" spans="2:9" x14ac:dyDescent="0.25">
      <c r="B16" s="55"/>
      <c r="C16" s="55"/>
      <c r="D16" s="55"/>
      <c r="E16" s="55"/>
      <c r="F16" s="55"/>
    </row>
    <row r="17" spans="2:9" x14ac:dyDescent="0.25">
      <c r="B17" s="56" t="s">
        <v>137</v>
      </c>
      <c r="D17" s="39"/>
      <c r="E17" t="s">
        <v>138</v>
      </c>
    </row>
    <row r="18" spans="2:9" x14ac:dyDescent="0.25">
      <c r="B18" s="56" t="s">
        <v>139</v>
      </c>
      <c r="D18" s="39"/>
      <c r="E18" t="s">
        <v>140</v>
      </c>
    </row>
    <row r="19" spans="2:9" x14ac:dyDescent="0.25">
      <c r="B19" s="56" t="s">
        <v>141</v>
      </c>
      <c r="D19" s="46"/>
    </row>
    <row r="20" spans="2:9" x14ac:dyDescent="0.25">
      <c r="B20" s="57" t="s">
        <v>142</v>
      </c>
      <c r="C20" s="58" t="s">
        <v>143</v>
      </c>
      <c r="D20" s="59" t="s">
        <v>144</v>
      </c>
      <c r="E20" s="59" t="s">
        <v>145</v>
      </c>
      <c r="G20" s="60" t="s">
        <v>146</v>
      </c>
      <c r="H20" s="59"/>
      <c r="I20" s="59"/>
    </row>
    <row r="21" spans="2:9" x14ac:dyDescent="0.25">
      <c r="B21" s="61" t="s">
        <v>147</v>
      </c>
      <c r="C21" s="61" t="s">
        <v>148</v>
      </c>
      <c r="D21" s="61" t="s">
        <v>149</v>
      </c>
      <c r="E21" s="61" t="s">
        <v>148</v>
      </c>
      <c r="F21" s="61" t="s">
        <v>150</v>
      </c>
      <c r="G21" s="60" t="s">
        <v>151</v>
      </c>
      <c r="H21" s="59" t="s">
        <v>148</v>
      </c>
      <c r="I21" s="59" t="s">
        <v>152</v>
      </c>
    </row>
    <row r="22" spans="2:9" x14ac:dyDescent="0.25">
      <c r="B22" s="62">
        <f>0.25*$H$14</f>
        <v>0</v>
      </c>
      <c r="C22" s="63">
        <f>(2350/61.7)*B22*0.395</f>
        <v>0</v>
      </c>
      <c r="D22" s="46"/>
      <c r="E22" s="63">
        <f t="shared" ref="E22:E31" si="0">C22-(34.4764881*D22-4.325744048*D22^2+0.369475446*D22^3-0.01733631*D22^4+0.000339472*D22^5)</f>
        <v>0</v>
      </c>
      <c r="F22" s="64" t="e">
        <f t="shared" ref="F22:F32" si="1">(E22*60)/Volume</f>
        <v>#DIV/0!</v>
      </c>
      <c r="G22" s="46"/>
      <c r="H22" s="65">
        <f t="shared" ref="H22:H32" si="2">G22*Volume/60</f>
        <v>0</v>
      </c>
      <c r="I22" s="66">
        <f t="shared" ref="I22:I32" si="3">G22^2*P0a+G22*P0b+P0c</f>
        <v>0</v>
      </c>
    </row>
    <row r="23" spans="2:9" x14ac:dyDescent="0.25">
      <c r="B23" s="62">
        <f>0.4*$H$14</f>
        <v>0</v>
      </c>
      <c r="C23" s="63">
        <f t="shared" ref="C23:C32" si="4">(2350/61.7)*B23*0.395</f>
        <v>0</v>
      </c>
      <c r="D23" s="46"/>
      <c r="E23" s="63">
        <f t="shared" si="0"/>
        <v>0</v>
      </c>
      <c r="F23" s="64" t="e">
        <f t="shared" si="1"/>
        <v>#DIV/0!</v>
      </c>
      <c r="G23" s="46"/>
      <c r="H23" s="65">
        <f t="shared" si="2"/>
        <v>0</v>
      </c>
      <c r="I23" s="66">
        <f t="shared" si="3"/>
        <v>0</v>
      </c>
    </row>
    <row r="24" spans="2:9" x14ac:dyDescent="0.25">
      <c r="B24" s="62">
        <f>0.5*$H$14</f>
        <v>0</v>
      </c>
      <c r="C24" s="63">
        <f t="shared" si="4"/>
        <v>0</v>
      </c>
      <c r="D24" s="46"/>
      <c r="E24" s="63">
        <f t="shared" si="0"/>
        <v>0</v>
      </c>
      <c r="F24" s="64" t="e">
        <f t="shared" si="1"/>
        <v>#DIV/0!</v>
      </c>
      <c r="G24" s="46"/>
      <c r="H24" s="65">
        <f t="shared" si="2"/>
        <v>0</v>
      </c>
      <c r="I24" s="66">
        <f t="shared" si="3"/>
        <v>0</v>
      </c>
    </row>
    <row r="25" spans="2:9" x14ac:dyDescent="0.25">
      <c r="B25" s="62">
        <f>0.6*$H$14</f>
        <v>0</v>
      </c>
      <c r="C25" s="63">
        <f t="shared" si="4"/>
        <v>0</v>
      </c>
      <c r="D25" s="46"/>
      <c r="E25" s="63">
        <f t="shared" si="0"/>
        <v>0</v>
      </c>
      <c r="F25" s="64" t="e">
        <f t="shared" si="1"/>
        <v>#DIV/0!</v>
      </c>
      <c r="G25" s="46"/>
      <c r="H25" s="65">
        <f t="shared" si="2"/>
        <v>0</v>
      </c>
      <c r="I25" s="66">
        <f t="shared" si="3"/>
        <v>0</v>
      </c>
    </row>
    <row r="26" spans="2:9" x14ac:dyDescent="0.25">
      <c r="B26" s="62">
        <f>0.7*$H$14</f>
        <v>0</v>
      </c>
      <c r="C26" s="63">
        <f t="shared" si="4"/>
        <v>0</v>
      </c>
      <c r="D26" s="46"/>
      <c r="E26" s="63">
        <f t="shared" si="0"/>
        <v>0</v>
      </c>
      <c r="F26" s="64" t="e">
        <f t="shared" si="1"/>
        <v>#DIV/0!</v>
      </c>
      <c r="G26" s="46"/>
      <c r="H26" s="65">
        <f t="shared" si="2"/>
        <v>0</v>
      </c>
      <c r="I26" s="66">
        <f t="shared" si="3"/>
        <v>0</v>
      </c>
    </row>
    <row r="27" spans="2:9" x14ac:dyDescent="0.25">
      <c r="B27" s="62">
        <f>0.75*$H$14</f>
        <v>0</v>
      </c>
      <c r="C27" s="63">
        <f t="shared" si="4"/>
        <v>0</v>
      </c>
      <c r="D27" s="46"/>
      <c r="E27" s="63">
        <f t="shared" si="0"/>
        <v>0</v>
      </c>
      <c r="F27" s="64" t="e">
        <f t="shared" si="1"/>
        <v>#DIV/0!</v>
      </c>
      <c r="G27" s="46"/>
      <c r="H27" s="65">
        <f t="shared" si="2"/>
        <v>0</v>
      </c>
      <c r="I27" s="66">
        <f t="shared" si="3"/>
        <v>0</v>
      </c>
    </row>
    <row r="28" spans="2:9" x14ac:dyDescent="0.25">
      <c r="B28" s="62">
        <f>0.8*$H$14</f>
        <v>0</v>
      </c>
      <c r="C28" s="63">
        <f t="shared" si="4"/>
        <v>0</v>
      </c>
      <c r="D28" s="46"/>
      <c r="E28" s="63">
        <f t="shared" si="0"/>
        <v>0</v>
      </c>
      <c r="F28" s="64" t="e">
        <f t="shared" si="1"/>
        <v>#DIV/0!</v>
      </c>
      <c r="G28" s="46"/>
      <c r="H28" s="65">
        <f t="shared" si="2"/>
        <v>0</v>
      </c>
      <c r="I28" s="66">
        <f t="shared" si="3"/>
        <v>0</v>
      </c>
    </row>
    <row r="29" spans="2:9" x14ac:dyDescent="0.25">
      <c r="B29" s="62">
        <f>0.85*$H$14</f>
        <v>0</v>
      </c>
      <c r="C29" s="63">
        <f t="shared" si="4"/>
        <v>0</v>
      </c>
      <c r="D29" s="46"/>
      <c r="E29" s="63">
        <f t="shared" si="0"/>
        <v>0</v>
      </c>
      <c r="F29" s="64" t="e">
        <f t="shared" si="1"/>
        <v>#DIV/0!</v>
      </c>
      <c r="G29" s="46"/>
      <c r="H29" s="65">
        <f t="shared" si="2"/>
        <v>0</v>
      </c>
      <c r="I29" s="66">
        <f t="shared" si="3"/>
        <v>0</v>
      </c>
    </row>
    <row r="30" spans="2:9" x14ac:dyDescent="0.25">
      <c r="B30" s="62">
        <f>0.9*$H$14</f>
        <v>0</v>
      </c>
      <c r="C30" s="63">
        <f t="shared" si="4"/>
        <v>0</v>
      </c>
      <c r="D30" s="46"/>
      <c r="E30" s="63">
        <f t="shared" si="0"/>
        <v>0</v>
      </c>
      <c r="F30" s="64" t="e">
        <f t="shared" si="1"/>
        <v>#DIV/0!</v>
      </c>
      <c r="G30" s="46"/>
      <c r="H30" s="65">
        <f t="shared" si="2"/>
        <v>0</v>
      </c>
      <c r="I30" s="66">
        <f t="shared" si="3"/>
        <v>0</v>
      </c>
    </row>
    <row r="31" spans="2:9" x14ac:dyDescent="0.25">
      <c r="B31" s="62">
        <f>0.95*$H$14</f>
        <v>0</v>
      </c>
      <c r="C31" s="63">
        <f t="shared" si="4"/>
        <v>0</v>
      </c>
      <c r="D31" s="46"/>
      <c r="E31" s="63">
        <f t="shared" si="0"/>
        <v>0</v>
      </c>
      <c r="F31" s="64" t="e">
        <f t="shared" si="1"/>
        <v>#DIV/0!</v>
      </c>
      <c r="G31" s="46"/>
      <c r="H31" s="65">
        <f t="shared" si="2"/>
        <v>0</v>
      </c>
      <c r="I31" s="66">
        <f t="shared" si="3"/>
        <v>0</v>
      </c>
    </row>
    <row r="32" spans="2:9" x14ac:dyDescent="0.25">
      <c r="B32" s="62">
        <f>1*$H$14</f>
        <v>0</v>
      </c>
      <c r="C32" s="63">
        <f t="shared" si="4"/>
        <v>0</v>
      </c>
      <c r="D32" s="46"/>
      <c r="E32" s="63">
        <f>C32-(34.4764881*D32-4.325744048*D32^2+0.369475446*D32^3-0.01733631*D32^4+0.000339472*D32^5)</f>
        <v>0</v>
      </c>
      <c r="F32" s="64" t="e">
        <f t="shared" si="1"/>
        <v>#DIV/0!</v>
      </c>
      <c r="G32" s="46"/>
      <c r="H32" s="65">
        <f t="shared" si="2"/>
        <v>0</v>
      </c>
      <c r="I32" s="66">
        <f t="shared" si="3"/>
        <v>0</v>
      </c>
    </row>
    <row r="33" spans="2:9" x14ac:dyDescent="0.25">
      <c r="B33" s="55"/>
      <c r="D33" s="55"/>
      <c r="E33" s="55"/>
      <c r="F33" s="55"/>
      <c r="G33" s="71" t="s">
        <v>154</v>
      </c>
    </row>
    <row r="34" spans="2:9" x14ac:dyDescent="0.25">
      <c r="C34" s="68"/>
      <c r="G34" s="71" t="s">
        <v>155</v>
      </c>
      <c r="H34" s="72"/>
    </row>
    <row r="35" spans="2:9" x14ac:dyDescent="0.25">
      <c r="B35" s="69"/>
      <c r="C35" s="69"/>
      <c r="D35" s="69"/>
      <c r="E35" s="69"/>
      <c r="F35" s="69"/>
      <c r="G35" s="71" t="s">
        <v>156</v>
      </c>
      <c r="H35" s="72"/>
    </row>
    <row r="36" spans="2:9" x14ac:dyDescent="0.25">
      <c r="B36" s="70"/>
      <c r="C36" s="70"/>
      <c r="D36" s="70"/>
      <c r="E36" s="70"/>
      <c r="F36" s="70"/>
      <c r="G36" s="71" t="s">
        <v>157</v>
      </c>
      <c r="H36" s="39"/>
    </row>
    <row r="37" spans="2:9" x14ac:dyDescent="0.25">
      <c r="B37" s="70"/>
      <c r="C37" s="70"/>
      <c r="D37" s="70"/>
      <c r="E37" s="70"/>
      <c r="F37" s="70"/>
      <c r="I37" t="s">
        <v>18</v>
      </c>
    </row>
    <row r="39" spans="2:9" x14ac:dyDescent="0.25">
      <c r="B39" s="56" t="s">
        <v>136</v>
      </c>
      <c r="D39" s="53" t="str">
        <f>B8</f>
        <v>DPF ID</v>
      </c>
    </row>
    <row r="41" spans="2:9" x14ac:dyDescent="0.25">
      <c r="B41" s="56" t="s">
        <v>137</v>
      </c>
      <c r="D41" s="39"/>
      <c r="E41" t="s">
        <v>138</v>
      </c>
    </row>
    <row r="42" spans="2:9" x14ac:dyDescent="0.25">
      <c r="B42" s="56" t="s">
        <v>139</v>
      </c>
      <c r="D42" s="39"/>
      <c r="E42" t="s">
        <v>140</v>
      </c>
      <c r="I42" s="68"/>
    </row>
    <row r="43" spans="2:9" x14ac:dyDescent="0.25">
      <c r="B43" s="56" t="s">
        <v>141</v>
      </c>
      <c r="D43" s="46"/>
    </row>
    <row r="44" spans="2:9" x14ac:dyDescent="0.25">
      <c r="B44" s="57" t="s">
        <v>142</v>
      </c>
      <c r="C44" s="58" t="s">
        <v>143</v>
      </c>
      <c r="D44" s="59" t="s">
        <v>144</v>
      </c>
      <c r="E44" s="59" t="s">
        <v>145</v>
      </c>
      <c r="F44" s="73"/>
      <c r="G44" s="60" t="s">
        <v>146</v>
      </c>
      <c r="H44" s="59"/>
      <c r="I44" s="59"/>
    </row>
    <row r="45" spans="2:9" x14ac:dyDescent="0.25">
      <c r="B45" s="59" t="s">
        <v>147</v>
      </c>
      <c r="C45" s="59" t="s">
        <v>148</v>
      </c>
      <c r="D45" s="59" t="s">
        <v>149</v>
      </c>
      <c r="E45" s="59" t="s">
        <v>148</v>
      </c>
      <c r="F45" s="59" t="s">
        <v>150</v>
      </c>
      <c r="G45" s="60" t="s">
        <v>151</v>
      </c>
      <c r="H45" s="59" t="s">
        <v>148</v>
      </c>
      <c r="I45" s="59" t="s">
        <v>152</v>
      </c>
    </row>
    <row r="46" spans="2:9" x14ac:dyDescent="0.25">
      <c r="B46" s="62">
        <f>0.25*$H$14</f>
        <v>0</v>
      </c>
      <c r="C46" s="63">
        <f>(2350/61.7)*B46*0.395</f>
        <v>0</v>
      </c>
      <c r="D46" s="46">
        <v>3.1E-2</v>
      </c>
      <c r="E46" s="63">
        <f t="shared" ref="E46:E56" si="5">C46-(34.4764881*D46-4.325744048*D46^2+0.369475446*D46^3-0.01733631*D46^4+0.000339472*D46^5)</f>
        <v>-1.0646250821121561</v>
      </c>
      <c r="F46" s="64" t="e">
        <f t="shared" ref="F46:F56" si="6">(E46*60)/Volume</f>
        <v>#DIV/0!</v>
      </c>
      <c r="G46" s="46">
        <v>20000</v>
      </c>
      <c r="H46" s="65">
        <f t="shared" ref="H46:H56" si="7">G46*Volume/60</f>
        <v>0</v>
      </c>
      <c r="I46" s="66">
        <f t="shared" ref="I46:I56" si="8">G46^2*P1a+G46*P1b+P1c</f>
        <v>0</v>
      </c>
    </row>
    <row r="47" spans="2:9" x14ac:dyDescent="0.25">
      <c r="B47" s="62">
        <f>0.4*$H$14</f>
        <v>0</v>
      </c>
      <c r="C47" s="63">
        <f t="shared" ref="C47:C55" si="9">(2350/61.7)*B47*0.395</f>
        <v>0</v>
      </c>
      <c r="D47" s="46">
        <v>5.1999999999999998E-2</v>
      </c>
      <c r="E47" s="63">
        <f t="shared" si="5"/>
        <v>-1.7811323938703458</v>
      </c>
      <c r="F47" s="64" t="e">
        <f t="shared" si="6"/>
        <v>#DIV/0!</v>
      </c>
      <c r="G47" s="46">
        <v>35000</v>
      </c>
      <c r="H47" s="65">
        <f t="shared" si="7"/>
        <v>0</v>
      </c>
      <c r="I47" s="66">
        <f t="shared" si="8"/>
        <v>0</v>
      </c>
    </row>
    <row r="48" spans="2:9" x14ac:dyDescent="0.25">
      <c r="B48" s="62">
        <f>0.5*$H$14</f>
        <v>0</v>
      </c>
      <c r="C48" s="63">
        <f t="shared" si="9"/>
        <v>0</v>
      </c>
      <c r="D48" s="46">
        <v>6.6000000000000003E-2</v>
      </c>
      <c r="E48" s="63">
        <f t="shared" si="5"/>
        <v>-2.2567111677129614</v>
      </c>
      <c r="F48" s="64" t="e">
        <f t="shared" si="6"/>
        <v>#DIV/0!</v>
      </c>
      <c r="G48" s="46">
        <v>50000</v>
      </c>
      <c r="H48" s="65">
        <f t="shared" si="7"/>
        <v>0</v>
      </c>
      <c r="I48" s="66">
        <f t="shared" si="8"/>
        <v>0</v>
      </c>
    </row>
    <row r="49" spans="2:9" x14ac:dyDescent="0.25">
      <c r="B49" s="62">
        <f>0.6*$H$14</f>
        <v>0</v>
      </c>
      <c r="C49" s="63">
        <f t="shared" si="9"/>
        <v>0</v>
      </c>
      <c r="D49" s="46">
        <v>8.3000000000000004E-2</v>
      </c>
      <c r="E49" s="63">
        <f t="shared" si="5"/>
        <v>-2.8319589013951987</v>
      </c>
      <c r="F49" s="64" t="e">
        <f t="shared" si="6"/>
        <v>#DIV/0!</v>
      </c>
      <c r="G49" s="46">
        <v>60000</v>
      </c>
      <c r="H49" s="65">
        <f t="shared" si="7"/>
        <v>0</v>
      </c>
      <c r="I49" s="66">
        <f t="shared" si="8"/>
        <v>0</v>
      </c>
    </row>
    <row r="50" spans="2:9" x14ac:dyDescent="0.25">
      <c r="B50" s="62">
        <f>0.7*$H$14</f>
        <v>0</v>
      </c>
      <c r="C50" s="63">
        <f t="shared" si="9"/>
        <v>0</v>
      </c>
      <c r="D50" s="46">
        <v>0.1</v>
      </c>
      <c r="E50" s="63">
        <f t="shared" si="5"/>
        <v>-3.4047591147297198</v>
      </c>
      <c r="F50" s="64" t="e">
        <f t="shared" si="6"/>
        <v>#DIV/0!</v>
      </c>
      <c r="G50" s="46">
        <v>70000</v>
      </c>
      <c r="H50" s="65">
        <f t="shared" si="7"/>
        <v>0</v>
      </c>
      <c r="I50" s="66">
        <f t="shared" si="8"/>
        <v>0</v>
      </c>
    </row>
    <row r="51" spans="2:9" x14ac:dyDescent="0.25">
      <c r="B51" s="62">
        <f>0.75*$H$14</f>
        <v>0</v>
      </c>
      <c r="C51" s="63">
        <f t="shared" si="9"/>
        <v>0</v>
      </c>
      <c r="D51" s="46">
        <v>0.109</v>
      </c>
      <c r="E51" s="63">
        <f t="shared" si="5"/>
        <v>-3.7070190773446283</v>
      </c>
      <c r="F51" s="64" t="e">
        <f t="shared" si="6"/>
        <v>#DIV/0!</v>
      </c>
      <c r="G51" s="46">
        <v>75000</v>
      </c>
      <c r="H51" s="65">
        <f t="shared" si="7"/>
        <v>0</v>
      </c>
      <c r="I51" s="66">
        <f t="shared" si="8"/>
        <v>0</v>
      </c>
    </row>
    <row r="52" spans="2:9" x14ac:dyDescent="0.25">
      <c r="B52" s="62">
        <f>0.8*$H$14</f>
        <v>0</v>
      </c>
      <c r="C52" s="63">
        <f t="shared" si="9"/>
        <v>0</v>
      </c>
      <c r="D52" s="46">
        <v>0.11899999999999999</v>
      </c>
      <c r="E52" s="63">
        <f t="shared" si="5"/>
        <v>-4.0420643788921602</v>
      </c>
      <c r="F52" s="64" t="e">
        <f t="shared" si="6"/>
        <v>#DIV/0!</v>
      </c>
      <c r="G52" s="46">
        <v>80000</v>
      </c>
      <c r="H52" s="65">
        <f t="shared" si="7"/>
        <v>0</v>
      </c>
      <c r="I52" s="66">
        <f t="shared" si="8"/>
        <v>0</v>
      </c>
    </row>
    <row r="53" spans="2:9" x14ac:dyDescent="0.25">
      <c r="B53" s="62">
        <f>0.85*$H$14</f>
        <v>0</v>
      </c>
      <c r="C53" s="63">
        <f t="shared" si="9"/>
        <v>0</v>
      </c>
      <c r="D53" s="46">
        <v>0.129</v>
      </c>
      <c r="E53" s="63">
        <f t="shared" si="5"/>
        <v>-4.3762706183789941</v>
      </c>
      <c r="F53" s="64" t="e">
        <f t="shared" si="6"/>
        <v>#DIV/0!</v>
      </c>
      <c r="G53" s="46">
        <v>85000</v>
      </c>
      <c r="H53" s="65">
        <f t="shared" si="7"/>
        <v>0</v>
      </c>
      <c r="I53" s="66">
        <f t="shared" si="8"/>
        <v>0</v>
      </c>
    </row>
    <row r="54" spans="2:9" x14ac:dyDescent="0.25">
      <c r="B54" s="62">
        <f>0.9*$H$14</f>
        <v>0</v>
      </c>
      <c r="C54" s="63">
        <f t="shared" si="9"/>
        <v>0</v>
      </c>
      <c r="D54" s="46">
        <v>0.14000000000000001</v>
      </c>
      <c r="E54" s="63">
        <f t="shared" si="5"/>
        <v>-4.7429309496237932</v>
      </c>
      <c r="F54" s="64" t="e">
        <f t="shared" si="6"/>
        <v>#DIV/0!</v>
      </c>
      <c r="G54" s="46">
        <v>90000</v>
      </c>
      <c r="H54" s="65">
        <f t="shared" si="7"/>
        <v>0</v>
      </c>
      <c r="I54" s="66">
        <f t="shared" si="8"/>
        <v>0</v>
      </c>
    </row>
    <row r="55" spans="2:9" x14ac:dyDescent="0.25">
      <c r="B55" s="62">
        <f>0.95*$H$14</f>
        <v>0</v>
      </c>
      <c r="C55" s="63">
        <f t="shared" si="9"/>
        <v>0</v>
      </c>
      <c r="D55" s="46">
        <v>0.152</v>
      </c>
      <c r="E55" s="63">
        <f t="shared" si="5"/>
        <v>-5.1417725010533433</v>
      </c>
      <c r="F55" s="64" t="e">
        <f t="shared" si="6"/>
        <v>#DIV/0!</v>
      </c>
      <c r="G55" s="46">
        <v>95000</v>
      </c>
      <c r="H55" s="65">
        <f t="shared" si="7"/>
        <v>0</v>
      </c>
      <c r="I55" s="66">
        <f t="shared" si="8"/>
        <v>0</v>
      </c>
    </row>
    <row r="56" spans="2:9" x14ac:dyDescent="0.25">
      <c r="B56" s="62">
        <f>1*$H$14</f>
        <v>0</v>
      </c>
      <c r="C56" s="63">
        <f>(2350/61.7)*B56*0.395</f>
        <v>0</v>
      </c>
      <c r="D56" s="46"/>
      <c r="E56" s="63">
        <f t="shared" si="5"/>
        <v>0</v>
      </c>
      <c r="F56" s="64" t="e">
        <f t="shared" si="6"/>
        <v>#DIV/0!</v>
      </c>
      <c r="G56" s="46">
        <v>100000</v>
      </c>
      <c r="H56" s="65">
        <f t="shared" si="7"/>
        <v>0</v>
      </c>
      <c r="I56" s="66">
        <f t="shared" si="8"/>
        <v>0</v>
      </c>
    </row>
    <row r="57" spans="2:9" x14ac:dyDescent="0.25">
      <c r="G57" s="71" t="s">
        <v>154</v>
      </c>
    </row>
    <row r="58" spans="2:9" x14ac:dyDescent="0.25">
      <c r="B58" s="74"/>
      <c r="C58" s="74"/>
      <c r="D58" s="74"/>
      <c r="G58" s="71" t="s">
        <v>155</v>
      </c>
      <c r="H58" s="72"/>
    </row>
    <row r="59" spans="2:9" x14ac:dyDescent="0.25">
      <c r="B59" s="2"/>
      <c r="C59" s="74"/>
      <c r="D59" s="74"/>
      <c r="E59" s="73"/>
      <c r="F59" s="73"/>
      <c r="G59" s="71" t="s">
        <v>156</v>
      </c>
      <c r="H59" s="72"/>
    </row>
    <row r="60" spans="2:9" x14ac:dyDescent="0.25">
      <c r="B60" s="75"/>
      <c r="C60" s="74"/>
      <c r="D60" s="74"/>
      <c r="E60" s="73"/>
      <c r="F60" s="73"/>
      <c r="G60" s="71" t="s">
        <v>157</v>
      </c>
      <c r="H60" s="72"/>
    </row>
    <row r="61" spans="2:9" x14ac:dyDescent="0.25">
      <c r="B61" s="75"/>
      <c r="C61" s="74"/>
      <c r="D61" s="74"/>
      <c r="E61" s="74"/>
      <c r="F61" s="74"/>
    </row>
    <row r="62" spans="2:9" x14ac:dyDescent="0.25">
      <c r="B62" s="2"/>
      <c r="C62" s="74"/>
      <c r="D62" s="74"/>
      <c r="E62" s="74"/>
      <c r="F62" s="74"/>
    </row>
    <row r="64" spans="2:9" x14ac:dyDescent="0.25">
      <c r="B64" s="56" t="s">
        <v>136</v>
      </c>
      <c r="D64" s="53" t="str">
        <f>B9</f>
        <v>Substrate Diameter(inch)</v>
      </c>
    </row>
    <row r="66" spans="2:9" x14ac:dyDescent="0.25">
      <c r="B66" s="56" t="s">
        <v>137</v>
      </c>
      <c r="D66" s="39"/>
      <c r="E66" t="s">
        <v>138</v>
      </c>
      <c r="H66" s="55"/>
      <c r="I66" s="55"/>
    </row>
    <row r="67" spans="2:9" x14ac:dyDescent="0.25">
      <c r="B67" s="56" t="s">
        <v>139</v>
      </c>
      <c r="D67" s="39">
        <v>14.696</v>
      </c>
      <c r="E67" t="s">
        <v>140</v>
      </c>
      <c r="H67" s="55"/>
      <c r="I67" s="55"/>
    </row>
    <row r="68" spans="2:9" x14ac:dyDescent="0.25">
      <c r="B68" s="56" t="s">
        <v>141</v>
      </c>
      <c r="D68" s="46"/>
      <c r="H68" s="76"/>
      <c r="I68" s="76"/>
    </row>
    <row r="69" spans="2:9" x14ac:dyDescent="0.25">
      <c r="B69" s="57" t="s">
        <v>142</v>
      </c>
      <c r="C69" s="58" t="s">
        <v>143</v>
      </c>
      <c r="D69" s="59" t="s">
        <v>144</v>
      </c>
      <c r="E69" s="59" t="s">
        <v>145</v>
      </c>
      <c r="F69" s="73"/>
      <c r="G69" s="60" t="s">
        <v>146</v>
      </c>
      <c r="H69" s="59"/>
      <c r="I69" s="59"/>
    </row>
    <row r="70" spans="2:9" x14ac:dyDescent="0.25">
      <c r="B70" s="59" t="s">
        <v>147</v>
      </c>
      <c r="C70" s="59" t="s">
        <v>148</v>
      </c>
      <c r="D70" s="59" t="s">
        <v>149</v>
      </c>
      <c r="E70" s="59" t="s">
        <v>148</v>
      </c>
      <c r="F70" s="59" t="s">
        <v>150</v>
      </c>
      <c r="G70" s="60" t="s">
        <v>151</v>
      </c>
      <c r="H70" s="59" t="s">
        <v>148</v>
      </c>
      <c r="I70" s="59" t="s">
        <v>152</v>
      </c>
    </row>
    <row r="71" spans="2:9" x14ac:dyDescent="0.25">
      <c r="B71" s="62">
        <f>0.25*$H$14</f>
        <v>0</v>
      </c>
      <c r="C71" s="63">
        <f>(2350/61.7)*B71*0.395</f>
        <v>0</v>
      </c>
      <c r="D71" s="46"/>
      <c r="E71" s="63">
        <f t="shared" ref="E71:E81" si="10">C71-(34.4764881*D71-4.325744048*D71^2+0.369475446*D71^3-0.01733631*D71^4+0.000339472*D71^5)</f>
        <v>0</v>
      </c>
      <c r="F71" s="63" t="e">
        <f t="shared" ref="F71:F81" si="11">(E71*60)/Volume</f>
        <v>#DIV/0!</v>
      </c>
      <c r="G71" s="46">
        <v>20000</v>
      </c>
      <c r="H71" s="65">
        <f t="shared" ref="H71:H81" si="12">G71*Volume/60</f>
        <v>0</v>
      </c>
      <c r="I71" s="66">
        <f t="shared" ref="I71:I81" si="13">G71^2*P2a+G71*P2b+P2c</f>
        <v>0</v>
      </c>
    </row>
    <row r="72" spans="2:9" x14ac:dyDescent="0.25">
      <c r="B72" s="62">
        <f>0.4*$H$14</f>
        <v>0</v>
      </c>
      <c r="C72" s="63">
        <f t="shared" ref="C72:C81" si="14">(2350/61.7)*B72*0.395</f>
        <v>0</v>
      </c>
      <c r="D72" s="46"/>
      <c r="E72" s="63">
        <f t="shared" si="10"/>
        <v>0</v>
      </c>
      <c r="F72" s="63" t="e">
        <f t="shared" si="11"/>
        <v>#DIV/0!</v>
      </c>
      <c r="G72" s="46">
        <v>35000</v>
      </c>
      <c r="H72" s="65">
        <f t="shared" si="12"/>
        <v>0</v>
      </c>
      <c r="I72" s="66">
        <f t="shared" si="13"/>
        <v>0</v>
      </c>
    </row>
    <row r="73" spans="2:9" x14ac:dyDescent="0.25">
      <c r="B73" s="62">
        <f>0.5*$H$14</f>
        <v>0</v>
      </c>
      <c r="C73" s="63">
        <f t="shared" si="14"/>
        <v>0</v>
      </c>
      <c r="D73" s="46"/>
      <c r="E73" s="63">
        <f t="shared" si="10"/>
        <v>0</v>
      </c>
      <c r="F73" s="63" t="e">
        <f t="shared" si="11"/>
        <v>#DIV/0!</v>
      </c>
      <c r="G73" s="46">
        <v>50000</v>
      </c>
      <c r="H73" s="65">
        <f t="shared" si="12"/>
        <v>0</v>
      </c>
      <c r="I73" s="66">
        <f t="shared" si="13"/>
        <v>0</v>
      </c>
    </row>
    <row r="74" spans="2:9" x14ac:dyDescent="0.25">
      <c r="B74" s="62">
        <f>0.6*$H$14</f>
        <v>0</v>
      </c>
      <c r="C74" s="63">
        <f t="shared" si="14"/>
        <v>0</v>
      </c>
      <c r="D74" s="46"/>
      <c r="E74" s="63">
        <f t="shared" si="10"/>
        <v>0</v>
      </c>
      <c r="F74" s="63" t="e">
        <f t="shared" si="11"/>
        <v>#DIV/0!</v>
      </c>
      <c r="G74" s="46">
        <v>60000</v>
      </c>
      <c r="H74" s="65">
        <f t="shared" si="12"/>
        <v>0</v>
      </c>
      <c r="I74" s="66">
        <f t="shared" si="13"/>
        <v>0</v>
      </c>
    </row>
    <row r="75" spans="2:9" x14ac:dyDescent="0.25">
      <c r="B75" s="62">
        <f>0.7*$H$14</f>
        <v>0</v>
      </c>
      <c r="C75" s="63">
        <f t="shared" si="14"/>
        <v>0</v>
      </c>
      <c r="D75" s="46"/>
      <c r="E75" s="63">
        <f t="shared" si="10"/>
        <v>0</v>
      </c>
      <c r="F75" s="63" t="e">
        <f t="shared" si="11"/>
        <v>#DIV/0!</v>
      </c>
      <c r="G75" s="46">
        <v>70000</v>
      </c>
      <c r="H75" s="65">
        <f t="shared" si="12"/>
        <v>0</v>
      </c>
      <c r="I75" s="66">
        <f t="shared" si="13"/>
        <v>0</v>
      </c>
    </row>
    <row r="76" spans="2:9" x14ac:dyDescent="0.25">
      <c r="B76" s="62">
        <f>0.75*$H$14</f>
        <v>0</v>
      </c>
      <c r="C76" s="63">
        <f t="shared" si="14"/>
        <v>0</v>
      </c>
      <c r="D76" s="46"/>
      <c r="E76" s="63">
        <f t="shared" si="10"/>
        <v>0</v>
      </c>
      <c r="F76" s="63" t="e">
        <f t="shared" si="11"/>
        <v>#DIV/0!</v>
      </c>
      <c r="G76" s="46">
        <v>75000</v>
      </c>
      <c r="H76" s="65">
        <f t="shared" si="12"/>
        <v>0</v>
      </c>
      <c r="I76" s="66">
        <f t="shared" si="13"/>
        <v>0</v>
      </c>
    </row>
    <row r="77" spans="2:9" x14ac:dyDescent="0.25">
      <c r="B77" s="62">
        <f>0.8*$H$14</f>
        <v>0</v>
      </c>
      <c r="C77" s="63">
        <f t="shared" si="14"/>
        <v>0</v>
      </c>
      <c r="D77" s="46"/>
      <c r="E77" s="63">
        <f t="shared" si="10"/>
        <v>0</v>
      </c>
      <c r="F77" s="63" t="e">
        <f t="shared" si="11"/>
        <v>#DIV/0!</v>
      </c>
      <c r="G77" s="46">
        <v>80000</v>
      </c>
      <c r="H77" s="65">
        <f t="shared" si="12"/>
        <v>0</v>
      </c>
      <c r="I77" s="66">
        <f t="shared" si="13"/>
        <v>0</v>
      </c>
    </row>
    <row r="78" spans="2:9" x14ac:dyDescent="0.25">
      <c r="B78" s="62">
        <f>0.85*$H$14</f>
        <v>0</v>
      </c>
      <c r="C78" s="63">
        <f t="shared" si="14"/>
        <v>0</v>
      </c>
      <c r="D78" s="46"/>
      <c r="E78" s="63">
        <f t="shared" si="10"/>
        <v>0</v>
      </c>
      <c r="F78" s="63" t="e">
        <f t="shared" si="11"/>
        <v>#DIV/0!</v>
      </c>
      <c r="G78" s="46">
        <v>85000</v>
      </c>
      <c r="H78" s="65">
        <f t="shared" si="12"/>
        <v>0</v>
      </c>
      <c r="I78" s="66">
        <f t="shared" si="13"/>
        <v>0</v>
      </c>
    </row>
    <row r="79" spans="2:9" x14ac:dyDescent="0.25">
      <c r="B79" s="62">
        <f>0.9*$H$14</f>
        <v>0</v>
      </c>
      <c r="C79" s="63">
        <f t="shared" si="14"/>
        <v>0</v>
      </c>
      <c r="D79" s="46"/>
      <c r="E79" s="63">
        <f t="shared" si="10"/>
        <v>0</v>
      </c>
      <c r="F79" s="63" t="e">
        <f t="shared" si="11"/>
        <v>#DIV/0!</v>
      </c>
      <c r="G79" s="46">
        <v>90000</v>
      </c>
      <c r="H79" s="65">
        <f t="shared" si="12"/>
        <v>0</v>
      </c>
      <c r="I79" s="66">
        <f t="shared" si="13"/>
        <v>0</v>
      </c>
    </row>
    <row r="80" spans="2:9" x14ac:dyDescent="0.25">
      <c r="B80" s="62">
        <f>0.95*$H$14</f>
        <v>0</v>
      </c>
      <c r="C80" s="63">
        <f t="shared" si="14"/>
        <v>0</v>
      </c>
      <c r="D80" s="46"/>
      <c r="E80" s="63">
        <f t="shared" si="10"/>
        <v>0</v>
      </c>
      <c r="F80" s="63" t="e">
        <f t="shared" si="11"/>
        <v>#DIV/0!</v>
      </c>
      <c r="G80" s="46">
        <v>95000</v>
      </c>
      <c r="H80" s="65">
        <f t="shared" si="12"/>
        <v>0</v>
      </c>
      <c r="I80" s="66">
        <f t="shared" si="13"/>
        <v>0</v>
      </c>
    </row>
    <row r="81" spans="2:9" x14ac:dyDescent="0.25">
      <c r="B81" s="62">
        <f>1*$H$14</f>
        <v>0</v>
      </c>
      <c r="C81" s="63">
        <f t="shared" si="14"/>
        <v>0</v>
      </c>
      <c r="D81" s="46"/>
      <c r="E81" s="63">
        <f t="shared" si="10"/>
        <v>0</v>
      </c>
      <c r="F81" s="63" t="e">
        <f t="shared" si="11"/>
        <v>#DIV/0!</v>
      </c>
      <c r="G81" s="46">
        <v>100000</v>
      </c>
      <c r="H81" s="65">
        <f t="shared" si="12"/>
        <v>0</v>
      </c>
      <c r="I81" s="66">
        <f t="shared" si="13"/>
        <v>0</v>
      </c>
    </row>
    <row r="82" spans="2:9" x14ac:dyDescent="0.25">
      <c r="G82" s="71" t="s">
        <v>154</v>
      </c>
    </row>
    <row r="83" spans="2:9" x14ac:dyDescent="0.25">
      <c r="F83" s="77"/>
      <c r="G83" s="71" t="s">
        <v>155</v>
      </c>
      <c r="H83" s="72"/>
    </row>
    <row r="84" spans="2:9" x14ac:dyDescent="0.25">
      <c r="B84" s="75"/>
      <c r="C84" s="73"/>
      <c r="D84" s="73"/>
      <c r="F84" s="67"/>
      <c r="G84" s="71" t="s">
        <v>156</v>
      </c>
      <c r="H84" s="72"/>
    </row>
    <row r="85" spans="2:9" x14ac:dyDescent="0.25">
      <c r="B85" s="75"/>
      <c r="C85" s="73"/>
      <c r="D85" s="73"/>
      <c r="E85" s="68"/>
      <c r="F85" s="67"/>
      <c r="G85" s="71" t="s">
        <v>157</v>
      </c>
      <c r="H85" s="39"/>
    </row>
    <row r="86" spans="2:9" x14ac:dyDescent="0.25">
      <c r="B86" s="2"/>
      <c r="C86" s="78"/>
      <c r="D86" s="74"/>
      <c r="F86" s="67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4" r:id="rId4" name="cmdMenu">
          <controlPr autoLine="0" r:id="rId5">
            <anchor moveWithCells="1">
              <from>
                <xdr:col>7</xdr:col>
                <xdr:colOff>0</xdr:colOff>
                <xdr:row>4</xdr:row>
                <xdr:rowOff>95250</xdr:rowOff>
              </from>
              <to>
                <xdr:col>8</xdr:col>
                <xdr:colOff>590550</xdr:colOff>
                <xdr:row>6</xdr:row>
                <xdr:rowOff>9525</xdr:rowOff>
              </to>
            </anchor>
          </controlPr>
        </control>
      </mc:Choice>
      <mc:Fallback>
        <control shapeId="24584" r:id="rId4" name="cmdMenu"/>
      </mc:Fallback>
    </mc:AlternateContent>
    <mc:AlternateContent xmlns:mc="http://schemas.openxmlformats.org/markup-compatibility/2006">
      <mc:Choice Requires="x14">
        <control shapeId="24583" r:id="rId6" name="cbECD">
          <controlPr defaultSize="0" autoFill="0" autoLine="0" r:id="rId7">
            <anchor moveWithCells="1">
              <from>
                <xdr:col>2</xdr:col>
                <xdr:colOff>28575</xdr:colOff>
                <xdr:row>6</xdr:row>
                <xdr:rowOff>19050</xdr:rowOff>
              </from>
              <to>
                <xdr:col>4</xdr:col>
                <xdr:colOff>342900</xdr:colOff>
                <xdr:row>7</xdr:row>
                <xdr:rowOff>47625</xdr:rowOff>
              </to>
            </anchor>
          </controlPr>
        </control>
      </mc:Choice>
      <mc:Fallback>
        <control shapeId="24583" r:id="rId6" name="cbECD"/>
      </mc:Fallback>
    </mc:AlternateContent>
    <mc:AlternateContent xmlns:mc="http://schemas.openxmlformats.org/markup-compatibility/2006">
      <mc:Choice Requires="x14">
        <control shapeId="24582" r:id="rId8" name="cbDPF">
          <controlPr defaultSize="0" autoFill="0" autoLine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8" name="cbDPF"/>
      </mc:Fallback>
    </mc:AlternateContent>
    <mc:AlternateContent xmlns:mc="http://schemas.openxmlformats.org/markup-compatibility/2006">
      <mc:Choice Requires="x14">
        <control shapeId="24580" r:id="rId10" name="cmdSave">
          <controlPr defaultSize="0" autoFill="0" autoLine="0" autoPict="0" r:id="rId11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533400</xdr:colOff>
                <xdr:row>3</xdr:row>
                <xdr:rowOff>38100</xdr:rowOff>
              </to>
            </anchor>
          </controlPr>
        </control>
      </mc:Choice>
      <mc:Fallback>
        <control shapeId="24580" r:id="rId10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67</vt:i4>
      </vt:variant>
    </vt:vector>
  </HeadingPairs>
  <TitlesOfParts>
    <vt:vector size="80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Quality!CleanChannels</vt:lpstr>
      <vt:lpstr>Company!company</vt:lpstr>
      <vt:lpstr>DPF!company</vt:lpstr>
      <vt:lpstr>OutData!company</vt:lpstr>
      <vt:lpstr>CompanyLocation!companylocation</vt:lpstr>
      <vt:lpstr>DPF!companylocation</vt:lpstr>
      <vt:lpstr>OutData!companylocation</vt:lpstr>
      <vt:lpstr>Contacts!contacts</vt:lpstr>
      <vt:lpstr>DPF!contacts</vt:lpstr>
      <vt:lpstr>OutData!contacts</vt:lpstr>
      <vt:lpstr>OutData!data</vt:lpstr>
      <vt:lpstr>DPF!dpf</vt:lpstr>
      <vt:lpstr>OutData!dpf</vt:lpstr>
      <vt:lpstr>QAProcess!dpf</vt:lpstr>
      <vt:lpstr>Quality!dpf</vt:lpstr>
      <vt:lpstr>DPF!ecd</vt:lpstr>
      <vt:lpstr>ECD!ecd</vt:lpstr>
      <vt:lpstr>OutData!ecd</vt:lpstr>
      <vt:lpstr>QAProcess!ecd</vt:lpstr>
      <vt:lpstr>Quality!ecd</vt:lpstr>
      <vt:lpstr>DPF!engine</vt:lpstr>
      <vt:lpstr>Engine!engine</vt:lpstr>
      <vt:lpstr>OutData!engine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NoteEngine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QAProcess!P11PSI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P2PSI</vt:lpstr>
      <vt:lpstr>QAProcess!P2SV</vt:lpstr>
      <vt:lpstr>QAProcess!SubDiameter</vt:lpstr>
      <vt:lpstr>QAProcess!SubLength</vt:lpstr>
      <vt:lpstr>DPF!vehicle</vt:lpstr>
      <vt:lpstr>OutData!vehicle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2019-02-01T13:05:40Z</dcterms:modified>
</cp:coreProperties>
</file>