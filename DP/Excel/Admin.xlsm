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DDB2E74-0DF7-4E07-B619-043B32F25BF2}" xr6:coauthVersionLast="43" xr6:coauthVersionMax="43" xr10:uidLastSave="{00000000-0000-0000-0000-000000000000}"/>
  <bookViews>
    <workbookView xWindow="-120" yWindow="-120" windowWidth="29040" windowHeight="15990" activeTab="13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<sst xmlns="http://schemas.openxmlformats.org/spreadsheetml/2006/main" count="561" uniqueCount="304">
  <si>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</si>
  <si>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</si>
  <si>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</si>
  <si>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</si>
  <si>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</si>
  <si>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</si>
  <si>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</si>
  <si>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</si>
  <si>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</si>
  <si>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</si>
  <si>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</si>
  <si>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</si>
  <si>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</si>
  <si>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</si>
  <si>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</si>
  <si>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</si>
  <si>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</si>
  <si>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</si>
  <si>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</si>
  <si>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</si>
  <si>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</si>
  <si>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</si>
  <si>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</si>
  <si>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</si>
  <si>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</si>
  <si>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</si>
  <si>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</si>
  <si>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</si>
  <si>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</si>
  <si>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</si>
  <si>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</si>
  <si>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</si>
  <si>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</si>
  <si>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</si>
  <si>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</si>
  <si>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</si>
  <si>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</si>
  <si>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</si>
  <si>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</si>
  <si>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</si>
  <si>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</si>
  <si>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</si>
  <si>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</si>
  <si>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</si>
  <si>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</si>
  <si>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</si>
  <si>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</si>
  <si>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</si>
  <si>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</si>
  <si>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</si>
  <si>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</si>
  <si>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</si>
  <si>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</si>
  <si>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</si>
  <si>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</si>
  <si>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</si>
  <si>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</si>
  <si>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</si>
  <si>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</si>
  <si>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</si>
  <si>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</si>
  <si>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</si>
  <si>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</si>
  <si>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</si>
  <si>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</si>
  <si>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</si>
  <si>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</si>
  <si>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</si>
  <si>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</si>
  <si>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</si>
  <si>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</si>
  <si>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</si>
  <si>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</si>
  <si>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</si>
  <si>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</si>
  <si>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</si>
  <si>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</si>
  <si>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</si>
  <si>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</si>
  <si>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</si>
  <si>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</si>
  <si>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</si>
  <si>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</si>
  <si>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</si>
  <si>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</si>
  <si>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</si>
  <si>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</si>
  <si>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</si>
  <si>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</si>
  <si>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</si>
  <si>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</si>
  <si>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</si>
  <si>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</si>
  <si>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</si>
  <si>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</si>
  <si>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</si>
  <si>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</si>
  <si>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</si>
  <si>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</si>
  <si>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</si>
  <si>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</si>
  <si>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</si>
  <si>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</si>
  <si>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</si>
  <si>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</si>
  <si>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</si>
  <si>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</si>
  <si>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</si>
  <si>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</si>
  <si>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</si>
  <si>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</si>
  <si>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</si>
  <si>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</si>
  <si>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</si>
  <si>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</si>
  <si>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</si>
  <si>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</si>
  <si>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</si>
  <si>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</si>
  <si>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</si>
  <si>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</si>
  <si>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</si>
  <si>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</si>
  <si>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</si>
  <si>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</si>
  <si>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</si>
  <si>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</si>
  <si>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</si>
  <si>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</si>
  <si>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</si>
  <si>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</si>
  <si>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</si>
  <si>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</si>
  <si>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</si>
  <si>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</si>
  <si>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</si>
  <si>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</si>
  <si>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</si>
  <si>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</si>
  <si>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</si>
  <si>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</si>
  <si>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</si>
  <si>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</si>
  <si>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</si>
  <si>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</si>
  <si>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</si>
  <si>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</si>
  <si>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</si>
  <si>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</si>
  <si>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</si>
  <si>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</si>
  <si>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</si>
  <si>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</si>
  <si>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</si>
  <si>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</si>
  <si>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</si>
  <si>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</si>
  <si>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</si>
  <si>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</si>
  <si>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</si>
  <si>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</si>
  <si>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</si>
  <si>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</si>
  <si>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</si>
  <si>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</si>
  <si>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</si>
  <si>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</si>
  <si>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</si>
  <si>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</si>
  <si>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</si>
  <si>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</si>
  <si>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</si>
  <si>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</si>
  <si>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</si>
  <si>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</si>
  <si>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</si>
  <si>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</si>
  <si>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</si>
  <si>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</si>
  <si>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</si>
  <si>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</si>
  <si>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</si>
  <si>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</si>
  <si>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</si>
  <si>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</si>
  <si>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</si>
  <si>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</si>
  <si>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</si>
  <si>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</si>
  <si>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</si>
  <si>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</si>
  <si>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</si>
  <si>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</si>
  <si>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</si>
  <si>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</si>
  <si>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</si>
  <si>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</si>
  <si>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</si>
  <si>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</si>
  <si>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</si>
  <si>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</si>
  <si>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</si>
  <si>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</si>
  <si>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</si>
  <si>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</si>
  <si>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</si>
  <si>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</si>
  <si>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</si>
  <si>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</si>
  <si>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</si>
  <si>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</si>
  <si>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</si>
  <si>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</si>
  <si>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</si>
  <si>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</si>
  <si>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</si>
  <si>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</si>
  <si>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</si>
  <si>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</si>
  <si>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</si>
  <si>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</si>
  <si>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</si>
  <si>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</si>
  <si>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</si>
  <si>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</si>
  <si>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</si>
  <si>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</si>
  <si>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</si>
  <si>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</si>
  <si>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</si>
  <si>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</si>
  <si>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</si>
  <si>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</si>
  <si>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</si>
  <si>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</si>
  <si>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</si>
  <si>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</si>
  <si>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</si>
  <si>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</si>
  <si>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</si>
  <si>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</si>
  <si>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</si>
  <si>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</si>
  <si>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</si>
  <si>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</si>
  <si>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</si>
  <si>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</si>
  <si>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</si>
  <si>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</si>
  <si>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</si>
  <si>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</si>
  <si>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</si>
  <si>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</si>
  <si>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</si>
  <si>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</si>
  <si>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</si>
  <si>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</si>
  <si>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</si>
  <si>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</si>
  <si>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</si>
  <si>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</si>
  <si>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</si>
  <si>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</si>
  <si>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</si>
  <si>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</si>
  <si>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</si>
  <si>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</si>
  <si>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</si>
  <si>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</si>
  <si>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</si>
  <si>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</si>
  <si>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</si>
  <si>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</si>
  <si>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</si>
  <si>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</si>
  <si>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</si>
  <si>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</si>
  <si>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</si>
  <si>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</si>
  <si>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</si>
  <si>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</si>
  <si>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</si>
  <si>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</si>
  <si>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</si>
  <si>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</si>
  <si>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</si>
  <si>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</si>
  <si>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</si>
  <si>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</si>
  <si>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</si>
  <si>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</si>
  <si>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</si>
  <si>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</si>
  <si>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</si>
  <si>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</si>
  <si>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</si>
  <si>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</si>
  <si>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</si>
  <si>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</si>
  <si>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Synatek</t>
  </si>
  <si>
    <t>Syn</t>
  </si>
  <si>
    <t>737 Hagey Drive</t>
  </si>
  <si>
    <t>18777</t>
  </si>
  <si>
    <t>serialk ### / 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</si>
</sst>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7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21" Type="http://schemas.openxmlformats.org/officeDocument/2006/relationships/image" Target="../media/image50.emf"/><Relationship Id="rId7" Type="http://schemas.openxmlformats.org/officeDocument/2006/relationships/image" Target="../media/image62.emf"/><Relationship Id="rId12" Type="http://schemas.openxmlformats.org/officeDocument/2006/relationships/image" Target="../media/image69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7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control" Target="../activeX/activeX6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4.emf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4.xml"/><Relationship Id="rId50" Type="http://schemas.openxmlformats.org/officeDocument/2006/relationships/image" Target="../media/image70.emf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5.xml"/><Relationship Id="rId38" Type="http://schemas.openxmlformats.org/officeDocument/2006/relationships/image" Target="../media/image66.emf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67.xml"/><Relationship Id="rId40" Type="http://schemas.openxmlformats.org/officeDocument/2006/relationships/image" Target="../media/image67.emf"/><Relationship Id="rId45" Type="http://schemas.openxmlformats.org/officeDocument/2006/relationships/control" Target="../activeX/activeX73.xml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49" Type="http://schemas.openxmlformats.org/officeDocument/2006/relationships/control" Target="../activeX/activeX75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4.xml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2.xml"/><Relationship Id="rId30" Type="http://schemas.openxmlformats.org/officeDocument/2006/relationships/image" Target="../media/image62.emf"/><Relationship Id="rId35" Type="http://schemas.openxmlformats.org/officeDocument/2006/relationships/control" Target="../activeX/activeX66.xml"/><Relationship Id="rId43" Type="http://schemas.openxmlformats.org/officeDocument/2006/relationships/control" Target="../activeX/activeX71.xml"/><Relationship Id="rId48" Type="http://schemas.openxmlformats.org/officeDocument/2006/relationships/image" Target="../media/image69.emf"/><Relationship Id="rId8" Type="http://schemas.openxmlformats.org/officeDocument/2006/relationships/image" Target="../media/image5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control" Target="../activeX/activeX90.xml"/><Relationship Id="rId18" Type="http://schemas.openxmlformats.org/officeDocument/2006/relationships/image" Target="../media/image84.emf"/><Relationship Id="rId26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4.xml"/><Relationship Id="rId7" Type="http://schemas.openxmlformats.org/officeDocument/2006/relationships/control" Target="../activeX/activeX86.xml"/><Relationship Id="rId12" Type="http://schemas.openxmlformats.org/officeDocument/2006/relationships/image" Target="../media/image81.emf"/><Relationship Id="rId17" Type="http://schemas.openxmlformats.org/officeDocument/2006/relationships/control" Target="../activeX/activeX92.xml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image" Target="../media/image83.emf"/><Relationship Id="rId20" Type="http://schemas.openxmlformats.org/officeDocument/2006/relationships/image" Target="../media/image85.emf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control" Target="../activeX/activeX89.xml"/><Relationship Id="rId24" Type="http://schemas.openxmlformats.org/officeDocument/2006/relationships/control" Target="../activeX/activeX96.xml"/><Relationship Id="rId5" Type="http://schemas.openxmlformats.org/officeDocument/2006/relationships/image" Target="../media/image79.emf"/><Relationship Id="rId15" Type="http://schemas.openxmlformats.org/officeDocument/2006/relationships/control" Target="../activeX/activeX91.xml"/><Relationship Id="rId23" Type="http://schemas.openxmlformats.org/officeDocument/2006/relationships/control" Target="../activeX/activeX95.xml"/><Relationship Id="rId28" Type="http://schemas.openxmlformats.org/officeDocument/2006/relationships/control" Target="../activeX/activeX99.xml"/><Relationship Id="rId10" Type="http://schemas.openxmlformats.org/officeDocument/2006/relationships/control" Target="../activeX/activeX88.xml"/><Relationship Id="rId19" Type="http://schemas.openxmlformats.org/officeDocument/2006/relationships/control" Target="../activeX/activeX93.xml"/><Relationship Id="rId31" Type="http://schemas.openxmlformats.org/officeDocument/2006/relationships/image" Target="../media/image89.emf"/><Relationship Id="rId4" Type="http://schemas.openxmlformats.org/officeDocument/2006/relationships/control" Target="../activeX/activeX84.xml"/><Relationship Id="rId9" Type="http://schemas.openxmlformats.org/officeDocument/2006/relationships/image" Target="../media/image80.emf"/><Relationship Id="rId14" Type="http://schemas.openxmlformats.org/officeDocument/2006/relationships/image" Target="../media/image82.emf"/><Relationship Id="rId22" Type="http://schemas.openxmlformats.org/officeDocument/2006/relationships/image" Target="../media/image86.emf"/><Relationship Id="rId27" Type="http://schemas.openxmlformats.org/officeDocument/2006/relationships/image" Target="../media/image87.emf"/><Relationship Id="rId30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38</v>
      </c>
    </row>
    <row r="3" spans="2:5" ht="30" customHeight="1" x14ac:dyDescent="0.25">
      <c r="B3" s="11" t="s">
        <v>42</v>
      </c>
      <c r="C3" s="14" t="s">
        <v>299</v>
      </c>
      <c r="E3" s="37"/>
    </row>
    <row r="4" spans="2:5" ht="30" customHeight="1" x14ac:dyDescent="0.25">
      <c r="B4" s="11" t="s">
        <v>185</v>
      </c>
      <c r="C4" s="14" t="s">
        <v>300</v>
      </c>
      <c r="E4" s="34"/>
    </row>
    <row r="5" spans="2:5" ht="30" customHeight="1" x14ac:dyDescent="0.25">
      <c r="B5" s="11" t="s">
        <v>43</v>
      </c>
      <c r="C5" s="14" t="s">
        <v>301</v>
      </c>
      <c r="E5" s="37"/>
    </row>
    <row r="6" spans="2:5" ht="30" customHeight="1" x14ac:dyDescent="0.25">
      <c r="B6" s="11" t="s">
        <v>44</v>
      </c>
      <c r="C6" s="14" t="s">
        <v>186</v>
      </c>
    </row>
    <row r="7" spans="2:5" ht="30" customHeight="1" x14ac:dyDescent="0.25">
      <c r="B7" s="11" t="s">
        <v>45</v>
      </c>
      <c r="C7" s="14" t="s">
        <v>190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302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264</v>
      </c>
      <c r="D4" s="37"/>
    </row>
    <row r="5" spans="1:4" ht="30" customHeight="1" x14ac:dyDescent="0.25">
      <c r="A5" s="5" t="s">
        <v>1</v>
      </c>
      <c r="B5" s="14" t="s">
        <v>264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265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266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257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258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3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274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259</v>
      </c>
      <c r="E3" s="37"/>
    </row>
    <row r="4" spans="1:5" ht="30" customHeight="1" x14ac:dyDescent="0.25">
      <c r="A4" s="5" t="s">
        <v>36</v>
      </c>
      <c r="B4" s="58" t="s">
        <v>260</v>
      </c>
    </row>
    <row r="5" spans="1:5" ht="30" customHeight="1" x14ac:dyDescent="0.25">
      <c r="A5" s="5" t="s">
        <v>13</v>
      </c>
      <c r="B5" s="14" t="s">
        <v>261</v>
      </c>
    </row>
    <row r="6" spans="1:5" ht="30" customHeight="1" x14ac:dyDescent="0.25">
      <c r="A6" s="5" t="s">
        <v>34</v>
      </c>
      <c r="B6" s="14" t="s">
        <v>262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09" t="s">
        <v>263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C2" sqref="C1:C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>
        <v>43667.764880289353</v>
      </c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>
        <v>0</v>
      </c>
    </row>
    <row r="15" spans="2:10" ht="18" customHeight="1" x14ac:dyDescent="0.25">
      <c r="B15" s="5" t="s">
        <v>214</v>
      </c>
      <c r="C15" s="53">
        <v>0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6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6" r:id="rId29" name="cbVehicle">
          <controlPr defaultSize="0" autoFill="0" autoLine="0" r:id="rId3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9" name="cbVehicle"/>
      </mc:Fallback>
    </mc:AlternateContent>
    <mc:AlternateContent xmlns:mc="http://schemas.openxmlformats.org/markup-compatibility/2006">
      <mc:Choice Requires="x14">
        <control shapeId="21525" r:id="rId31" name="cbCompLocation">
          <controlPr defaultSize="0" autoFill="0" autoLine="0" r:id="rId32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1" name="cbCompLocation"/>
      </mc:Fallback>
    </mc:AlternateContent>
    <mc:AlternateContent xmlns:mc="http://schemas.openxmlformats.org/markup-compatibility/2006">
      <mc:Choice Requires="x14">
        <control shapeId="21523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3" name="cbCompany"/>
      </mc:Fallback>
    </mc:AlternateContent>
    <mc:AlternateContent xmlns:mc="http://schemas.openxmlformats.org/markup-compatibility/2006">
      <mc:Choice Requires="x14">
        <control shapeId="21522" r:id="rId35" name="cbDPF">
          <controlPr defaultSize="0" autoFill="0" autoLine="0" r:id="rId36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5" name="cbDPF"/>
      </mc:Fallback>
    </mc:AlternateContent>
    <mc:AlternateContent xmlns:mc="http://schemas.openxmlformats.org/markup-compatibility/2006">
      <mc:Choice Requires="x14">
        <control shapeId="21505" r:id="rId37" name="chkOvrRdHw">
          <controlPr autoLine="0" autoPict="0" r:id="rId3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7" name="chkOvrRdHw"/>
      </mc:Fallback>
    </mc:AlternateContent>
    <mc:AlternateContent xmlns:mc="http://schemas.openxmlformats.org/markup-compatibility/2006">
      <mc:Choice Requires="x14">
        <control shapeId="21506" r:id="rId39" name="chkStartStop">
          <controlPr autoLine="0" autoPict="0" r:id="rId40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9" name="chkStartStop"/>
      </mc:Fallback>
    </mc:AlternateContent>
    <mc:AlternateContent xmlns:mc="http://schemas.openxmlformats.org/markup-compatibility/2006">
      <mc:Choice Requires="x14">
        <control shapeId="21507" r:id="rId41" name="chkHighIdle">
          <controlPr autoLine="0" autoPict="0" r:id="rId40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1" name="chkHighIdle"/>
      </mc:Fallback>
    </mc:AlternateContent>
    <mc:AlternateContent xmlns:mc="http://schemas.openxmlformats.org/markup-compatibility/2006">
      <mc:Choice Requires="x14">
        <control shapeId="21508" r:id="rId42" name="chkPreventMaint">
          <controlPr autoLine="0" autoPict="0" r:id="rId40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2" name="chkPreventMaint"/>
      </mc:Fallback>
    </mc:AlternateContent>
    <mc:AlternateContent xmlns:mc="http://schemas.openxmlformats.org/markup-compatibility/2006">
      <mc:Choice Requires="x14">
        <control shapeId="21509" r:id="rId43" name="chkHighSootLoad">
          <controlPr autoLine="0" autoPict="0" r:id="rId40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3" name="chkHighSootLoad"/>
      </mc:Fallback>
    </mc:AlternateContent>
    <mc:AlternateContent xmlns:mc="http://schemas.openxmlformats.org/markup-compatibility/2006">
      <mc:Choice Requires="x14">
        <control shapeId="21510" r:id="rId44" name="chkEngineFail">
          <controlPr autoLine="0" autoPict="0" r:id="rId40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4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  <mc:AlternateContent xmlns:mc="http://schemas.openxmlformats.org/markup-compatibility/2006">
      <mc:Choice Requires="x14">
        <control shapeId="21539" r:id="rId49" name="cmdReport">
          <controlPr defaultSize="0" autoLine="0" altText="" r:id="rId50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9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2" t="s">
        <v>221</v>
      </c>
      <c r="CG2" t="s">
        <v>117</v>
      </c>
      <c r="CH2" s="112" t="s">
        <v>118</v>
      </c>
      <c r="CI2">
        <v>0</v>
      </c>
      <c r="CJ2" s="112" t="s">
        <v>223</v>
      </c>
      <c r="CK2" t="s">
        <v>222</v>
      </c>
      <c r="CM2" s="112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2" t="s">
        <v>221</v>
      </c>
      <c r="CG3" t="s">
        <v>117</v>
      </c>
      <c r="CH3" s="112" t="s">
        <v>118</v>
      </c>
      <c r="CI3">
        <v>0</v>
      </c>
      <c r="CJ3" s="112" t="s">
        <v>223</v>
      </c>
      <c r="CK3" t="s">
        <v>222</v>
      </c>
      <c r="CM3" s="112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2" t="s">
        <v>221</v>
      </c>
      <c r="CG4" t="s">
        <v>117</v>
      </c>
      <c r="CH4" s="112" t="s">
        <v>118</v>
      </c>
      <c r="CI4">
        <v>0</v>
      </c>
      <c r="CJ4" s="112" t="s">
        <v>223</v>
      </c>
      <c r="CK4" t="s">
        <v>222</v>
      </c>
      <c r="CM4" s="112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4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7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5" t="s">
        <v>273</v>
      </c>
      <c r="C12" s="25" t="s">
        <v>268</v>
      </c>
      <c r="D12" s="115" t="s">
        <v>267</v>
      </c>
      <c r="E12" s="116" t="s">
        <v>269</v>
      </c>
      <c r="F12" s="118" t="s">
        <v>270</v>
      </c>
      <c r="G12" s="25" t="s">
        <v>271</v>
      </c>
      <c r="H12" s="25" t="s">
        <v>272</v>
      </c>
    </row>
    <row r="13" spans="2:8" x14ac:dyDescent="0.25">
      <c r="B13" s="19">
        <v>9</v>
      </c>
      <c r="C13" s="114" t="s">
        <v>276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25">
      <c r="B14" s="19">
        <v>8</v>
      </c>
      <c r="C14" s="114" t="s">
        <v>277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25">
      <c r="B15" s="19">
        <v>7</v>
      </c>
      <c r="C15" s="114" t="s">
        <v>278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25">
      <c r="B16" s="19">
        <v>6</v>
      </c>
      <c r="C16" s="114" t="s">
        <v>279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25">
      <c r="B17" s="19">
        <v>35</v>
      </c>
      <c r="C17" s="114" t="s">
        <v>280</v>
      </c>
      <c r="D17" s="19">
        <v>41</v>
      </c>
      <c r="F17" s="2">
        <v>43607.795680439813</v>
      </c>
      <c r="G17" t="s">
        <v>281</v>
      </c>
      <c r="H17" t="s">
        <v>282</v>
      </c>
    </row>
    <row r="18" spans="2:8" ht="15.95" customHeight="1" x14ac:dyDescent="0.25">
      <c r="B18" s="19">
        <v>35</v>
      </c>
      <c r="C18" s="114" t="s">
        <v>280</v>
      </c>
      <c r="D18" s="19">
        <v>42</v>
      </c>
      <c r="F18" s="2">
        <v>43607.808764930553</v>
      </c>
      <c r="G18" t="s">
        <v>281</v>
      </c>
      <c r="H18" t="s">
        <v>282</v>
      </c>
    </row>
    <row r="19" spans="2:8" x14ac:dyDescent="0.25">
      <c r="B19" s="19">
        <v>13</v>
      </c>
      <c r="C19" s="114" t="s">
        <v>283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25">
      <c r="B20" s="19">
        <v>12</v>
      </c>
      <c r="C20" s="114" t="s">
        <v>284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25">
      <c r="B21" s="19">
        <v>11</v>
      </c>
      <c r="C21" s="114" t="s">
        <v>285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25">
      <c r="B22" s="19">
        <v>10</v>
      </c>
      <c r="C22" s="114" t="s">
        <v>286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25">
      <c r="B23" s="19">
        <v>39</v>
      </c>
      <c r="C23" s="114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25">
      <c r="B24" s="19">
        <v>39</v>
      </c>
      <c r="C24" s="114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25">
      <c r="B25" s="19">
        <v>37</v>
      </c>
      <c r="C25" s="114" t="s">
        <v>287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25">
      <c r="B26" s="19">
        <v>37</v>
      </c>
      <c r="C26" s="114" t="s">
        <v>287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25">
      <c r="B27" s="19">
        <v>36</v>
      </c>
      <c r="C27" s="114" t="s">
        <v>288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25">
      <c r="B28" s="19">
        <v>34</v>
      </c>
      <c r="C28" s="114" t="s">
        <v>289</v>
      </c>
      <c r="D28" s="19">
        <v>40</v>
      </c>
      <c r="F28" s="2">
        <v>43607.790823958334</v>
      </c>
      <c r="G28" t="s">
        <v>290</v>
      </c>
      <c r="H28" t="s">
        <v>188</v>
      </c>
    </row>
    <row r="29" spans="2:8" x14ac:dyDescent="0.25">
      <c r="B29" s="19">
        <v>33</v>
      </c>
      <c r="C29" s="114" t="s">
        <v>291</v>
      </c>
      <c r="D29" s="19">
        <v>39</v>
      </c>
      <c r="F29" s="2">
        <v>43607.79031369213</v>
      </c>
      <c r="G29" t="s">
        <v>292</v>
      </c>
      <c r="H29" t="s">
        <v>188</v>
      </c>
    </row>
    <row r="30" spans="2:8" x14ac:dyDescent="0.25">
      <c r="B30" s="19">
        <v>32</v>
      </c>
      <c r="C30" s="114" t="s">
        <v>293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25">
      <c r="B31" s="19">
        <v>32</v>
      </c>
      <c r="C31" s="114" t="s">
        <v>293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25">
      <c r="B32" s="19">
        <v>31</v>
      </c>
      <c r="C32" s="114" t="s">
        <v>294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25">
      <c r="B33" s="19">
        <v>31</v>
      </c>
      <c r="C33" s="114" t="s">
        <v>294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25">
      <c r="B34" s="19">
        <v>31</v>
      </c>
      <c r="C34" s="114" t="s">
        <v>294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25">
      <c r="B35" s="19">
        <v>30</v>
      </c>
      <c r="C35" s="114" t="s">
        <v>295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25">
      <c r="B36" s="19">
        <v>16</v>
      </c>
      <c r="C36" s="114" t="s">
        <v>296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25">
      <c r="B37" s="19">
        <v>16</v>
      </c>
      <c r="C37" s="114" t="s">
        <v>296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25">
      <c r="B38" s="19">
        <v>15</v>
      </c>
      <c r="C38" s="114" t="s">
        <v>297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25">
      <c r="B39" s="19">
        <v>14</v>
      </c>
      <c r="C39" s="114" t="s">
        <v>298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25">
      <c r="B40" s="19">
        <v>14</v>
      </c>
      <c r="C40" s="114" t="s">
        <v>298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25">
      <c r="B41" s="19">
        <v>14</v>
      </c>
      <c r="C41" s="114" t="s">
        <v>298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7">
        <v>66</v>
      </c>
      <c r="J2" s="19"/>
    </row>
    <row r="3" spans="1:10" ht="18" customHeight="1" x14ac:dyDescent="0.25">
      <c r="A3" s="40" t="s">
        <v>219</v>
      </c>
      <c r="B3" s="108" t="s">
        <v>303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7">
        <v>11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7">
        <v>15</v>
      </c>
      <c r="F5" s="41"/>
      <c r="H5" s="10" t="s">
        <v>65</v>
      </c>
    </row>
    <row r="6" spans="1:10" ht="18" customHeight="1" x14ac:dyDescent="0.25">
      <c r="A6" s="40" t="s">
        <v>217</v>
      </c>
      <c r="B6" s="110">
        <f>(3.14*(SubDiameter/2)^2)*(SubLength)*(1/12)^3</f>
        <v>0.82452256944444446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1">
        <f>Volume*28.317</f>
        <v>23.348005598958334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>
        <v>0</v>
      </c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256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tabSelected="1" workbookViewId="0">
      <selection activeCell="F2" sqref="F2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1" t="s">
        <v>205</v>
      </c>
      <c r="C3" s="1">
        <v>66</v>
      </c>
    </row>
    <row r="4" spans="2:9" ht="18.75" x14ac:dyDescent="0.3">
      <c r="I4" s="45"/>
    </row>
    <row r="5" spans="2:9" x14ac:dyDescent="0.25">
      <c r="B5" s="105" t="s">
        <v>16</v>
      </c>
      <c r="C5" s="106"/>
      <c r="D5" s="61"/>
      <c r="E5" s="61" t="s">
        <v>207</v>
      </c>
      <c r="F5" s="92">
        <v>110000</v>
      </c>
      <c r="G5" s="93" t="s">
        <v>91</v>
      </c>
      <c r="H5" s="64"/>
    </row>
    <row r="6" spans="2:9" x14ac:dyDescent="0.25">
      <c r="B6" s="94" t="s">
        <v>18</v>
      </c>
      <c r="C6" s="95"/>
      <c r="D6" s="64"/>
      <c r="E6" s="64" t="s">
        <v>206</v>
      </c>
      <c r="F6" s="96">
        <v>60</v>
      </c>
      <c r="G6" s="67" t="s">
        <v>92</v>
      </c>
      <c r="H6" s="64"/>
    </row>
    <row r="7" spans="2:9" x14ac:dyDescent="0.25">
      <c r="B7" s="97" t="s">
        <v>168</v>
      </c>
      <c r="C7" s="95">
        <f>(3.14*(SubDiameter/2)^2)*(SubLength)*(1/12)^3</f>
        <v>0</v>
      </c>
      <c r="D7" s="98"/>
      <c r="E7" s="64" t="s">
        <v>208</v>
      </c>
      <c r="F7" s="96">
        <f>(Volume*MaxSpaceVelocity)*(1/60)*(61.7)/(2350*0.395)</f>
        <v>0</v>
      </c>
      <c r="G7" s="67" t="s">
        <v>92</v>
      </c>
      <c r="H7" s="64"/>
    </row>
    <row r="8" spans="2:9" x14ac:dyDescent="0.25">
      <c r="B8" s="99" t="s">
        <v>169</v>
      </c>
      <c r="C8" s="100">
        <f>Volume*28.317</f>
        <v>0</v>
      </c>
      <c r="D8" s="101"/>
      <c r="E8" s="102" t="s">
        <v>209</v>
      </c>
      <c r="F8" s="104">
        <f>IF(F7&gt;MaxHertz,"60",F7)</f>
        <v>0</v>
      </c>
      <c r="G8" s="103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89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0"/>
    </row>
    <row r="13" spans="2:9" x14ac:dyDescent="0.25">
      <c r="B13" s="63" t="s">
        <v>75</v>
      </c>
      <c r="C13" s="64"/>
      <c r="D13" s="64"/>
      <c r="E13" s="64"/>
      <c r="F13" s="64"/>
      <c r="G13" s="64"/>
      <c r="H13" s="66" t="s">
        <v>90</v>
      </c>
      <c r="I13" s="90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 t="e">
        <f t="shared" ref="F16:F26" si="1">(E16*60)/Volume</f>
        <v>#DIV/0!</v>
      </c>
      <c r="G16" s="119">
        <v>20000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 t="e">
        <f t="shared" si="1"/>
        <v>#DIV/0!</v>
      </c>
      <c r="G17" s="119">
        <v>35000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121"/>
      <c r="E18" s="75">
        <f t="shared" si="0"/>
        <v>0</v>
      </c>
      <c r="F18" s="76" t="e">
        <f t="shared" si="1"/>
        <v>#DIV/0!</v>
      </c>
      <c r="G18" s="119">
        <v>50000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121"/>
      <c r="E19" s="75">
        <f t="shared" si="0"/>
        <v>0</v>
      </c>
      <c r="F19" s="76" t="e">
        <f t="shared" si="1"/>
        <v>#DIV/0!</v>
      </c>
      <c r="G19" s="119">
        <v>60000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121"/>
      <c r="E20" s="75">
        <f t="shared" si="0"/>
        <v>0</v>
      </c>
      <c r="F20" s="76" t="e">
        <f t="shared" si="1"/>
        <v>#DIV/0!</v>
      </c>
      <c r="G20" s="119">
        <v>70000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121"/>
      <c r="E21" s="75">
        <f t="shared" si="0"/>
        <v>0</v>
      </c>
      <c r="F21" s="76" t="e">
        <f t="shared" si="1"/>
        <v>#DIV/0!</v>
      </c>
      <c r="G21" s="119">
        <v>75000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121"/>
      <c r="E22" s="75">
        <f t="shared" si="0"/>
        <v>0</v>
      </c>
      <c r="F22" s="76" t="e">
        <f t="shared" si="1"/>
        <v>#DIV/0!</v>
      </c>
      <c r="G22" s="119">
        <v>80000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121"/>
      <c r="E23" s="75">
        <f t="shared" si="0"/>
        <v>0</v>
      </c>
      <c r="F23" s="76" t="e">
        <f t="shared" si="1"/>
        <v>#DIV/0!</v>
      </c>
      <c r="G23" s="119">
        <v>85000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121"/>
      <c r="E24" s="75">
        <f t="shared" si="0"/>
        <v>0</v>
      </c>
      <c r="F24" s="76" t="e">
        <f t="shared" si="1"/>
        <v>#DIV/0!</v>
      </c>
      <c r="G24" s="119">
        <v>90000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121"/>
      <c r="E25" s="75">
        <f t="shared" si="0"/>
        <v>0</v>
      </c>
      <c r="F25" s="76" t="e">
        <f t="shared" si="1"/>
        <v>#DIV/0!</v>
      </c>
      <c r="G25" s="119">
        <v>95000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121"/>
      <c r="E26" s="80">
        <f t="shared" si="0"/>
        <v>0</v>
      </c>
      <c r="F26" s="82" t="e">
        <f t="shared" si="1"/>
        <v>#DIV/0!</v>
      </c>
      <c r="G26" s="120">
        <v>100000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89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0"/>
    </row>
    <row r="30" spans="2:9" x14ac:dyDescent="0.25">
      <c r="B30" s="63" t="s">
        <v>75</v>
      </c>
      <c r="C30" s="64"/>
      <c r="D30" s="64"/>
      <c r="E30" s="64"/>
      <c r="F30" s="64"/>
      <c r="G30" s="64"/>
      <c r="H30" s="66" t="s">
        <v>90</v>
      </c>
      <c r="I30" s="90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0</v>
      </c>
      <c r="C33" s="75">
        <f>(2350/61.7)*B33*0.395</f>
        <v>0</v>
      </c>
      <c r="D33" s="68">
        <v>0</v>
      </c>
      <c r="E33" s="75">
        <f t="shared" ref="E33:E43" si="5">C33-(34.4764881*D33-4.325744048*D33^2+0.369475446*D33^3-0.01733631*D33^4+0.000339472*D33^5)</f>
        <v>0</v>
      </c>
      <c r="F33" s="76" t="e">
        <f t="shared" ref="F33:F43" si="6">(E33*60)/Volume</f>
        <v>#DIV/0!</v>
      </c>
      <c r="G33" s="119">
        <v>20000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>
        <v>0</v>
      </c>
      <c r="E34" s="75">
        <f t="shared" si="5"/>
        <v>0</v>
      </c>
      <c r="F34" s="76" t="e">
        <f t="shared" si="6"/>
        <v>#DIV/0!</v>
      </c>
      <c r="G34" s="119">
        <v>35000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>
        <v>0</v>
      </c>
      <c r="E35" s="75">
        <f t="shared" si="5"/>
        <v>0</v>
      </c>
      <c r="F35" s="76" t="e">
        <f t="shared" si="6"/>
        <v>#DIV/0!</v>
      </c>
      <c r="G35" s="119">
        <v>50000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>
        <v>0</v>
      </c>
      <c r="E36" s="75">
        <f t="shared" si="5"/>
        <v>0</v>
      </c>
      <c r="F36" s="76" t="e">
        <f t="shared" si="6"/>
        <v>#DIV/0!</v>
      </c>
      <c r="G36" s="119">
        <v>60000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>
        <v>0</v>
      </c>
      <c r="E37" s="75">
        <f t="shared" si="5"/>
        <v>0</v>
      </c>
      <c r="F37" s="76" t="e">
        <f t="shared" si="6"/>
        <v>#DIV/0!</v>
      </c>
      <c r="G37" s="119">
        <v>70000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>
        <v>0</v>
      </c>
      <c r="E38" s="75">
        <f t="shared" si="5"/>
        <v>0</v>
      </c>
      <c r="F38" s="76" t="e">
        <f t="shared" si="6"/>
        <v>#DIV/0!</v>
      </c>
      <c r="G38" s="119">
        <v>75000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>
        <v>0</v>
      </c>
      <c r="E39" s="75">
        <f t="shared" si="5"/>
        <v>0</v>
      </c>
      <c r="F39" s="76" t="e">
        <f t="shared" si="6"/>
        <v>#DIV/0!</v>
      </c>
      <c r="G39" s="119">
        <v>80000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>
        <v>0</v>
      </c>
      <c r="E40" s="75">
        <f t="shared" si="5"/>
        <v>0</v>
      </c>
      <c r="F40" s="76" t="e">
        <f t="shared" si="6"/>
        <v>#DIV/0!</v>
      </c>
      <c r="G40" s="119">
        <v>85000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>
        <v>0</v>
      </c>
      <c r="E41" s="75">
        <f t="shared" si="5"/>
        <v>0</v>
      </c>
      <c r="F41" s="76" t="e">
        <f t="shared" si="6"/>
        <v>#DIV/0!</v>
      </c>
      <c r="G41" s="119">
        <v>90000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>
        <v>0</v>
      </c>
      <c r="E42" s="75">
        <f t="shared" si="5"/>
        <v>0</v>
      </c>
      <c r="F42" s="76" t="e">
        <f t="shared" si="6"/>
        <v>#DIV/0!</v>
      </c>
      <c r="G42" s="119">
        <v>95000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>
        <v>0</v>
      </c>
      <c r="E43" s="80">
        <f t="shared" si="5"/>
        <v>0</v>
      </c>
      <c r="F43" s="82" t="e">
        <f t="shared" si="6"/>
        <v>#DIV/0!</v>
      </c>
      <c r="G43" s="120">
        <v>100000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89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0"/>
    </row>
    <row r="47" spans="2:9" x14ac:dyDescent="0.25">
      <c r="B47" s="63" t="s">
        <v>75</v>
      </c>
      <c r="C47" s="64"/>
      <c r="E47" s="64"/>
      <c r="F47" s="64"/>
      <c r="G47" s="64"/>
      <c r="H47" s="66" t="s">
        <v>90</v>
      </c>
      <c r="I47" s="90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0</v>
      </c>
      <c r="C50" s="75">
        <f>(2350/61.7)*B50*0.395</f>
        <v>0</v>
      </c>
      <c r="D50" s="68">
        <v>0</v>
      </c>
      <c r="E50" s="75">
        <f t="shared" ref="E50:E60" si="10">C50-(34.4764881*D50-4.325744048*D50^2+0.369475446*D50^3-0.01733631*D50^4+0.000339472*D50^5)</f>
        <v>0</v>
      </c>
      <c r="F50" s="75" t="e">
        <f t="shared" ref="F50:F60" si="11">(E50*60)/Volume</f>
        <v>#DIV/0!</v>
      </c>
      <c r="G50" s="119">
        <v>20000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>
        <v>0</v>
      </c>
      <c r="E51" s="75">
        <f t="shared" si="10"/>
        <v>0</v>
      </c>
      <c r="F51" s="75" t="e">
        <f t="shared" si="11"/>
        <v>#DIV/0!</v>
      </c>
      <c r="G51" s="119">
        <v>35000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>
        <v>0</v>
      </c>
      <c r="E52" s="75">
        <f t="shared" si="10"/>
        <v>0</v>
      </c>
      <c r="F52" s="75" t="e">
        <f t="shared" si="11"/>
        <v>#DIV/0!</v>
      </c>
      <c r="G52" s="119">
        <v>50000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>
        <v>0</v>
      </c>
      <c r="E53" s="75">
        <f t="shared" si="10"/>
        <v>0</v>
      </c>
      <c r="F53" s="75" t="e">
        <f t="shared" si="11"/>
        <v>#DIV/0!</v>
      </c>
      <c r="G53" s="119">
        <v>60000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>
        <v>0</v>
      </c>
      <c r="E54" s="75">
        <f t="shared" si="10"/>
        <v>0</v>
      </c>
      <c r="F54" s="75" t="e">
        <f t="shared" si="11"/>
        <v>#DIV/0!</v>
      </c>
      <c r="G54" s="119">
        <v>70000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>
        <v>0</v>
      </c>
      <c r="E55" s="75">
        <f t="shared" si="10"/>
        <v>0</v>
      </c>
      <c r="F55" s="75" t="e">
        <f t="shared" si="11"/>
        <v>#DIV/0!</v>
      </c>
      <c r="G55" s="119">
        <v>75000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>
        <v>0</v>
      </c>
      <c r="E56" s="75">
        <f t="shared" si="10"/>
        <v>0</v>
      </c>
      <c r="F56" s="75" t="e">
        <f t="shared" si="11"/>
        <v>#DIV/0!</v>
      </c>
      <c r="G56" s="119">
        <v>80000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>
        <v>0</v>
      </c>
      <c r="E57" s="75">
        <f t="shared" si="10"/>
        <v>0</v>
      </c>
      <c r="F57" s="75" t="e">
        <f t="shared" si="11"/>
        <v>#DIV/0!</v>
      </c>
      <c r="G57" s="119">
        <v>85000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>
        <v>0</v>
      </c>
      <c r="E58" s="75">
        <f t="shared" si="10"/>
        <v>0</v>
      </c>
      <c r="F58" s="75" t="e">
        <f t="shared" si="11"/>
        <v>#DIV/0!</v>
      </c>
      <c r="G58" s="119">
        <v>90000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>
        <v>0</v>
      </c>
      <c r="E59" s="75">
        <f t="shared" si="10"/>
        <v>0</v>
      </c>
      <c r="F59" s="75" t="e">
        <f t="shared" si="11"/>
        <v>#DIV/0!</v>
      </c>
      <c r="G59" s="119">
        <v>95000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>
        <v>0</v>
      </c>
      <c r="E60" s="80">
        <f t="shared" si="10"/>
        <v>0</v>
      </c>
      <c r="F60" s="80" t="e">
        <f t="shared" si="11"/>
        <v>#DIV/0!</v>
      </c>
      <c r="G60" s="120">
        <v>100000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2019-07-21T19:19:32Z</dcterms:modified>
</cp:coreProperties>
</file>