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9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10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9B9C7658-EE83-4AE1-A1CF-E756635D18CF}" xr6:coauthVersionLast="40" xr6:coauthVersionMax="40" xr10:uidLastSave="{00000000-0000-0000-0000-000000000000}"/>
  <bookViews>
    <workbookView xWindow="0" yWindow="0" windowWidth="17880" windowHeight="1459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Quality" sheetId="18" state="hidden" r:id="rId10"/>
    <sheet name="QAProcess" sheetId="19" state="hidden" r:id="rId11"/>
  </sheets>
  <functionGroups builtInGroupCount="19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0">QAProcess!$C$5:$C$13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10">QAProcess!$C$8:$C$10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Quality!$D$34:$F$38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MaxHertz" localSheetId="10">QAProcess!$C$12</definedName>
    <definedName name="MaxSpaceVelocity" localSheetId="10">QAProcess!$C$11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P0a" localSheetId="10">QAProcess!$H$34</definedName>
    <definedName name="P0AirTemp" localSheetId="10">QAProcess!$D$17</definedName>
    <definedName name="P0b" localSheetId="10">QAProcess!$H$35</definedName>
    <definedName name="P0BackPress" localSheetId="10">QAProcess!$D$19</definedName>
    <definedName name="P0BaroPress" localSheetId="10">QAProcess!$D$18</definedName>
    <definedName name="P0c">QAProcess!$H$36</definedName>
    <definedName name="P0PSI" localSheetId="10">QAProcess!$D$22:$D$32</definedName>
    <definedName name="P0SV" localSheetId="10">QAProcess!$G$22:$G$32</definedName>
    <definedName name="P11PSI" localSheetId="10">QAProcess!$D$46:$D$56</definedName>
    <definedName name="P1a" localSheetId="10">QAProcess!$H$58</definedName>
    <definedName name="P1AirTemp" localSheetId="10">QAProcess!$D$41</definedName>
    <definedName name="P1b" localSheetId="10">QAProcess!$H$59</definedName>
    <definedName name="P1BackPress" localSheetId="10">QAProcess!$D$43</definedName>
    <definedName name="P1BaroPress" localSheetId="10">QAProcess!$D$42</definedName>
    <definedName name="P1c" localSheetId="10">QAProcess!$H$60</definedName>
    <definedName name="P1SV" localSheetId="10">QAProcess!$G$46:$G$56</definedName>
    <definedName name="P2a" localSheetId="10">QAProcess!$H$83</definedName>
    <definedName name="P2AirTemp" localSheetId="10">QAProcess!$D$66</definedName>
    <definedName name="P2b" localSheetId="10">QAProcess!$H$84</definedName>
    <definedName name="P2BackPress" localSheetId="10">QAProcess!$D$68</definedName>
    <definedName name="P2BaroPress" localSheetId="10">QAProcess!$D$67</definedName>
    <definedName name="P2c" localSheetId="10">QAProcess!$H$34+QAProcess!$H$85</definedName>
    <definedName name="P2PSI">QAProcess!$D$71:$D$81</definedName>
    <definedName name="P2SV" localSheetId="10">QAProcess!$G$71:$G$81</definedName>
    <definedName name="SubDiameter" localSheetId="10">QAProcess!$C$9</definedName>
    <definedName name="SubLength" localSheetId="10">QAProcess!$C$10</definedName>
    <definedName name="vehicle" localSheetId="8">DPF!$F$41:$F$48</definedName>
    <definedName name="vehicle" localSheetId="4">Vehicle!$B$4:$B$9</definedName>
    <definedName name="Volume" localSheetId="10">QAProcess!$H$11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<sst xmlns="http://schemas.openxmlformats.org/spreadsheetml/2006/main" count="299" uniqueCount="179">
  <si>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</si>
  <si>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</si>
  <si>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</si>
  <si>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</si>
  <si>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</si>
  <si>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</si>
  <si>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</si>
  <si>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</si>
  <si>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</si>
  <si>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</si>
  <si>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</si>
  <si>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</si>
  <si>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</si>
  <si>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</si>
  <si>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</si>
  <si>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</si>
  <si>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</si>
  <si>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</si>
  <si>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</si>
  <si>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</si>
  <si>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</si>
  <si>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</si>
  <si>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</si>
  <si>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</si>
  <si>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</si>
  <si>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</si>
  <si>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</si>
  <si>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</si>
  <si>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</si>
  <si>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</si>
  <si>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</si>
  <si>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</si>
  <si>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</si>
  <si>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</si>
  <si>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</si>
  <si>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</si>
  <si>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</si>
  <si>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</si>
  <si>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</si>
  <si>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</si>
  <si>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</si>
  <si>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</si>
  <si>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</si>
  <si>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</si>
  <si>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</si>
  <si>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</si>
  <si>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</si>
  <si>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</si>
  <si>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</si>
  <si>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</si>
  <si>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</si>
  <si>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</si>
  <si>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</si>
  <si>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</si>
  <si>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</si>
  <si>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</si>
  <si>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</si>
  <si>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</si>
  <si>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</si>
  <si>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</si>
  <si>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</si>
  <si>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</si>
  <si>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</si>
  <si>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</si>
  <si>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</si>
  <si>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</si>
  <si>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</si>
  <si>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</si>
  <si>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</si>
  <si>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</si>
  <si>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</si>
  <si>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</si>
  <si>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</si>
  <si>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</si>
  <si>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</si>
  <si>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</si>
  <si>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</si>
  <si>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</si>
  <si>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</si>
  <si>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</si>
  <si>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</si>
  <si>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</si>
  <si>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</si>
  <si>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</si>
  <si>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</si>
  <si>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</si>
  <si>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</si>
  <si>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</si>
  <si>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</si>
  <si>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</si>
  <si>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</si>
  <si>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</si>
  <si>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</si>
  <si>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</si>
  <si>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</si>
  <si>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</si>
  <si>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</si>
  <si>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</si>
  <si>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</si>
  <si>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</si>
  <si>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</si>
  <si>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Quigley Bus Company</t>
  </si>
  <si>
    <t>P.O Box 219</t>
  </si>
  <si>
    <t>Bally</t>
  </si>
  <si>
    <t>19503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</si>
  <si>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</si>
  <si>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</si>
  <si>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</si>
  <si>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</si>
  <si>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</si>
  <si>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</si>
  <si>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</si>
  <si>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</si>
  <si>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</si>
  <si>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</si>
  <si>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</si>
  <si>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</si>
  <si>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</si>
  <si>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</si>
  <si>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</si>
  <si>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</si>
  <si>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</si>
  <si>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</si>
  <si>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</si>
  <si>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</si>
  <si>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</si>
  <si>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</si>
  <si>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</si>
  <si>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</si>
  <si>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</si>
  <si>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</si>
  <si>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</si>
  <si>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</si>
  <si>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</si>
  <si>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</si>
  <si>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</si>
  <si>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</si>
  <si>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</si>
  <si>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</si>
  <si>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60 Schoolhouse &amp; Rd.</t>
  </si>
  <si>
    <t>Souderton</t>
  </si>
  <si>
    <t>18964</t>
  </si>
  <si>
    <t>Vin123456</t>
  </si>
  <si>
    <t>serial123456</t>
  </si>
  <si>
    <t>asset123456</t>
  </si>
  <si>
    <t>model1234565</t>
  </si>
  <si>
    <t>Select Valid Manufacturer</t>
  </si>
  <si>
    <t>Serial123</t>
  </si>
  <si>
    <t>Modl123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</si>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</sst>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2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3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1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1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1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13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4" Type="http://schemas.openxmlformats.org/officeDocument/2006/relationships/image" Target="../media/image2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image" Target="../media/image48.emf"/><Relationship Id="rId7" Type="http://schemas.openxmlformats.org/officeDocument/2006/relationships/image" Target="../media/image44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6" Type="http://schemas.openxmlformats.org/officeDocument/2006/relationships/image" Target="../media/image45.emf"/><Relationship Id="rId11" Type="http://schemas.openxmlformats.org/officeDocument/2006/relationships/image" Target="../media/image40.emf"/><Relationship Id="rId5" Type="http://schemas.openxmlformats.org/officeDocument/2006/relationships/image" Target="../media/image46.emf"/><Relationship Id="rId10" Type="http://schemas.openxmlformats.org/officeDocument/2006/relationships/image" Target="../media/image41.emf"/><Relationship Id="rId4" Type="http://schemas.openxmlformats.org/officeDocument/2006/relationships/image" Target="../media/image47.emf"/><Relationship Id="rId9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63500</xdr:rowOff>
        </xdr:from>
        <xdr:to>
          <xdr:col>4</xdr:col>
          <xdr:colOff>161925</xdr:colOff>
          <xdr:row>7</xdr:row>
          <xdr:rowOff>93980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28575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107950</xdr:rowOff>
        </xdr:from>
        <xdr:to>
          <xdr:col>7</xdr:col>
          <xdr:colOff>161925</xdr:colOff>
          <xdr:row>4</xdr:row>
          <xdr:rowOff>136525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44450</xdr:rowOff>
        </xdr:from>
        <xdr:to>
          <xdr:col>7</xdr:col>
          <xdr:colOff>161925</xdr:colOff>
          <xdr:row>7</xdr:row>
          <xdr:rowOff>73025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107950</xdr:rowOff>
        </xdr:from>
        <xdr:to>
          <xdr:col>7</xdr:col>
          <xdr:colOff>161925</xdr:colOff>
          <xdr:row>12</xdr:row>
          <xdr:rowOff>146050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127000</xdr:rowOff>
        </xdr:from>
        <xdr:to>
          <xdr:col>10</xdr:col>
          <xdr:colOff>190500</xdr:colOff>
          <xdr:row>4</xdr:row>
          <xdr:rowOff>155575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2</xdr:row>
          <xdr:rowOff>127000</xdr:rowOff>
        </xdr:from>
        <xdr:to>
          <xdr:col>4</xdr:col>
          <xdr:colOff>152400</xdr:colOff>
          <xdr:row>4</xdr:row>
          <xdr:rowOff>157480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63500</xdr:rowOff>
        </xdr:from>
        <xdr:to>
          <xdr:col>10</xdr:col>
          <xdr:colOff>190500</xdr:colOff>
          <xdr:row>7</xdr:row>
          <xdr:rowOff>92075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1704975</xdr:colOff>
          <xdr:row>2</xdr:row>
          <xdr:rowOff>200025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676275</xdr:colOff>
          <xdr:row>9</xdr:row>
          <xdr:rowOff>295275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1895475</xdr:colOff>
          <xdr:row>7</xdr:row>
          <xdr:rowOff>219075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1</xdr:row>
          <xdr:rowOff>28575</xdr:rowOff>
        </xdr:from>
        <xdr:to>
          <xdr:col>5</xdr:col>
          <xdr:colOff>1362075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2924175</xdr:colOff>
          <xdr:row>10</xdr:row>
          <xdr:rowOff>295275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3086100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28575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1</xdr:col>
          <xdr:colOff>3086100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1552575</xdr:colOff>
          <xdr:row>2</xdr:row>
          <xdr:rowOff>9525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1</xdr:col>
          <xdr:colOff>1552575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1552575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161925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9525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9525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66675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28575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152400</xdr:colOff>
          <xdr:row>3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161925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161925</xdr:colOff>
          <xdr:row>20</xdr:row>
          <xdr:rowOff>123825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161925</xdr:colOff>
          <xdr:row>32</xdr:row>
          <xdr:rowOff>123825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161925</xdr:colOff>
          <xdr:row>40</xdr:row>
          <xdr:rowOff>123825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161925</xdr:colOff>
          <xdr:row>50</xdr:row>
          <xdr:rowOff>123825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161925</xdr:colOff>
          <xdr:row>56</xdr:row>
          <xdr:rowOff>123825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161925</xdr:colOff>
          <xdr:row>83</xdr:row>
          <xdr:rowOff>123825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161925</xdr:colOff>
          <xdr:row>89</xdr:row>
          <xdr:rowOff>123825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9525</xdr:rowOff>
        </xdr:from>
        <xdr:to>
          <xdr:col>3</xdr:col>
          <xdr:colOff>361950</xdr:colOff>
          <xdr:row>57</xdr:row>
          <xdr:rowOff>180975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27</xdr:row>
          <xdr:rowOff>57150</xdr:rowOff>
        </xdr:from>
        <xdr:to>
          <xdr:col>3</xdr:col>
          <xdr:colOff>333375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28</xdr:row>
          <xdr:rowOff>161925</xdr:rowOff>
        </xdr:from>
        <xdr:to>
          <xdr:col>3</xdr:col>
          <xdr:colOff>333375</xdr:colOff>
          <xdr:row>29</xdr:row>
          <xdr:rowOff>142875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3</xdr:row>
          <xdr:rowOff>47625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59</xdr:row>
          <xdr:rowOff>38100</xdr:rowOff>
        </xdr:from>
        <xdr:to>
          <xdr:col>3</xdr:col>
          <xdr:colOff>352425</xdr:colOff>
          <xdr:row>60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66675</xdr:rowOff>
        </xdr:from>
        <xdr:to>
          <xdr:col>4</xdr:col>
          <xdr:colOff>219075</xdr:colOff>
          <xdr:row>9</xdr:row>
          <xdr:rowOff>104775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41</xdr:row>
          <xdr:rowOff>161925</xdr:rowOff>
        </xdr:from>
        <xdr:to>
          <xdr:col>6</xdr:col>
          <xdr:colOff>561975</xdr:colOff>
          <xdr:row>43</xdr:row>
          <xdr:rowOff>9525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9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43</xdr:row>
          <xdr:rowOff>161925</xdr:rowOff>
        </xdr:from>
        <xdr:to>
          <xdr:col>6</xdr:col>
          <xdr:colOff>561975</xdr:colOff>
          <xdr:row>45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45</xdr:row>
          <xdr:rowOff>9525</xdr:rowOff>
        </xdr:from>
        <xdr:to>
          <xdr:col>6</xdr:col>
          <xdr:colOff>542925</xdr:colOff>
          <xdr:row>46</xdr:row>
          <xdr:rowOff>47625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9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48</xdr:row>
          <xdr:rowOff>9525</xdr:rowOff>
        </xdr:from>
        <xdr:to>
          <xdr:col>6</xdr:col>
          <xdr:colOff>542925</xdr:colOff>
          <xdr:row>49</xdr:row>
          <xdr:rowOff>47625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52</xdr:row>
          <xdr:rowOff>0</xdr:rowOff>
        </xdr:from>
        <xdr:to>
          <xdr:col>6</xdr:col>
          <xdr:colOff>581025</xdr:colOff>
          <xdr:row>53</xdr:row>
          <xdr:rowOff>28575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9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54</xdr:row>
          <xdr:rowOff>0</xdr:rowOff>
        </xdr:from>
        <xdr:to>
          <xdr:col>6</xdr:col>
          <xdr:colOff>581025</xdr:colOff>
          <xdr:row>55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9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390525</xdr:colOff>
          <xdr:row>3</xdr:row>
          <xdr:rowOff>47625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</xdr:rowOff>
        </xdr:from>
        <xdr:to>
          <xdr:col>4</xdr:col>
          <xdr:colOff>238125</xdr:colOff>
          <xdr:row>7</xdr:row>
          <xdr:rowOff>57150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0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2.emf"/><Relationship Id="rId5" Type="http://schemas.openxmlformats.org/officeDocument/2006/relationships/image" Target="../media/image13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6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0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5" Type="http://schemas.openxmlformats.org/officeDocument/2006/relationships/image" Target="../media/image32.emf"/><Relationship Id="rId4" Type="http://schemas.openxmlformats.org/officeDocument/2006/relationships/control" Target="../activeX/activeX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6.emf"/><Relationship Id="rId14" Type="http://schemas.openxmlformats.org/officeDocument/2006/relationships/control" Target="../activeX/activeX4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4.emf"/><Relationship Id="rId18" Type="http://schemas.openxmlformats.org/officeDocument/2006/relationships/control" Target="../activeX/activeX48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45.xml"/><Relationship Id="rId17" Type="http://schemas.openxmlformats.org/officeDocument/2006/relationships/image" Target="../media/image46.emf"/><Relationship Id="rId25" Type="http://schemas.openxmlformats.org/officeDocument/2006/relationships/control" Target="../activeX/activeX5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7.xml"/><Relationship Id="rId20" Type="http://schemas.openxmlformats.org/officeDocument/2006/relationships/control" Target="../activeX/activeX49.xml"/><Relationship Id="rId29" Type="http://schemas.openxmlformats.org/officeDocument/2006/relationships/control" Target="../activeX/activeX5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2.xml"/><Relationship Id="rId11" Type="http://schemas.openxmlformats.org/officeDocument/2006/relationships/image" Target="../media/image43.emf"/><Relationship Id="rId24" Type="http://schemas.openxmlformats.org/officeDocument/2006/relationships/control" Target="../activeX/activeX51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55.xml"/><Relationship Id="rId10" Type="http://schemas.openxmlformats.org/officeDocument/2006/relationships/control" Target="../activeX/activeX44.xml"/><Relationship Id="rId19" Type="http://schemas.openxmlformats.org/officeDocument/2006/relationships/image" Target="../media/image47.emf"/><Relationship Id="rId31" Type="http://schemas.openxmlformats.org/officeDocument/2006/relationships/control" Target="../activeX/activeX57.xml"/><Relationship Id="rId4" Type="http://schemas.openxmlformats.org/officeDocument/2006/relationships/control" Target="../activeX/activeX41.xml"/><Relationship Id="rId9" Type="http://schemas.openxmlformats.org/officeDocument/2006/relationships/image" Target="../media/image42.emf"/><Relationship Id="rId14" Type="http://schemas.openxmlformats.org/officeDocument/2006/relationships/control" Target="../activeX/activeX46.xml"/><Relationship Id="rId22" Type="http://schemas.openxmlformats.org/officeDocument/2006/relationships/control" Target="../activeX/activeX50.xml"/><Relationship Id="rId27" Type="http://schemas.openxmlformats.org/officeDocument/2006/relationships/control" Target="../activeX/activeX54.xml"/><Relationship Id="rId30" Type="http://schemas.openxmlformats.org/officeDocument/2006/relationships/image" Target="../media/image5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4.xml"/><Relationship Id="rId18" Type="http://schemas.openxmlformats.org/officeDocument/2006/relationships/image" Target="../media/image56.emf"/><Relationship Id="rId26" Type="http://schemas.openxmlformats.org/officeDocument/2006/relationships/image" Target="../media/image60.emf"/><Relationship Id="rId3" Type="http://schemas.openxmlformats.org/officeDocument/2006/relationships/vmlDrawing" Target="../drawings/vmlDrawing10.vml"/><Relationship Id="rId21" Type="http://schemas.openxmlformats.org/officeDocument/2006/relationships/control" Target="../activeX/activeX68.xml"/><Relationship Id="rId7" Type="http://schemas.openxmlformats.org/officeDocument/2006/relationships/control" Target="../activeX/activeX60.xml"/><Relationship Id="rId12" Type="http://schemas.openxmlformats.org/officeDocument/2006/relationships/image" Target="../media/image53.emf"/><Relationship Id="rId17" Type="http://schemas.openxmlformats.org/officeDocument/2006/relationships/control" Target="../activeX/activeX66.xml"/><Relationship Id="rId25" Type="http://schemas.openxmlformats.org/officeDocument/2006/relationships/control" Target="../activeX/activeX70.xml"/><Relationship Id="rId2" Type="http://schemas.openxmlformats.org/officeDocument/2006/relationships/drawing" Target="../drawings/drawing10.xml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3.xml"/><Relationship Id="rId24" Type="http://schemas.openxmlformats.org/officeDocument/2006/relationships/image" Target="../media/image59.emf"/><Relationship Id="rId5" Type="http://schemas.openxmlformats.org/officeDocument/2006/relationships/image" Target="../media/image51.emf"/><Relationship Id="rId15" Type="http://schemas.openxmlformats.org/officeDocument/2006/relationships/control" Target="../activeX/activeX65.xml"/><Relationship Id="rId23" Type="http://schemas.openxmlformats.org/officeDocument/2006/relationships/control" Target="../activeX/activeX69.xml"/><Relationship Id="rId10" Type="http://schemas.openxmlformats.org/officeDocument/2006/relationships/control" Target="../activeX/activeX62.xml"/><Relationship Id="rId19" Type="http://schemas.openxmlformats.org/officeDocument/2006/relationships/control" Target="../activeX/activeX67.xml"/><Relationship Id="rId4" Type="http://schemas.openxmlformats.org/officeDocument/2006/relationships/control" Target="../activeX/activeX58.xml"/><Relationship Id="rId9" Type="http://schemas.openxmlformats.org/officeDocument/2006/relationships/image" Target="../media/image52.emf"/><Relationship Id="rId14" Type="http://schemas.openxmlformats.org/officeDocument/2006/relationships/image" Target="../media/image54.emf"/><Relationship Id="rId22" Type="http://schemas.openxmlformats.org/officeDocument/2006/relationships/image" Target="../media/image5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6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2.xml"/><Relationship Id="rId5" Type="http://schemas.openxmlformats.org/officeDocument/2006/relationships/image" Target="../media/image61.emf"/><Relationship Id="rId4" Type="http://schemas.openxmlformats.org/officeDocument/2006/relationships/control" Target="../activeX/activeX71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workbookViewId="0">
      <selection activeCell="D21" sqref="D21"/>
    </sheetView>
  </sheetViews>
  <sheetFormatPr defaultRowHeight="15" x14ac:dyDescent="0.25"/>
  <cols>
    <col min="2" max="2" width="4.140625" customWidth="1"/>
  </cols>
  <sheetData>
    <row r="3" spans="2:11" x14ac:dyDescent="0.25">
      <c r="B3" s="84"/>
      <c r="C3" s="85"/>
      <c r="D3" s="85"/>
      <c r="E3" s="85"/>
      <c r="F3" s="85"/>
      <c r="G3" s="85"/>
      <c r="H3" s="85"/>
      <c r="I3" s="85"/>
      <c r="J3" s="85"/>
      <c r="K3" s="86"/>
    </row>
    <row r="4" spans="2:11" x14ac:dyDescent="0.25">
      <c r="B4" s="87"/>
      <c r="C4" s="88"/>
      <c r="D4" s="88"/>
      <c r="E4" s="88"/>
      <c r="F4" s="88"/>
      <c r="G4" s="88"/>
      <c r="H4" s="88"/>
      <c r="I4" s="88"/>
      <c r="J4" s="88"/>
      <c r="K4" s="89"/>
    </row>
    <row r="5" spans="2:11" x14ac:dyDescent="0.25">
      <c r="B5" s="87"/>
      <c r="C5" s="88"/>
      <c r="D5" s="88"/>
      <c r="E5" s="88"/>
      <c r="F5" s="88"/>
      <c r="G5" s="88"/>
      <c r="H5" s="88"/>
      <c r="I5" s="88"/>
      <c r="J5" s="88"/>
      <c r="K5" s="89"/>
    </row>
    <row r="6" spans="2:11" x14ac:dyDescent="0.25">
      <c r="B6" s="87"/>
      <c r="C6" s="88"/>
      <c r="D6" s="88"/>
      <c r="E6" s="88"/>
      <c r="F6" s="88"/>
      <c r="G6" s="88"/>
      <c r="H6" s="88"/>
      <c r="I6" s="88"/>
      <c r="J6" s="88"/>
      <c r="K6" s="89"/>
    </row>
    <row r="7" spans="2:11" x14ac:dyDescent="0.25">
      <c r="B7" s="87"/>
      <c r="C7" s="88"/>
      <c r="D7" s="88"/>
      <c r="E7" s="88"/>
      <c r="F7" s="88"/>
      <c r="G7" s="88"/>
      <c r="H7" s="88"/>
      <c r="I7" s="88"/>
      <c r="J7" s="88"/>
      <c r="K7" s="89"/>
    </row>
    <row r="8" spans="2:11" x14ac:dyDescent="0.25">
      <c r="B8" s="87"/>
      <c r="C8" s="88"/>
      <c r="D8" s="88"/>
      <c r="E8" s="88"/>
      <c r="F8" s="88"/>
      <c r="G8" s="88"/>
      <c r="H8" s="88"/>
      <c r="I8" s="88"/>
      <c r="J8" s="88"/>
      <c r="K8" s="89"/>
    </row>
    <row r="9" spans="2:11" x14ac:dyDescent="0.25">
      <c r="B9" s="87"/>
      <c r="C9" s="88"/>
      <c r="D9" s="88"/>
      <c r="E9" s="88"/>
      <c r="F9" s="88"/>
      <c r="G9" s="88"/>
      <c r="H9" s="88"/>
      <c r="I9" s="88"/>
      <c r="J9" s="88"/>
      <c r="K9" s="89"/>
    </row>
    <row r="10" spans="2:11" x14ac:dyDescent="0.25">
      <c r="B10" s="87"/>
      <c r="C10" s="88"/>
      <c r="D10" s="88"/>
      <c r="E10" s="88"/>
      <c r="F10" s="88"/>
      <c r="G10" s="88"/>
      <c r="H10" s="88"/>
      <c r="I10" s="88"/>
      <c r="J10" s="88"/>
      <c r="K10" s="89"/>
    </row>
    <row r="11" spans="2:11" x14ac:dyDescent="0.25">
      <c r="B11" s="87"/>
      <c r="C11" s="88"/>
      <c r="D11" s="88"/>
      <c r="E11" s="88"/>
      <c r="F11" s="88"/>
      <c r="G11" s="88"/>
      <c r="H11" s="88"/>
      <c r="I11" s="88"/>
      <c r="J11" s="88"/>
      <c r="K11" s="89"/>
    </row>
    <row r="12" spans="2:11" x14ac:dyDescent="0.25">
      <c r="B12" s="87"/>
      <c r="C12" s="88"/>
      <c r="D12" s="88"/>
      <c r="E12" s="88"/>
      <c r="F12" s="88"/>
      <c r="G12" s="88"/>
      <c r="H12" s="88"/>
      <c r="I12" s="88"/>
      <c r="J12" s="88"/>
      <c r="K12" s="89"/>
    </row>
    <row r="13" spans="2:11" x14ac:dyDescent="0.25">
      <c r="B13" s="87"/>
      <c r="C13" s="88"/>
      <c r="D13" s="88"/>
      <c r="E13" s="88"/>
      <c r="F13" s="88"/>
      <c r="G13" s="88"/>
      <c r="H13" s="88"/>
      <c r="I13" s="88"/>
      <c r="J13" s="88"/>
      <c r="K13" s="89"/>
    </row>
    <row r="14" spans="2:11" x14ac:dyDescent="0.25">
      <c r="B14" s="90"/>
      <c r="C14" s="91"/>
      <c r="D14" s="91"/>
      <c r="E14" s="91"/>
      <c r="F14" s="91"/>
      <c r="G14" s="91"/>
      <c r="H14" s="91"/>
      <c r="I14" s="91"/>
      <c r="J14" s="91"/>
      <c r="K14" s="9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mdManufacturer">
          <controlPr defaultSize="0" autoLine="0" r:id="rId5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4" name="cmdManufacturer"/>
      </mc:Fallback>
    </mc:AlternateContent>
    <mc:AlternateContent xmlns:mc="http://schemas.openxmlformats.org/markup-compatibility/2006">
      <mc:Choice Requires="x14">
        <control shapeId="7172" r:id="rId6" name="cmdEngine">
          <controlPr defaultSize="0" autoLine="0" r:id="rId7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6" name="cmdEngine"/>
      </mc:Fallback>
    </mc:AlternateContent>
    <mc:AlternateContent xmlns:mc="http://schemas.openxmlformats.org/markup-compatibility/2006">
      <mc:Choice Requires="x14">
        <control shapeId="7171" r:id="rId8" name="cmdVehicle">
          <controlPr defaultSize="0" autoLine="0" r:id="rId9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8" name="cmdVehicle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69" r:id="rId12" name="cmdCompany">
          <controlPr defaultSize="0" autoLine="0" r:id="rId13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2" name="cmdCompany"/>
      </mc:Fallback>
    </mc:AlternateContent>
    <mc:AlternateContent xmlns:mc="http://schemas.openxmlformats.org/markup-compatibility/2006">
      <mc:Choice Requires="x14">
        <control shapeId="7174" r:id="rId14" name="cmdECD">
          <controlPr defaultSize="0" autoLine="0" r:id="rId15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4" name="cmdECD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r:id="rId17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18" name="cmdContacts"/>
      </mc:Fallback>
    </mc:AlternateContent>
    <mc:AlternateContent xmlns:mc="http://schemas.openxmlformats.org/markup-compatibility/2006">
      <mc:Choice Requires="x14">
        <control shapeId="7178" r:id="rId20" name="cmdQuality">
          <controlPr defaultSize="0" autoLine="0" r:id="rId21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20" name="cmdQuality"/>
      </mc:Fallback>
    </mc:AlternateContent>
    <mc:AlternateContent xmlns:mc="http://schemas.openxmlformats.org/markup-compatibility/2006">
      <mc:Choice Requires="x14">
        <control shapeId="7179" r:id="rId22" name="cmdQAProcess">
          <controlPr defaultSize="0" autoLine="0" r:id="rId23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22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1"/>
  <sheetViews>
    <sheetView showGridLines="0" workbookViewId="0">
      <selection activeCell="C12" sqref="C12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28.140625" customWidth="1"/>
  </cols>
  <sheetData>
    <row r="1" spans="1:3" ht="30" customHeight="1" x14ac:dyDescent="0.25">
      <c r="A1" s="25"/>
      <c r="C1" s="17"/>
    </row>
    <row r="2" spans="1:3" ht="30" customHeight="1" x14ac:dyDescent="0.25">
      <c r="B2" s="20" t="s">
        <v>91</v>
      </c>
      <c r="C2" s="21"/>
    </row>
    <row r="3" spans="1:3" ht="30" customHeight="1" x14ac:dyDescent="0.25">
      <c r="B3" s="22" t="s">
        <v>92</v>
      </c>
      <c r="C3" s="23">
        <v>13</v>
      </c>
    </row>
    <row r="4" spans="1:3" ht="30" customHeight="1" x14ac:dyDescent="0.25">
      <c r="B4" s="20" t="s">
        <v>93</v>
      </c>
      <c r="C4" s="24" t="s">
        <v>101</v>
      </c>
    </row>
    <row r="5" spans="1:3" ht="30" customHeight="1" x14ac:dyDescent="0.25">
      <c r="B5" s="20" t="s">
        <v>94</v>
      </c>
      <c r="C5" s="24" t="s">
        <v>102</v>
      </c>
    </row>
    <row r="6" spans="1:3" ht="30" customHeight="1" x14ac:dyDescent="0.25">
      <c r="B6" s="20" t="s">
        <v>95</v>
      </c>
      <c r="C6" s="24"/>
    </row>
    <row r="7" spans="1:3" ht="30" customHeight="1" x14ac:dyDescent="0.25">
      <c r="B7" s="20" t="s">
        <v>96</v>
      </c>
      <c r="C7" s="24" t="s">
        <v>103</v>
      </c>
    </row>
    <row r="8" spans="1:3" ht="30" customHeight="1" x14ac:dyDescent="0.25">
      <c r="B8" s="20" t="s">
        <v>97</v>
      </c>
      <c r="C8" s="24"/>
    </row>
    <row r="9" spans="1:3" ht="30" customHeight="1" x14ac:dyDescent="0.25">
      <c r="B9" s="20" t="s">
        <v>98</v>
      </c>
      <c r="C9" s="24" t="s">
        <v>104</v>
      </c>
    </row>
    <row r="10" spans="1:3" ht="30" customHeight="1" x14ac:dyDescent="0.25">
      <c r="B10" s="20" t="s">
        <v>99</v>
      </c>
      <c r="C10" s="24"/>
    </row>
    <row r="11" spans="1:3" ht="30" customHeight="1" x14ac:dyDescent="0.2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2924175</xdr:colOff>
                <xdr:row>10</xdr:row>
                <xdr:rowOff>304800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1695450</xdr:colOff>
                <xdr:row>2</xdr:row>
                <xdr:rowOff>190500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676275</xdr:colOff>
                <xdr:row>9</xdr:row>
                <xdr:rowOff>295275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1895475</xdr:colOff>
                <xdr:row>7</xdr:row>
                <xdr:rowOff>219075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581025</xdr:colOff>
                <xdr:row>1</xdr:row>
                <xdr:rowOff>28575</xdr:rowOff>
              </from>
              <to>
                <xdr:col>5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3077" r:id="rId12" name="cmdSav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5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70</v>
      </c>
      <c r="B3" s="26">
        <v>28</v>
      </c>
    </row>
    <row r="4" spans="1:2" ht="30" customHeight="1" x14ac:dyDescent="0.25">
      <c r="A4" s="5" t="s">
        <v>72</v>
      </c>
      <c r="B4" s="23">
        <v>11</v>
      </c>
    </row>
    <row r="5" spans="1:2" ht="30" customHeight="1" x14ac:dyDescent="0.25">
      <c r="A5" s="7" t="s">
        <v>71</v>
      </c>
      <c r="B5" s="24" t="s">
        <v>139</v>
      </c>
    </row>
    <row r="6" spans="1:2" ht="30" customHeight="1" x14ac:dyDescent="0.25">
      <c r="A6" s="7" t="s">
        <v>6</v>
      </c>
      <c r="B6" s="24" t="s">
        <v>139</v>
      </c>
    </row>
    <row r="7" spans="1:2" ht="30" customHeight="1" x14ac:dyDescent="0.25">
      <c r="A7" s="7" t="s">
        <v>69</v>
      </c>
      <c r="B7" s="24"/>
    </row>
    <row r="8" spans="1:2" ht="30" customHeight="1" x14ac:dyDescent="0.25">
      <c r="A8" s="7" t="s">
        <v>7</v>
      </c>
      <c r="B8" s="24" t="s">
        <v>140</v>
      </c>
    </row>
    <row r="9" spans="1:2" ht="30" customHeight="1" x14ac:dyDescent="0.25">
      <c r="A9" s="7" t="s">
        <v>8</v>
      </c>
      <c r="B9" s="24"/>
    </row>
    <row r="10" spans="1:2" ht="30" customHeight="1" x14ac:dyDescent="0.25">
      <c r="A10" s="7" t="s">
        <v>9</v>
      </c>
      <c r="B10" s="24" t="s">
        <v>141</v>
      </c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0" name="cbCompLo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5" max="5" width="35.5703125" customWidth="1"/>
  </cols>
  <sheetData>
    <row r="1" spans="1:8" ht="30" customHeight="1" x14ac:dyDescent="0.25">
      <c r="A1" s="30"/>
      <c r="B1" s="17"/>
    </row>
    <row r="2" spans="1:8" ht="30" customHeight="1" x14ac:dyDescent="0.25">
      <c r="A2" s="5" t="s">
        <v>78</v>
      </c>
      <c r="B2" s="21"/>
    </row>
    <row r="3" spans="1:8" ht="30" customHeight="1" x14ac:dyDescent="0.2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25">
      <c r="A4" s="5" t="s">
        <v>90</v>
      </c>
      <c r="B4" s="23"/>
    </row>
    <row r="5" spans="1:8" ht="30" customHeight="1" x14ac:dyDescent="0.25">
      <c r="A5" s="7" t="s">
        <v>11</v>
      </c>
      <c r="B5" s="24"/>
    </row>
    <row r="6" spans="1:8" ht="30" customHeight="1" x14ac:dyDescent="0.25">
      <c r="A6" s="7" t="s">
        <v>12</v>
      </c>
      <c r="B6" s="24"/>
    </row>
    <row r="7" spans="1:8" ht="30" customHeight="1" x14ac:dyDescent="0.25">
      <c r="A7" s="7" t="s">
        <v>6</v>
      </c>
      <c r="B7" s="24"/>
    </row>
    <row r="8" spans="1:8" ht="30" customHeight="1" x14ac:dyDescent="0.25">
      <c r="A8" s="7" t="s">
        <v>69</v>
      </c>
      <c r="B8" s="24"/>
    </row>
    <row r="9" spans="1:8" ht="30" customHeight="1" x14ac:dyDescent="0.25">
      <c r="A9" s="7" t="s">
        <v>7</v>
      </c>
      <c r="B9" s="24"/>
    </row>
    <row r="10" spans="1:8" ht="30" customHeight="1" x14ac:dyDescent="0.25">
      <c r="A10" s="7" t="s">
        <v>8</v>
      </c>
      <c r="B10" s="24"/>
    </row>
    <row r="11" spans="1:8" ht="30" customHeight="1" x14ac:dyDescent="0.25">
      <c r="A11" s="7" t="s">
        <v>9</v>
      </c>
      <c r="B11" s="24"/>
    </row>
    <row r="12" spans="1:8" ht="30" customHeight="1" x14ac:dyDescent="0.25">
      <c r="A12" s="7" t="s">
        <v>87</v>
      </c>
      <c r="B12" s="29"/>
    </row>
    <row r="13" spans="1:8" ht="30" customHeight="1" x14ac:dyDescent="0.25">
      <c r="A13" s="7" t="s">
        <v>88</v>
      </c>
      <c r="B13" s="24"/>
    </row>
    <row r="14" spans="1:8" ht="30" customHeight="1" x14ac:dyDescent="0.25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28575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8" customWidth="1"/>
  </cols>
  <sheetData>
    <row r="1" spans="1:2" ht="30" customHeight="1" x14ac:dyDescent="0.25">
      <c r="B1" s="17"/>
    </row>
    <row r="2" spans="1:2" ht="30" customHeight="1" x14ac:dyDescent="0.25">
      <c r="A2" s="7" t="s">
        <v>78</v>
      </c>
      <c r="B2" s="21"/>
    </row>
    <row r="3" spans="1:2" ht="30" customHeight="1" x14ac:dyDescent="0.25">
      <c r="A3" s="7" t="s">
        <v>73</v>
      </c>
      <c r="B3" s="26">
        <v>28</v>
      </c>
    </row>
    <row r="4" spans="1:2" ht="30" customHeight="1" x14ac:dyDescent="0.25">
      <c r="A4" s="9" t="s">
        <v>25</v>
      </c>
      <c r="B4" s="23" t="s">
        <v>142</v>
      </c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 t="s">
        <v>143</v>
      </c>
    </row>
    <row r="7" spans="1:2" ht="30" customHeight="1" x14ac:dyDescent="0.25">
      <c r="A7" s="7" t="s">
        <v>75</v>
      </c>
      <c r="B7" s="24" t="s">
        <v>144</v>
      </c>
    </row>
    <row r="8" spans="1:2" ht="30" customHeight="1" x14ac:dyDescent="0.25">
      <c r="A8" s="7" t="s">
        <v>28</v>
      </c>
      <c r="B8" s="24" t="s">
        <v>145</v>
      </c>
    </row>
    <row r="9" spans="1:2" ht="30" customHeight="1" x14ac:dyDescent="0.25">
      <c r="A9" s="7" t="s">
        <v>29</v>
      </c>
      <c r="B9" s="24">
        <v>2019</v>
      </c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19050</xdr:colOff>
                <xdr:row>5</xdr:row>
                <xdr:rowOff>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showFormulas="1" showGridLines="0" workbookViewId="0">
      <selection activeCell="B4" sqref="B4"/>
    </sheetView>
  </sheetViews>
  <sheetFormatPr defaultRowHeight="30" customHeight="1" x14ac:dyDescent="0.25"/>
  <cols>
    <col min="1" max="1" width="13.28515625" customWidth="1"/>
    <col min="2" max="2" width="23.140625" style="18" customWidth="1"/>
  </cols>
  <sheetData>
    <row r="1" spans="1:2" ht="30" customHeight="1" x14ac:dyDescent="0.25">
      <c r="A1" t="s">
        <v>146</v>
      </c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79</v>
      </c>
      <c r="B3" s="26">
        <v>28</v>
      </c>
    </row>
    <row r="4" spans="1:2" ht="30" customHeight="1" x14ac:dyDescent="0.25">
      <c r="A4" s="9" t="s">
        <v>80</v>
      </c>
      <c r="B4" s="23">
        <v>5</v>
      </c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 t="s">
        <v>147</v>
      </c>
    </row>
    <row r="7" spans="1:2" ht="30" customHeight="1" x14ac:dyDescent="0.25">
      <c r="A7" s="7" t="s">
        <v>28</v>
      </c>
      <c r="B7" s="24" t="s">
        <v>148</v>
      </c>
    </row>
    <row r="8" spans="1:2" ht="30" customHeight="1" x14ac:dyDescent="0.25">
      <c r="A8" s="7" t="s">
        <v>29</v>
      </c>
      <c r="B8" s="28">
        <v>2019</v>
      </c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3313" r:id="rId10" name="cbCompan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3"/>
    </row>
    <row r="4" spans="1:2" ht="30" customHeight="1" x14ac:dyDescent="0.25">
      <c r="A4" s="7" t="s">
        <v>42</v>
      </c>
      <c r="B4" s="24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6">
        <v>28</v>
      </c>
    </row>
    <row r="4" spans="1:2" ht="30" customHeight="1" x14ac:dyDescent="0.25">
      <c r="A4" s="9" t="s">
        <v>82</v>
      </c>
      <c r="B4" s="23"/>
    </row>
    <row r="5" spans="1:2" ht="30" customHeight="1" x14ac:dyDescent="0.25">
      <c r="A5" s="7" t="s">
        <v>83</v>
      </c>
      <c r="B5" s="24"/>
    </row>
    <row r="6" spans="1:2" ht="30" customHeight="1" x14ac:dyDescent="0.25">
      <c r="A6" s="7" t="s">
        <v>42</v>
      </c>
      <c r="B6" s="24"/>
    </row>
    <row r="7" spans="1:2" ht="30" customHeight="1" x14ac:dyDescent="0.25">
      <c r="A7" s="7" t="s">
        <v>84</v>
      </c>
      <c r="B7" s="24"/>
    </row>
    <row r="8" spans="1:2" ht="30" customHeight="1" x14ac:dyDescent="0.25">
      <c r="A8" s="7" t="s">
        <v>85</v>
      </c>
      <c r="B8" s="24"/>
    </row>
    <row r="9" spans="1:2" ht="30" customHeight="1" x14ac:dyDescent="0.25">
      <c r="A9" s="7" t="s">
        <v>40</v>
      </c>
      <c r="B9" s="24"/>
    </row>
    <row r="10" spans="1:2" ht="30" customHeight="1" x14ac:dyDescent="0.25">
      <c r="A10" s="7" t="s">
        <v>86</v>
      </c>
      <c r="B10" s="24"/>
    </row>
    <row r="11" spans="1:2" ht="30" customHeight="1" x14ac:dyDescent="0.25">
      <c r="A11" s="7" t="s">
        <v>44</v>
      </c>
      <c r="B11" s="24"/>
    </row>
    <row r="12" spans="1:2" ht="30" customHeight="1" x14ac:dyDescent="0.25">
      <c r="A12" s="7" t="s">
        <v>45</v>
      </c>
      <c r="B12" s="27"/>
    </row>
    <row r="13" spans="1:2" ht="30" customHeight="1" x14ac:dyDescent="0.25">
      <c r="A13" s="7" t="s">
        <v>46</v>
      </c>
      <c r="B13" s="27"/>
    </row>
    <row r="14" spans="1:2" ht="30" customHeight="1" x14ac:dyDescent="0.2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31" name="chkFirstCleaning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2"/>
  <dimension ref="B2:I61"/>
  <sheetViews>
    <sheetView workbookViewId="0">
      <selection activeCell="F38" sqref="F38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136</v>
      </c>
    </row>
    <row r="3" spans="2:3" ht="18.75" x14ac:dyDescent="0.3">
      <c r="B3" s="1" t="s">
        <v>105</v>
      </c>
      <c r="C3" s="2"/>
    </row>
    <row r="4" spans="2:3" x14ac:dyDescent="0.25">
      <c r="B4" s="2"/>
      <c r="C4" s="2"/>
    </row>
    <row r="5" spans="2:3" x14ac:dyDescent="0.25">
      <c r="B5" s="3" t="s">
        <v>1</v>
      </c>
      <c r="C5" s="3"/>
    </row>
    <row r="6" spans="2:3" x14ac:dyDescent="0.25">
      <c r="B6" s="3" t="s">
        <v>2</v>
      </c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 t="s">
        <v>35</v>
      </c>
      <c r="C9" s="8"/>
    </row>
    <row r="10" spans="2:3" x14ac:dyDescent="0.25">
      <c r="B10" s="7" t="s">
        <v>36</v>
      </c>
      <c r="C10" s="10"/>
    </row>
    <row r="11" spans="2:3" x14ac:dyDescent="0.25">
      <c r="B11" s="7" t="s">
        <v>37</v>
      </c>
      <c r="C11" s="8"/>
    </row>
    <row r="12" spans="2:3" x14ac:dyDescent="0.25">
      <c r="B12" s="7" t="s">
        <v>38</v>
      </c>
      <c r="C12" s="8"/>
    </row>
    <row r="13" spans="2:3" x14ac:dyDescent="0.25">
      <c r="B13" s="7" t="s">
        <v>39</v>
      </c>
      <c r="C13" s="8"/>
    </row>
    <row r="14" spans="2:3" x14ac:dyDescent="0.25">
      <c r="B14" s="7" t="s">
        <v>40</v>
      </c>
      <c r="C14" s="8"/>
    </row>
    <row r="15" spans="2:3" x14ac:dyDescent="0.25">
      <c r="B15" s="7" t="s">
        <v>41</v>
      </c>
      <c r="C15" s="8"/>
    </row>
    <row r="16" spans="2:3" x14ac:dyDescent="0.25">
      <c r="B16" s="7" t="s">
        <v>42</v>
      </c>
      <c r="C16" s="8"/>
    </row>
    <row r="17" spans="2:9" x14ac:dyDescent="0.25">
      <c r="B17" s="7" t="s">
        <v>43</v>
      </c>
      <c r="C17" s="8"/>
    </row>
    <row r="18" spans="2:9" x14ac:dyDescent="0.25">
      <c r="B18" s="7" t="s">
        <v>44</v>
      </c>
      <c r="C18" s="8"/>
    </row>
    <row r="19" spans="2:9" x14ac:dyDescent="0.25">
      <c r="B19" s="7" t="s">
        <v>45</v>
      </c>
      <c r="C19" s="8"/>
    </row>
    <row r="20" spans="2:9" x14ac:dyDescent="0.25">
      <c r="B20" s="7" t="s">
        <v>46</v>
      </c>
      <c r="C20" s="8"/>
    </row>
    <row r="21" spans="2:9" x14ac:dyDescent="0.25">
      <c r="B21" s="7" t="s">
        <v>47</v>
      </c>
      <c r="C21" s="8"/>
    </row>
    <row r="22" spans="2:9" x14ac:dyDescent="0.25">
      <c r="B22" s="7"/>
      <c r="C22" s="8"/>
    </row>
    <row r="23" spans="2:9" x14ac:dyDescent="0.25">
      <c r="B23" s="2"/>
      <c r="C23" s="2"/>
    </row>
    <row r="24" spans="2:9" x14ac:dyDescent="0.25">
      <c r="B24" s="33"/>
      <c r="C24" s="33"/>
      <c r="D24" s="33"/>
      <c r="E24" s="34" t="s">
        <v>106</v>
      </c>
      <c r="F24" s="34" t="s">
        <v>107</v>
      </c>
      <c r="G24" s="8" t="s">
        <v>107</v>
      </c>
      <c r="H24" s="35"/>
      <c r="I24" s="35"/>
    </row>
    <row r="25" spans="2:9" x14ac:dyDescent="0.25">
      <c r="B25" s="36"/>
      <c r="C25" s="36"/>
      <c r="D25" s="36"/>
      <c r="E25" s="37" t="s">
        <v>108</v>
      </c>
      <c r="F25" s="37" t="s">
        <v>109</v>
      </c>
      <c r="G25" s="8" t="s">
        <v>110</v>
      </c>
      <c r="H25" s="38"/>
      <c r="I25" s="38"/>
    </row>
    <row r="26" spans="2:9" x14ac:dyDescent="0.25">
      <c r="B26" s="36" t="s">
        <v>111</v>
      </c>
      <c r="C26" s="2"/>
      <c r="D26" s="34" t="s">
        <v>112</v>
      </c>
      <c r="E26" s="39"/>
      <c r="F26" s="40"/>
      <c r="G26" s="41"/>
      <c r="H26" s="42"/>
      <c r="I26" s="43"/>
    </row>
    <row r="27" spans="2:9" x14ac:dyDescent="0.25">
      <c r="B27" s="6"/>
      <c r="C27" s="2"/>
      <c r="D27" s="44"/>
      <c r="E27" s="45"/>
      <c r="F27" s="45"/>
      <c r="G27" s="45"/>
      <c r="H27" s="45"/>
      <c r="I27" s="45"/>
    </row>
    <row r="28" spans="2:9" x14ac:dyDescent="0.25">
      <c r="B28" s="6" t="s">
        <v>113</v>
      </c>
      <c r="C28" s="2"/>
      <c r="D28" s="45"/>
      <c r="E28" s="45"/>
      <c r="F28" s="45"/>
      <c r="G28" s="45"/>
    </row>
    <row r="29" spans="2:9" x14ac:dyDescent="0.25">
      <c r="B29" s="6"/>
      <c r="C29" s="2"/>
      <c r="D29" s="45"/>
      <c r="E29" s="45"/>
      <c r="F29" s="45"/>
      <c r="G29" s="45"/>
    </row>
    <row r="30" spans="2:9" x14ac:dyDescent="0.25">
      <c r="B30" s="6" t="s">
        <v>114</v>
      </c>
      <c r="C30" s="2"/>
      <c r="D30" s="46"/>
      <c r="E30" s="45"/>
      <c r="F30" s="45"/>
      <c r="G30" s="45"/>
    </row>
    <row r="31" spans="2:9" x14ac:dyDescent="0.25">
      <c r="B31" s="6" t="s">
        <v>115</v>
      </c>
      <c r="C31" s="2"/>
      <c r="D31" s="44"/>
      <c r="E31" s="46"/>
      <c r="F31" s="46"/>
      <c r="G31" s="46"/>
    </row>
    <row r="32" spans="2:9" x14ac:dyDescent="0.25">
      <c r="B32" s="6"/>
      <c r="C32" s="2"/>
      <c r="D32" s="44"/>
      <c r="E32" s="46"/>
      <c r="F32" s="46"/>
      <c r="G32" s="46"/>
    </row>
    <row r="33" spans="2:8" x14ac:dyDescent="0.25">
      <c r="B33" s="47" t="s">
        <v>116</v>
      </c>
      <c r="C33" s="2"/>
      <c r="D33" s="44" t="s">
        <v>117</v>
      </c>
      <c r="E33" s="44" t="s">
        <v>118</v>
      </c>
      <c r="F33" s="46"/>
      <c r="G33" s="46"/>
    </row>
    <row r="34" spans="2:8" x14ac:dyDescent="0.25">
      <c r="B34" s="47"/>
      <c r="C34" s="2" t="s">
        <v>119</v>
      </c>
      <c r="D34" s="48"/>
      <c r="E34" s="48"/>
      <c r="F34" s="44"/>
      <c r="G34" s="46"/>
    </row>
    <row r="35" spans="2:8" x14ac:dyDescent="0.25">
      <c r="B35" s="2"/>
      <c r="C35" s="2" t="s">
        <v>120</v>
      </c>
      <c r="D35" s="48"/>
      <c r="E35" s="48"/>
      <c r="F35" s="44"/>
      <c r="G35" s="46"/>
    </row>
    <row r="36" spans="2:8" x14ac:dyDescent="0.25">
      <c r="B36" s="2"/>
      <c r="C36" s="2" t="s">
        <v>121</v>
      </c>
      <c r="D36" s="48"/>
      <c r="E36" s="48"/>
      <c r="F36" s="44"/>
      <c r="G36" s="46"/>
    </row>
    <row r="37" spans="2:8" x14ac:dyDescent="0.25">
      <c r="B37" s="2"/>
      <c r="C37" s="2" t="s">
        <v>122</v>
      </c>
      <c r="D37" s="48"/>
      <c r="E37" s="48"/>
      <c r="F37" s="44"/>
      <c r="G37" s="46"/>
    </row>
    <row r="38" spans="2:8" x14ac:dyDescent="0.25">
      <c r="B38" s="2"/>
      <c r="C38" s="2" t="s">
        <v>123</v>
      </c>
      <c r="D38" s="48"/>
      <c r="E38" s="48"/>
      <c r="F38" s="44"/>
      <c r="G38" s="46"/>
    </row>
    <row r="39" spans="2:8" x14ac:dyDescent="0.25">
      <c r="B39" s="2"/>
      <c r="C39" s="2"/>
      <c r="D39" s="8"/>
      <c r="E39" s="2"/>
      <c r="F39" s="2"/>
      <c r="G39" s="2"/>
      <c r="H39" s="2"/>
    </row>
    <row r="40" spans="2:8" x14ac:dyDescent="0.25">
      <c r="B40" s="2" t="s">
        <v>124</v>
      </c>
      <c r="C40" s="2"/>
      <c r="D40" s="49"/>
      <c r="E40" s="2"/>
      <c r="F40" s="2"/>
      <c r="G40" s="2"/>
      <c r="H40" s="2"/>
    </row>
    <row r="41" spans="2:8" x14ac:dyDescent="0.25">
      <c r="B41" s="8" t="s">
        <v>125</v>
      </c>
      <c r="C41" s="2"/>
      <c r="D41" s="8"/>
      <c r="E41" s="2"/>
      <c r="F41" s="2"/>
      <c r="G41" s="2"/>
      <c r="H41" s="8"/>
    </row>
    <row r="42" spans="2:8" x14ac:dyDescent="0.25">
      <c r="B42" s="50" t="s">
        <v>126</v>
      </c>
      <c r="C42" s="2" t="s">
        <v>18</v>
      </c>
      <c r="D42" s="8" t="s">
        <v>18</v>
      </c>
      <c r="E42" s="47"/>
      <c r="F42" s="47"/>
      <c r="G42" s="2"/>
    </row>
    <row r="43" spans="2:8" x14ac:dyDescent="0.25">
      <c r="B43" s="2"/>
      <c r="C43" s="2" t="s">
        <v>127</v>
      </c>
      <c r="D43" s="47"/>
      <c r="E43" s="47"/>
      <c r="F43" s="2"/>
    </row>
    <row r="44" spans="2:8" x14ac:dyDescent="0.25">
      <c r="B44" s="2"/>
      <c r="C44" s="2"/>
      <c r="D44" s="47"/>
      <c r="E44" s="47"/>
      <c r="F44" s="2"/>
    </row>
    <row r="45" spans="2:8" x14ac:dyDescent="0.25">
      <c r="B45" s="2"/>
      <c r="C45" s="2" t="s">
        <v>128</v>
      </c>
      <c r="D45" s="2"/>
      <c r="E45" s="2"/>
      <c r="F45" s="2"/>
    </row>
    <row r="46" spans="2:8" x14ac:dyDescent="0.25">
      <c r="B46" s="2"/>
      <c r="C46" s="2" t="s">
        <v>129</v>
      </c>
      <c r="D46" s="47"/>
      <c r="E46" s="47"/>
      <c r="F46" s="2"/>
    </row>
    <row r="47" spans="2:8" x14ac:dyDescent="0.25">
      <c r="B47" s="2"/>
      <c r="C47" s="2"/>
      <c r="D47" s="47"/>
      <c r="E47" s="47"/>
      <c r="F47" s="2"/>
    </row>
    <row r="48" spans="2:8" x14ac:dyDescent="0.25">
      <c r="B48" s="50" t="s">
        <v>130</v>
      </c>
      <c r="C48" s="2"/>
      <c r="D48" s="47"/>
      <c r="E48" s="47"/>
      <c r="F48" s="2"/>
    </row>
    <row r="49" spans="2:9" x14ac:dyDescent="0.25">
      <c r="B49" s="2"/>
      <c r="C49" s="2" t="s">
        <v>138</v>
      </c>
      <c r="D49" s="47"/>
      <c r="E49" s="47"/>
      <c r="F49" s="2"/>
    </row>
    <row r="50" spans="2:9" x14ac:dyDescent="0.25">
      <c r="B50" s="2"/>
      <c r="C50" s="2" t="s">
        <v>129</v>
      </c>
      <c r="D50" s="47"/>
      <c r="E50" s="47"/>
      <c r="F50" s="2"/>
    </row>
    <row r="51" spans="2:9" x14ac:dyDescent="0.25">
      <c r="B51" s="2"/>
      <c r="C51" s="51" t="s">
        <v>18</v>
      </c>
      <c r="D51" s="47"/>
      <c r="E51" s="47"/>
      <c r="F51" s="2"/>
    </row>
    <row r="52" spans="2:9" x14ac:dyDescent="0.25">
      <c r="B52" s="2" t="s">
        <v>131</v>
      </c>
      <c r="C52" s="2" t="s">
        <v>18</v>
      </c>
      <c r="D52" s="47"/>
      <c r="E52" s="47"/>
      <c r="F52" s="2"/>
    </row>
    <row r="53" spans="2:9" x14ac:dyDescent="0.25">
      <c r="B53" s="2"/>
      <c r="C53" s="2" t="s">
        <v>132</v>
      </c>
      <c r="D53" s="2"/>
      <c r="E53" s="2"/>
      <c r="F53" s="2"/>
    </row>
    <row r="54" spans="2:9" x14ac:dyDescent="0.25">
      <c r="B54" s="2"/>
      <c r="C54" s="52"/>
      <c r="D54" s="2"/>
      <c r="E54" s="2"/>
      <c r="F54" s="2"/>
      <c r="G54" s="47"/>
    </row>
    <row r="55" spans="2:9" x14ac:dyDescent="0.25">
      <c r="B55" s="2"/>
      <c r="C55" s="52" t="s">
        <v>133</v>
      </c>
      <c r="D55" s="2"/>
      <c r="E55" s="2"/>
      <c r="F55" s="2"/>
      <c r="G55" s="47"/>
    </row>
    <row r="56" spans="2:9" x14ac:dyDescent="0.25">
      <c r="B56" s="2"/>
      <c r="C56" s="52"/>
      <c r="D56" s="8"/>
      <c r="E56" s="2"/>
      <c r="F56" s="2"/>
      <c r="G56" s="2"/>
      <c r="H56" s="47"/>
    </row>
    <row r="57" spans="2:9" x14ac:dyDescent="0.25">
      <c r="B57" s="2" t="s">
        <v>134</v>
      </c>
      <c r="C57" s="52"/>
      <c r="D57" s="8"/>
      <c r="E57" s="2"/>
      <c r="F57" s="2"/>
      <c r="G57" s="2"/>
      <c r="H57" s="47"/>
    </row>
    <row r="58" spans="2:9" x14ac:dyDescent="0.25">
      <c r="B58" s="2"/>
      <c r="C58" s="52" t="s">
        <v>137</v>
      </c>
      <c r="D58" s="2"/>
      <c r="E58" s="2"/>
      <c r="F58" s="2"/>
      <c r="G58" s="47"/>
    </row>
    <row r="59" spans="2:9" x14ac:dyDescent="0.25">
      <c r="B59" s="2"/>
      <c r="C59" s="52"/>
      <c r="D59" s="2"/>
      <c r="E59" s="2"/>
      <c r="F59" s="2"/>
      <c r="G59" s="47"/>
    </row>
    <row r="60" spans="2:9" x14ac:dyDescent="0.25">
      <c r="B60" s="2"/>
      <c r="C60" s="52" t="s">
        <v>135</v>
      </c>
      <c r="D60" s="2"/>
      <c r="E60" s="2"/>
      <c r="F60" s="2"/>
      <c r="G60" s="47"/>
    </row>
    <row r="61" spans="2:9" x14ac:dyDescent="0.2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57</xdr:row>
                <xdr:rowOff>9525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3</xdr:col>
                <xdr:colOff>161925</xdr:colOff>
                <xdr:row>27</xdr:row>
                <xdr:rowOff>57150</xdr:rowOff>
              </from>
              <to>
                <xdr:col>3</xdr:col>
                <xdr:colOff>333375</xdr:colOff>
                <xdr:row>28</xdr:row>
                <xdr:rowOff>28575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3</xdr:col>
                <xdr:colOff>161925</xdr:colOff>
                <xdr:row>28</xdr:row>
                <xdr:rowOff>161925</xdr:rowOff>
              </from>
              <to>
                <xdr:col>3</xdr:col>
                <xdr:colOff>333375</xdr:colOff>
                <xdr:row>29</xdr:row>
                <xdr:rowOff>133350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3</xdr:col>
                <xdr:colOff>180975</xdr:colOff>
                <xdr:row>59</xdr:row>
                <xdr:rowOff>38100</xdr:rowOff>
              </from>
              <to>
                <xdr:col>3</xdr:col>
                <xdr:colOff>352425</xdr:colOff>
                <xdr:row>60</xdr:row>
                <xdr:rowOff>9525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autoPict="0" r:id="rId12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219075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67" r:id="rId13" name="cbECD">
          <controlPr defaultSize="0" autoFill="0" autoLine="0" autoPict="0" r:id="rId14">
            <anchor moveWithCells="1">
              <from>
                <xdr:col>2</xdr:col>
                <xdr:colOff>19050</xdr:colOff>
                <xdr:row>8</xdr:row>
                <xdr:rowOff>66675</xdr:rowOff>
              </from>
              <to>
                <xdr:col>4</xdr:col>
                <xdr:colOff>219075</xdr:colOff>
                <xdr:row>9</xdr:row>
                <xdr:rowOff>104775</xdr:rowOff>
              </to>
            </anchor>
          </controlPr>
        </control>
      </mc:Choice>
      <mc:Fallback>
        <control shapeId="23567" r:id="rId13" name="cbECD"/>
      </mc:Fallback>
    </mc:AlternateContent>
    <mc:AlternateContent xmlns:mc="http://schemas.openxmlformats.org/markup-compatibility/2006">
      <mc:Choice Requires="x14">
        <control shapeId="23570" r:id="rId15" name="cbSoot">
          <controlPr defaultSize="0" autoFill="0" autoLine="0" r:id="rId16">
            <anchor moveWithCells="1">
              <from>
                <xdr:col>3</xdr:col>
                <xdr:colOff>28575</xdr:colOff>
                <xdr:row>41</xdr:row>
                <xdr:rowOff>161925</xdr:rowOff>
              </from>
              <to>
                <xdr:col>7</xdr:col>
                <xdr:colOff>19050</xdr:colOff>
                <xdr:row>43</xdr:row>
                <xdr:rowOff>0</xdr:rowOff>
              </to>
            </anchor>
          </controlPr>
        </control>
      </mc:Choice>
      <mc:Fallback>
        <control shapeId="23570" r:id="rId15" name="cbSoot"/>
      </mc:Fallback>
    </mc:AlternateContent>
    <mc:AlternateContent xmlns:mc="http://schemas.openxmlformats.org/markup-compatibility/2006">
      <mc:Choice Requires="x14">
        <control shapeId="23571" r:id="rId17" name="cbAsh">
          <controlPr defaultSize="0" autoFill="0" autoLine="0" r:id="rId18">
            <anchor moveWithCells="1">
              <from>
                <xdr:col>3</xdr:col>
                <xdr:colOff>28575</xdr:colOff>
                <xdr:row>43</xdr:row>
                <xdr:rowOff>161925</xdr:rowOff>
              </from>
              <to>
                <xdr:col>7</xdr:col>
                <xdr:colOff>19050</xdr:colOff>
                <xdr:row>45</xdr:row>
                <xdr:rowOff>0</xdr:rowOff>
              </to>
            </anchor>
          </controlPr>
        </control>
      </mc:Choice>
      <mc:Fallback>
        <control shapeId="23571" r:id="rId17" name="cbAsh"/>
      </mc:Fallback>
    </mc:AlternateContent>
    <mc:AlternateContent xmlns:mc="http://schemas.openxmlformats.org/markup-compatibility/2006">
      <mc:Choice Requires="x14">
        <control shapeId="23572" r:id="rId19" name="cbAshColor">
          <controlPr defaultSize="0" autoFill="0" autoLine="0" r:id="rId20">
            <anchor moveWithCells="1">
              <from>
                <xdr:col>3</xdr:col>
                <xdr:colOff>9525</xdr:colOff>
                <xdr:row>45</xdr:row>
                <xdr:rowOff>9525</xdr:rowOff>
              </from>
              <to>
                <xdr:col>7</xdr:col>
                <xdr:colOff>0</xdr:colOff>
                <xdr:row>46</xdr:row>
                <xdr:rowOff>38100</xdr:rowOff>
              </to>
            </anchor>
          </controlPr>
        </control>
      </mc:Choice>
      <mc:Fallback>
        <control shapeId="23572" r:id="rId19" name="cbAshColor"/>
      </mc:Fallback>
    </mc:AlternateContent>
    <mc:AlternateContent xmlns:mc="http://schemas.openxmlformats.org/markup-compatibility/2006">
      <mc:Choice Requires="x14">
        <control shapeId="23573" r:id="rId21" name="cbOutletColor">
          <controlPr defaultSize="0" autoFill="0" autoLine="0" r:id="rId22">
            <anchor moveWithCells="1">
              <from>
                <xdr:col>3</xdr:col>
                <xdr:colOff>9525</xdr:colOff>
                <xdr:row>48</xdr:row>
                <xdr:rowOff>9525</xdr:rowOff>
              </from>
              <to>
                <xdr:col>7</xdr:col>
                <xdr:colOff>0</xdr:colOff>
                <xdr:row>49</xdr:row>
                <xdr:rowOff>38100</xdr:rowOff>
              </to>
            </anchor>
          </controlPr>
        </control>
      </mc:Choice>
      <mc:Fallback>
        <control shapeId="23573" r:id="rId21" name="cbOutletColor"/>
      </mc:Fallback>
    </mc:AlternateContent>
    <mc:AlternateContent xmlns:mc="http://schemas.openxmlformats.org/markup-compatibility/2006">
      <mc:Choice Requires="x14">
        <control shapeId="23574" r:id="rId23" name="cbBreachChannels">
          <controlPr defaultSize="0" autoFill="0" autoLine="0" r:id="rId24">
            <anchor moveWithCells="1">
              <from>
                <xdr:col>3</xdr:col>
                <xdr:colOff>47625</xdr:colOff>
                <xdr:row>52</xdr:row>
                <xdr:rowOff>0</xdr:rowOff>
              </from>
              <to>
                <xdr:col>7</xdr:col>
                <xdr:colOff>38100</xdr:colOff>
                <xdr:row>53</xdr:row>
                <xdr:rowOff>28575</xdr:rowOff>
              </to>
            </anchor>
          </controlPr>
        </control>
      </mc:Choice>
      <mc:Fallback>
        <control shapeId="23574" r:id="rId23" name="cbBreachChannels"/>
      </mc:Fallback>
    </mc:AlternateContent>
    <mc:AlternateContent xmlns:mc="http://schemas.openxmlformats.org/markup-compatibility/2006">
      <mc:Choice Requires="x14">
        <control shapeId="23575" r:id="rId25" name="cbCracking">
          <controlPr defaultSize="0" autoFill="0" autoLine="0" r:id="rId26">
            <anchor moveWithCells="1">
              <from>
                <xdr:col>3</xdr:col>
                <xdr:colOff>47625</xdr:colOff>
                <xdr:row>54</xdr:row>
                <xdr:rowOff>0</xdr:rowOff>
              </from>
              <to>
                <xdr:col>7</xdr:col>
                <xdr:colOff>38100</xdr:colOff>
                <xdr:row>55</xdr:row>
                <xdr:rowOff>28575</xdr:rowOff>
              </to>
            </anchor>
          </controlPr>
        </control>
      </mc:Choice>
      <mc:Fallback>
        <control shapeId="23575" r:id="rId25" name="cbCracking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3"/>
  <dimension ref="B2:I86"/>
  <sheetViews>
    <sheetView workbookViewId="0">
      <selection activeCell="G16" sqref="G1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136</v>
      </c>
    </row>
    <row r="3" spans="2:9" ht="18.75" x14ac:dyDescent="0.3">
      <c r="B3" s="1" t="s">
        <v>105</v>
      </c>
      <c r="C3" s="2"/>
    </row>
    <row r="4" spans="2:9" x14ac:dyDescent="0.25">
      <c r="B4" s="2"/>
      <c r="C4" s="2"/>
    </row>
    <row r="5" spans="2:9" x14ac:dyDescent="0.25">
      <c r="B5" s="3" t="s">
        <v>1</v>
      </c>
      <c r="C5" s="3"/>
    </row>
    <row r="6" spans="2:9" x14ac:dyDescent="0.25">
      <c r="B6" s="3" t="s">
        <v>2</v>
      </c>
      <c r="C6" s="4"/>
    </row>
    <row r="7" spans="2:9" x14ac:dyDescent="0.25">
      <c r="B7" s="5" t="s">
        <v>35</v>
      </c>
      <c r="C7" s="8"/>
    </row>
    <row r="8" spans="2:9" x14ac:dyDescent="0.25">
      <c r="B8" s="7" t="s">
        <v>36</v>
      </c>
      <c r="C8" s="10"/>
    </row>
    <row r="9" spans="2:9" x14ac:dyDescent="0.25">
      <c r="B9" s="7" t="s">
        <v>45</v>
      </c>
      <c r="C9" s="81"/>
    </row>
    <row r="10" spans="2:9" x14ac:dyDescent="0.25">
      <c r="B10" s="7" t="s">
        <v>47</v>
      </c>
      <c r="C10" s="81"/>
    </row>
    <row r="11" spans="2:9" x14ac:dyDescent="0.25">
      <c r="B11" t="s">
        <v>172</v>
      </c>
      <c r="C11" s="48"/>
      <c r="D11" s="75" t="s">
        <v>173</v>
      </c>
      <c r="G11" s="75" t="s">
        <v>171</v>
      </c>
      <c r="H11" s="81">
        <f>(3.14*(SubDiameter/2)^2)*(SubLength)*(1/12)^3</f>
        <v>0</v>
      </c>
      <c r="I11" s="83" t="s">
        <v>166</v>
      </c>
    </row>
    <row r="12" spans="2:9" x14ac:dyDescent="0.25">
      <c r="B12" t="s">
        <v>176</v>
      </c>
      <c r="C12" s="48"/>
      <c r="D12" t="s">
        <v>175</v>
      </c>
      <c r="G12" s="75"/>
      <c r="H12" s="81">
        <f>Volume*28.317</f>
        <v>0</v>
      </c>
      <c r="I12" s="83" t="s">
        <v>178</v>
      </c>
    </row>
    <row r="13" spans="2:9" x14ac:dyDescent="0.25">
      <c r="B13" s="7"/>
      <c r="C13" s="8"/>
      <c r="G13" t="s">
        <v>174</v>
      </c>
      <c r="H13" s="81">
        <f>(Volume*MaxSpaceVelocity)*(1/60)*(61.7)/(2350*0.395)</f>
        <v>0</v>
      </c>
      <c r="I13" t="s">
        <v>175</v>
      </c>
    </row>
    <row r="14" spans="2:9" x14ac:dyDescent="0.25">
      <c r="G14" t="s">
        <v>177</v>
      </c>
      <c r="H14" s="82">
        <f>IF(H13&gt;MaxHertz,"60",H13)</f>
        <v>0</v>
      </c>
      <c r="I14" t="s">
        <v>175</v>
      </c>
    </row>
    <row r="15" spans="2:9" x14ac:dyDescent="0.25">
      <c r="B15" s="53" t="s">
        <v>149</v>
      </c>
      <c r="C15" s="54"/>
      <c r="D15" s="55" t="str">
        <f>B7</f>
        <v>DPF Information</v>
      </c>
      <c r="E15" s="56"/>
      <c r="F15" s="56"/>
    </row>
    <row r="16" spans="2:9" x14ac:dyDescent="0.25">
      <c r="B16" s="57"/>
      <c r="C16" s="57"/>
      <c r="D16" s="57"/>
      <c r="E16" s="57"/>
      <c r="F16" s="57"/>
    </row>
    <row r="17" spans="2:9" x14ac:dyDescent="0.25">
      <c r="B17" s="58" t="s">
        <v>150</v>
      </c>
      <c r="D17" s="41"/>
      <c r="E17" t="s">
        <v>151</v>
      </c>
    </row>
    <row r="18" spans="2:9" x14ac:dyDescent="0.25">
      <c r="B18" s="58" t="s">
        <v>152</v>
      </c>
      <c r="D18" s="41"/>
      <c r="E18" t="s">
        <v>153</v>
      </c>
    </row>
    <row r="19" spans="2:9" x14ac:dyDescent="0.25">
      <c r="B19" s="58" t="s">
        <v>154</v>
      </c>
      <c r="D19" s="48"/>
    </row>
    <row r="20" spans="2:9" x14ac:dyDescent="0.25">
      <c r="B20" s="59" t="s">
        <v>155</v>
      </c>
      <c r="C20" s="60" t="s">
        <v>156</v>
      </c>
      <c r="D20" s="61" t="s">
        <v>157</v>
      </c>
      <c r="E20" s="61" t="s">
        <v>158</v>
      </c>
      <c r="G20" s="62" t="s">
        <v>159</v>
      </c>
      <c r="H20" s="61"/>
      <c r="I20" s="61"/>
    </row>
    <row r="21" spans="2:9" x14ac:dyDescent="0.25">
      <c r="B21" s="63" t="s">
        <v>160</v>
      </c>
      <c r="C21" s="63" t="s">
        <v>161</v>
      </c>
      <c r="D21" s="63" t="s">
        <v>162</v>
      </c>
      <c r="E21" s="63" t="s">
        <v>161</v>
      </c>
      <c r="F21" s="63" t="s">
        <v>163</v>
      </c>
      <c r="G21" s="62" t="s">
        <v>164</v>
      </c>
      <c r="H21" s="61" t="s">
        <v>161</v>
      </c>
      <c r="I21" s="61" t="s">
        <v>165</v>
      </c>
    </row>
    <row r="22" spans="2:9" x14ac:dyDescent="0.25">
      <c r="B22" s="64">
        <f>0.25*$H$14</f>
        <v>0</v>
      </c>
      <c r="C22" s="65">
        <f>(2350/61.7)*B22*0.395</f>
        <v>0</v>
      </c>
      <c r="D22" s="48"/>
      <c r="E22" s="65">
        <f t="shared" ref="E22:E31" si="0">C22-(34.4764881*D22-4.325744048*D22^2+0.369475446*D22^3-0.01733631*D22^4+0.000339472*D22^5)</f>
        <v>0</v>
      </c>
      <c r="F22" s="66" t="e">
        <f t="shared" ref="F22:F32" si="1">(E22*60)/Volume</f>
        <v>#DIV/0!</v>
      </c>
      <c r="G22" s="48"/>
      <c r="H22" s="67">
        <f t="shared" ref="H22:H32" si="2">G22*Volume/60</f>
        <v>0</v>
      </c>
      <c r="I22" s="68">
        <f t="shared" ref="I22:I32" si="3">G22^2*P0a+G22*P0b+P0c</f>
        <v>0</v>
      </c>
    </row>
    <row r="23" spans="2:9" x14ac:dyDescent="0.25">
      <c r="B23" s="64">
        <f>0.4*$H$14</f>
        <v>0</v>
      </c>
      <c r="C23" s="65">
        <f t="shared" ref="C23:C32" si="4">(2350/61.7)*B23*0.395</f>
        <v>0</v>
      </c>
      <c r="D23" s="48"/>
      <c r="E23" s="65">
        <f t="shared" si="0"/>
        <v>0</v>
      </c>
      <c r="F23" s="66" t="e">
        <f t="shared" si="1"/>
        <v>#DIV/0!</v>
      </c>
      <c r="G23" s="48"/>
      <c r="H23" s="67">
        <f t="shared" si="2"/>
        <v>0</v>
      </c>
      <c r="I23" s="68">
        <f t="shared" si="3"/>
        <v>0</v>
      </c>
    </row>
    <row r="24" spans="2:9" x14ac:dyDescent="0.25">
      <c r="B24" s="64">
        <f>0.5*$H$14</f>
        <v>0</v>
      </c>
      <c r="C24" s="65">
        <f t="shared" si="4"/>
        <v>0</v>
      </c>
      <c r="D24" s="48"/>
      <c r="E24" s="65">
        <f t="shared" si="0"/>
        <v>0</v>
      </c>
      <c r="F24" s="66" t="e">
        <f t="shared" si="1"/>
        <v>#DIV/0!</v>
      </c>
      <c r="G24" s="48"/>
      <c r="H24" s="67">
        <f t="shared" si="2"/>
        <v>0</v>
      </c>
      <c r="I24" s="68">
        <f t="shared" si="3"/>
        <v>0</v>
      </c>
    </row>
    <row r="25" spans="2:9" x14ac:dyDescent="0.25">
      <c r="B25" s="64">
        <f>0.6*$H$14</f>
        <v>0</v>
      </c>
      <c r="C25" s="65">
        <f t="shared" si="4"/>
        <v>0</v>
      </c>
      <c r="D25" s="48"/>
      <c r="E25" s="65">
        <f t="shared" si="0"/>
        <v>0</v>
      </c>
      <c r="F25" s="66" t="e">
        <f t="shared" si="1"/>
        <v>#DIV/0!</v>
      </c>
      <c r="G25" s="48"/>
      <c r="H25" s="67">
        <f t="shared" si="2"/>
        <v>0</v>
      </c>
      <c r="I25" s="68">
        <f t="shared" si="3"/>
        <v>0</v>
      </c>
    </row>
    <row r="26" spans="2:9" x14ac:dyDescent="0.25">
      <c r="B26" s="64">
        <f>0.7*$H$14</f>
        <v>0</v>
      </c>
      <c r="C26" s="65">
        <f t="shared" si="4"/>
        <v>0</v>
      </c>
      <c r="D26" s="48"/>
      <c r="E26" s="65">
        <f t="shared" si="0"/>
        <v>0</v>
      </c>
      <c r="F26" s="66" t="e">
        <f t="shared" si="1"/>
        <v>#DIV/0!</v>
      </c>
      <c r="G26" s="48"/>
      <c r="H26" s="67">
        <f t="shared" si="2"/>
        <v>0</v>
      </c>
      <c r="I26" s="68">
        <f t="shared" si="3"/>
        <v>0</v>
      </c>
    </row>
    <row r="27" spans="2:9" x14ac:dyDescent="0.25">
      <c r="B27" s="64">
        <f>0.75*$H$14</f>
        <v>0</v>
      </c>
      <c r="C27" s="65">
        <f t="shared" si="4"/>
        <v>0</v>
      </c>
      <c r="D27" s="48"/>
      <c r="E27" s="65">
        <f t="shared" si="0"/>
        <v>0</v>
      </c>
      <c r="F27" s="66" t="e">
        <f t="shared" si="1"/>
        <v>#DIV/0!</v>
      </c>
      <c r="G27" s="48"/>
      <c r="H27" s="67">
        <f t="shared" si="2"/>
        <v>0</v>
      </c>
      <c r="I27" s="68">
        <f t="shared" si="3"/>
        <v>0</v>
      </c>
    </row>
    <row r="28" spans="2:9" x14ac:dyDescent="0.25">
      <c r="B28" s="64">
        <f>0.8*$H$14</f>
        <v>0</v>
      </c>
      <c r="C28" s="65">
        <f t="shared" si="4"/>
        <v>0</v>
      </c>
      <c r="D28" s="48"/>
      <c r="E28" s="65">
        <f t="shared" si="0"/>
        <v>0</v>
      </c>
      <c r="F28" s="66" t="e">
        <f t="shared" si="1"/>
        <v>#DIV/0!</v>
      </c>
      <c r="G28" s="48"/>
      <c r="H28" s="67">
        <f t="shared" si="2"/>
        <v>0</v>
      </c>
      <c r="I28" s="68">
        <f t="shared" si="3"/>
        <v>0</v>
      </c>
    </row>
    <row r="29" spans="2:9" x14ac:dyDescent="0.25">
      <c r="B29" s="64">
        <f>0.85*$H$14</f>
        <v>0</v>
      </c>
      <c r="C29" s="65">
        <f t="shared" si="4"/>
        <v>0</v>
      </c>
      <c r="D29" s="48"/>
      <c r="E29" s="65">
        <f t="shared" si="0"/>
        <v>0</v>
      </c>
      <c r="F29" s="66" t="e">
        <f t="shared" si="1"/>
        <v>#DIV/0!</v>
      </c>
      <c r="G29" s="48"/>
      <c r="H29" s="67">
        <f t="shared" si="2"/>
        <v>0</v>
      </c>
      <c r="I29" s="68">
        <f t="shared" si="3"/>
        <v>0</v>
      </c>
    </row>
    <row r="30" spans="2:9" x14ac:dyDescent="0.25">
      <c r="B30" s="64">
        <f>0.9*$H$14</f>
        <v>0</v>
      </c>
      <c r="C30" s="65">
        <f t="shared" si="4"/>
        <v>0</v>
      </c>
      <c r="D30" s="48"/>
      <c r="E30" s="65">
        <f t="shared" si="0"/>
        <v>0</v>
      </c>
      <c r="F30" s="66" t="e">
        <f t="shared" si="1"/>
        <v>#DIV/0!</v>
      </c>
      <c r="G30" s="48"/>
      <c r="H30" s="67">
        <f t="shared" si="2"/>
        <v>0</v>
      </c>
      <c r="I30" s="68">
        <f t="shared" si="3"/>
        <v>0</v>
      </c>
    </row>
    <row r="31" spans="2:9" x14ac:dyDescent="0.25">
      <c r="B31" s="64">
        <f>0.95*$H$14</f>
        <v>0</v>
      </c>
      <c r="C31" s="65">
        <f t="shared" si="4"/>
        <v>0</v>
      </c>
      <c r="D31" s="48"/>
      <c r="E31" s="65">
        <f t="shared" si="0"/>
        <v>0</v>
      </c>
      <c r="F31" s="66" t="e">
        <f t="shared" si="1"/>
        <v>#DIV/0!</v>
      </c>
      <c r="G31" s="48"/>
      <c r="H31" s="67">
        <f t="shared" si="2"/>
        <v>0</v>
      </c>
      <c r="I31" s="68">
        <f t="shared" si="3"/>
        <v>0</v>
      </c>
    </row>
    <row r="32" spans="2:9" x14ac:dyDescent="0.25">
      <c r="B32" s="64">
        <f>1*$H$14</f>
        <v>0</v>
      </c>
      <c r="C32" s="65">
        <f t="shared" si="4"/>
        <v>0</v>
      </c>
      <c r="D32" s="48"/>
      <c r="E32" s="65">
        <f>C32-(34.4764881*D32-4.325744048*D32^2+0.369475446*D32^3-0.01733631*D32^4+0.000339472*D32^5)</f>
        <v>0</v>
      </c>
      <c r="F32" s="66" t="e">
        <f t="shared" si="1"/>
        <v>#DIV/0!</v>
      </c>
      <c r="G32" s="48"/>
      <c r="H32" s="67">
        <f t="shared" si="2"/>
        <v>0</v>
      </c>
      <c r="I32" s="68">
        <f t="shared" si="3"/>
        <v>0</v>
      </c>
    </row>
    <row r="33" spans="2:9" x14ac:dyDescent="0.25">
      <c r="B33" s="57"/>
      <c r="D33" s="57"/>
      <c r="E33" s="57"/>
      <c r="F33" s="57"/>
      <c r="G33" s="73" t="s">
        <v>167</v>
      </c>
    </row>
    <row r="34" spans="2:9" x14ac:dyDescent="0.25">
      <c r="C34" s="70"/>
      <c r="G34" s="73" t="s">
        <v>168</v>
      </c>
      <c r="H34" s="74"/>
    </row>
    <row r="35" spans="2:9" x14ac:dyDescent="0.25">
      <c r="B35" s="71"/>
      <c r="C35" s="71"/>
      <c r="D35" s="71"/>
      <c r="E35" s="71"/>
      <c r="F35" s="71"/>
      <c r="G35" s="73" t="s">
        <v>169</v>
      </c>
      <c r="H35" s="74"/>
    </row>
    <row r="36" spans="2:9" x14ac:dyDescent="0.25">
      <c r="B36" s="72"/>
      <c r="C36" s="72"/>
      <c r="D36" s="72"/>
      <c r="E36" s="72"/>
      <c r="F36" s="72"/>
      <c r="G36" s="73" t="s">
        <v>170</v>
      </c>
      <c r="H36" s="41"/>
    </row>
    <row r="37" spans="2:9" x14ac:dyDescent="0.25">
      <c r="B37" s="72"/>
      <c r="C37" s="72"/>
      <c r="D37" s="72"/>
      <c r="E37" s="72"/>
      <c r="F37" s="72"/>
      <c r="I37" t="s">
        <v>18</v>
      </c>
    </row>
    <row r="39" spans="2:9" x14ac:dyDescent="0.25">
      <c r="B39" s="58" t="s">
        <v>149</v>
      </c>
      <c r="D39" s="55" t="str">
        <f>B8</f>
        <v>DPF ID</v>
      </c>
    </row>
    <row r="41" spans="2:9" x14ac:dyDescent="0.25">
      <c r="B41" s="58" t="s">
        <v>150</v>
      </c>
      <c r="D41" s="41"/>
      <c r="E41" t="s">
        <v>151</v>
      </c>
    </row>
    <row r="42" spans="2:9" x14ac:dyDescent="0.25">
      <c r="B42" s="58" t="s">
        <v>152</v>
      </c>
      <c r="D42" s="41"/>
      <c r="E42" t="s">
        <v>153</v>
      </c>
      <c r="I42" s="70"/>
    </row>
    <row r="43" spans="2:9" x14ac:dyDescent="0.25">
      <c r="B43" s="58" t="s">
        <v>154</v>
      </c>
      <c r="D43" s="48"/>
    </row>
    <row r="44" spans="2:9" x14ac:dyDescent="0.25">
      <c r="B44" s="59" t="s">
        <v>155</v>
      </c>
      <c r="C44" s="60" t="s">
        <v>156</v>
      </c>
      <c r="D44" s="61" t="s">
        <v>157</v>
      </c>
      <c r="E44" s="61" t="s">
        <v>158</v>
      </c>
      <c r="F44" s="75"/>
      <c r="G44" s="62" t="s">
        <v>159</v>
      </c>
      <c r="H44" s="61"/>
      <c r="I44" s="61"/>
    </row>
    <row r="45" spans="2:9" x14ac:dyDescent="0.25">
      <c r="B45" s="61" t="s">
        <v>160</v>
      </c>
      <c r="C45" s="61" t="s">
        <v>161</v>
      </c>
      <c r="D45" s="61" t="s">
        <v>162</v>
      </c>
      <c r="E45" s="61" t="s">
        <v>161</v>
      </c>
      <c r="F45" s="61" t="s">
        <v>163</v>
      </c>
      <c r="G45" s="62" t="s">
        <v>164</v>
      </c>
      <c r="H45" s="61" t="s">
        <v>161</v>
      </c>
      <c r="I45" s="61" t="s">
        <v>165</v>
      </c>
    </row>
    <row r="46" spans="2:9" x14ac:dyDescent="0.25">
      <c r="B46" s="64">
        <f>0.25*$H$14</f>
        <v>0</v>
      </c>
      <c r="C46" s="65">
        <f>(2350/61.7)*B46*0.395</f>
        <v>0</v>
      </c>
      <c r="D46" s="48">
        <v>3.1E-2</v>
      </c>
      <c r="E46" s="65">
        <f t="shared" ref="E46:E56" si="5">C46-(34.4764881*D46-4.325744048*D46^2+0.369475446*D46^3-0.01733631*D46^4+0.000339472*D46^5)</f>
        <v>-1.0646250821121561</v>
      </c>
      <c r="F46" s="66" t="e">
        <f t="shared" ref="F46:F56" si="6">(E46*60)/Volume</f>
        <v>#DIV/0!</v>
      </c>
      <c r="G46" s="48">
        <v>20000</v>
      </c>
      <c r="H46" s="67">
        <f t="shared" ref="H46:H56" si="7">G46*Volume/60</f>
        <v>0</v>
      </c>
      <c r="I46" s="68">
        <f t="shared" ref="I46:I56" si="8">G46^2*P1a+G46*P1b+P1c</f>
        <v>0</v>
      </c>
    </row>
    <row r="47" spans="2:9" x14ac:dyDescent="0.25">
      <c r="B47" s="64">
        <f>0.4*$H$14</f>
        <v>0</v>
      </c>
      <c r="C47" s="65">
        <f t="shared" ref="C47:C55" si="9">(2350/61.7)*B47*0.395</f>
        <v>0</v>
      </c>
      <c r="D47" s="48">
        <v>5.1999999999999998E-2</v>
      </c>
      <c r="E47" s="65">
        <f t="shared" si="5"/>
        <v>-1.7811323938703458</v>
      </c>
      <c r="F47" s="66" t="e">
        <f t="shared" si="6"/>
        <v>#DIV/0!</v>
      </c>
      <c r="G47" s="48">
        <v>35000</v>
      </c>
      <c r="H47" s="67">
        <f t="shared" si="7"/>
        <v>0</v>
      </c>
      <c r="I47" s="68">
        <f t="shared" si="8"/>
        <v>0</v>
      </c>
    </row>
    <row r="48" spans="2:9" x14ac:dyDescent="0.25">
      <c r="B48" s="64">
        <f>0.5*$H$14</f>
        <v>0</v>
      </c>
      <c r="C48" s="65">
        <f t="shared" si="9"/>
        <v>0</v>
      </c>
      <c r="D48" s="48">
        <v>6.6000000000000003E-2</v>
      </c>
      <c r="E48" s="65">
        <f t="shared" si="5"/>
        <v>-2.2567111677129614</v>
      </c>
      <c r="F48" s="66" t="e">
        <f t="shared" si="6"/>
        <v>#DIV/0!</v>
      </c>
      <c r="G48" s="48">
        <v>50000</v>
      </c>
      <c r="H48" s="67">
        <f t="shared" si="7"/>
        <v>0</v>
      </c>
      <c r="I48" s="68">
        <f t="shared" si="8"/>
        <v>0</v>
      </c>
    </row>
    <row r="49" spans="2:9" x14ac:dyDescent="0.25">
      <c r="B49" s="64">
        <f>0.6*$H$14</f>
        <v>0</v>
      </c>
      <c r="C49" s="65">
        <f t="shared" si="9"/>
        <v>0</v>
      </c>
      <c r="D49" s="48">
        <v>8.3000000000000004E-2</v>
      </c>
      <c r="E49" s="65">
        <f t="shared" si="5"/>
        <v>-2.8319589013951987</v>
      </c>
      <c r="F49" s="66" t="e">
        <f t="shared" si="6"/>
        <v>#DIV/0!</v>
      </c>
      <c r="G49" s="48">
        <v>60000</v>
      </c>
      <c r="H49" s="67">
        <f t="shared" si="7"/>
        <v>0</v>
      </c>
      <c r="I49" s="68">
        <f t="shared" si="8"/>
        <v>0</v>
      </c>
    </row>
    <row r="50" spans="2:9" x14ac:dyDescent="0.25">
      <c r="B50" s="64">
        <f>0.7*$H$14</f>
        <v>0</v>
      </c>
      <c r="C50" s="65">
        <f t="shared" si="9"/>
        <v>0</v>
      </c>
      <c r="D50" s="48">
        <v>0.1</v>
      </c>
      <c r="E50" s="65">
        <f t="shared" si="5"/>
        <v>-3.4047591147297198</v>
      </c>
      <c r="F50" s="66" t="e">
        <f t="shared" si="6"/>
        <v>#DIV/0!</v>
      </c>
      <c r="G50" s="48">
        <v>70000</v>
      </c>
      <c r="H50" s="67">
        <f t="shared" si="7"/>
        <v>0</v>
      </c>
      <c r="I50" s="68">
        <f t="shared" si="8"/>
        <v>0</v>
      </c>
    </row>
    <row r="51" spans="2:9" x14ac:dyDescent="0.25">
      <c r="B51" s="64">
        <f>0.75*$H$14</f>
        <v>0</v>
      </c>
      <c r="C51" s="65">
        <f t="shared" si="9"/>
        <v>0</v>
      </c>
      <c r="D51" s="48">
        <v>0.109</v>
      </c>
      <c r="E51" s="65">
        <f t="shared" si="5"/>
        <v>-3.7070190773446283</v>
      </c>
      <c r="F51" s="66" t="e">
        <f t="shared" si="6"/>
        <v>#DIV/0!</v>
      </c>
      <c r="G51" s="48">
        <v>75000</v>
      </c>
      <c r="H51" s="67">
        <f t="shared" si="7"/>
        <v>0</v>
      </c>
      <c r="I51" s="68">
        <f t="shared" si="8"/>
        <v>0</v>
      </c>
    </row>
    <row r="52" spans="2:9" x14ac:dyDescent="0.25">
      <c r="B52" s="64">
        <f>0.8*$H$14</f>
        <v>0</v>
      </c>
      <c r="C52" s="65">
        <f t="shared" si="9"/>
        <v>0</v>
      </c>
      <c r="D52" s="48">
        <v>0.11899999999999999</v>
      </c>
      <c r="E52" s="65">
        <f t="shared" si="5"/>
        <v>-4.0420643788921602</v>
      </c>
      <c r="F52" s="66" t="e">
        <f t="shared" si="6"/>
        <v>#DIV/0!</v>
      </c>
      <c r="G52" s="48">
        <v>80000</v>
      </c>
      <c r="H52" s="67">
        <f t="shared" si="7"/>
        <v>0</v>
      </c>
      <c r="I52" s="68">
        <f t="shared" si="8"/>
        <v>0</v>
      </c>
    </row>
    <row r="53" spans="2:9" x14ac:dyDescent="0.25">
      <c r="B53" s="64">
        <f>0.85*$H$14</f>
        <v>0</v>
      </c>
      <c r="C53" s="65">
        <f t="shared" si="9"/>
        <v>0</v>
      </c>
      <c r="D53" s="48">
        <v>0.129</v>
      </c>
      <c r="E53" s="65">
        <f t="shared" si="5"/>
        <v>-4.3762706183789941</v>
      </c>
      <c r="F53" s="66" t="e">
        <f t="shared" si="6"/>
        <v>#DIV/0!</v>
      </c>
      <c r="G53" s="48">
        <v>85000</v>
      </c>
      <c r="H53" s="67">
        <f t="shared" si="7"/>
        <v>0</v>
      </c>
      <c r="I53" s="68">
        <f t="shared" si="8"/>
        <v>0</v>
      </c>
    </row>
    <row r="54" spans="2:9" x14ac:dyDescent="0.25">
      <c r="B54" s="64">
        <f>0.9*$H$14</f>
        <v>0</v>
      </c>
      <c r="C54" s="65">
        <f t="shared" si="9"/>
        <v>0</v>
      </c>
      <c r="D54" s="48">
        <v>0.14000000000000001</v>
      </c>
      <c r="E54" s="65">
        <f t="shared" si="5"/>
        <v>-4.7429309496237932</v>
      </c>
      <c r="F54" s="66" t="e">
        <f t="shared" si="6"/>
        <v>#DIV/0!</v>
      </c>
      <c r="G54" s="48">
        <v>90000</v>
      </c>
      <c r="H54" s="67">
        <f t="shared" si="7"/>
        <v>0</v>
      </c>
      <c r="I54" s="68">
        <f t="shared" si="8"/>
        <v>0</v>
      </c>
    </row>
    <row r="55" spans="2:9" x14ac:dyDescent="0.25">
      <c r="B55" s="64">
        <f>0.95*$H$14</f>
        <v>0</v>
      </c>
      <c r="C55" s="65">
        <f t="shared" si="9"/>
        <v>0</v>
      </c>
      <c r="D55" s="48">
        <v>0.152</v>
      </c>
      <c r="E55" s="65">
        <f t="shared" si="5"/>
        <v>-5.1417725010533433</v>
      </c>
      <c r="F55" s="66" t="e">
        <f t="shared" si="6"/>
        <v>#DIV/0!</v>
      </c>
      <c r="G55" s="48">
        <v>95000</v>
      </c>
      <c r="H55" s="67">
        <f t="shared" si="7"/>
        <v>0</v>
      </c>
      <c r="I55" s="68">
        <f t="shared" si="8"/>
        <v>0</v>
      </c>
    </row>
    <row r="56" spans="2:9" x14ac:dyDescent="0.25">
      <c r="B56" s="64">
        <f>1*$H$14</f>
        <v>0</v>
      </c>
      <c r="C56" s="65">
        <f>(2350/61.7)*B56*0.395</f>
        <v>0</v>
      </c>
      <c r="D56" s="48"/>
      <c r="E56" s="65">
        <f t="shared" si="5"/>
        <v>0</v>
      </c>
      <c r="F56" s="66" t="e">
        <f t="shared" si="6"/>
        <v>#DIV/0!</v>
      </c>
      <c r="G56" s="48">
        <v>100000</v>
      </c>
      <c r="H56" s="67">
        <f t="shared" si="7"/>
        <v>0</v>
      </c>
      <c r="I56" s="68">
        <f t="shared" si="8"/>
        <v>0</v>
      </c>
    </row>
    <row r="57" spans="2:9" x14ac:dyDescent="0.25">
      <c r="G57" s="73" t="s">
        <v>167</v>
      </c>
    </row>
    <row r="58" spans="2:9" x14ac:dyDescent="0.25">
      <c r="B58" s="76"/>
      <c r="C58" s="76"/>
      <c r="D58" s="76"/>
      <c r="G58" s="73" t="s">
        <v>168</v>
      </c>
      <c r="H58" s="74"/>
    </row>
    <row r="59" spans="2:9" x14ac:dyDescent="0.25">
      <c r="B59" s="2"/>
      <c r="C59" s="76"/>
      <c r="D59" s="76"/>
      <c r="E59" s="75"/>
      <c r="F59" s="75"/>
      <c r="G59" s="73" t="s">
        <v>169</v>
      </c>
      <c r="H59" s="74"/>
    </row>
    <row r="60" spans="2:9" x14ac:dyDescent="0.25">
      <c r="B60" s="77"/>
      <c r="C60" s="76"/>
      <c r="D60" s="76"/>
      <c r="E60" s="75"/>
      <c r="F60" s="75"/>
      <c r="G60" s="73" t="s">
        <v>170</v>
      </c>
      <c r="H60" s="74"/>
    </row>
    <row r="61" spans="2:9" x14ac:dyDescent="0.25">
      <c r="B61" s="77"/>
      <c r="C61" s="76"/>
      <c r="D61" s="76"/>
      <c r="E61" s="76"/>
      <c r="F61" s="76"/>
    </row>
    <row r="62" spans="2:9" x14ac:dyDescent="0.25">
      <c r="B62" s="2"/>
      <c r="C62" s="76"/>
      <c r="D62" s="76"/>
      <c r="E62" s="76"/>
      <c r="F62" s="76"/>
    </row>
    <row r="64" spans="2:9" x14ac:dyDescent="0.25">
      <c r="B64" s="58" t="s">
        <v>149</v>
      </c>
      <c r="D64" s="55" t="str">
        <f>B9</f>
        <v>Substrate Diameter(inch)</v>
      </c>
    </row>
    <row r="66" spans="2:9" x14ac:dyDescent="0.25">
      <c r="B66" s="58" t="s">
        <v>150</v>
      </c>
      <c r="D66" s="41"/>
      <c r="E66" t="s">
        <v>151</v>
      </c>
      <c r="H66" s="57"/>
      <c r="I66" s="57"/>
    </row>
    <row r="67" spans="2:9" x14ac:dyDescent="0.25">
      <c r="B67" s="58" t="s">
        <v>152</v>
      </c>
      <c r="D67" s="41">
        <v>14.696</v>
      </c>
      <c r="E67" t="s">
        <v>153</v>
      </c>
      <c r="H67" s="57"/>
      <c r="I67" s="57"/>
    </row>
    <row r="68" spans="2:9" x14ac:dyDescent="0.25">
      <c r="B68" s="58" t="s">
        <v>154</v>
      </c>
      <c r="D68" s="48"/>
      <c r="H68" s="78"/>
      <c r="I68" s="78"/>
    </row>
    <row r="69" spans="2:9" x14ac:dyDescent="0.25">
      <c r="B69" s="59" t="s">
        <v>155</v>
      </c>
      <c r="C69" s="60" t="s">
        <v>156</v>
      </c>
      <c r="D69" s="61" t="s">
        <v>157</v>
      </c>
      <c r="E69" s="61" t="s">
        <v>158</v>
      </c>
      <c r="F69" s="75"/>
      <c r="G69" s="62" t="s">
        <v>159</v>
      </c>
      <c r="H69" s="61"/>
      <c r="I69" s="61"/>
    </row>
    <row r="70" spans="2:9" x14ac:dyDescent="0.25">
      <c r="B70" s="61" t="s">
        <v>160</v>
      </c>
      <c r="C70" s="61" t="s">
        <v>161</v>
      </c>
      <c r="D70" s="61" t="s">
        <v>162</v>
      </c>
      <c r="E70" s="61" t="s">
        <v>161</v>
      </c>
      <c r="F70" s="61" t="s">
        <v>163</v>
      </c>
      <c r="G70" s="62" t="s">
        <v>164</v>
      </c>
      <c r="H70" s="61" t="s">
        <v>161</v>
      </c>
      <c r="I70" s="61" t="s">
        <v>165</v>
      </c>
    </row>
    <row r="71" spans="2:9" x14ac:dyDescent="0.25">
      <c r="B71" s="64">
        <f>0.25*$H$14</f>
        <v>0</v>
      </c>
      <c r="C71" s="65">
        <f>(2350/61.7)*B71*0.395</f>
        <v>0</v>
      </c>
      <c r="D71" s="48"/>
      <c r="E71" s="65">
        <f t="shared" ref="E71:E81" si="10">C71-(34.4764881*D71-4.325744048*D71^2+0.369475446*D71^3-0.01733631*D71^4+0.000339472*D71^5)</f>
        <v>0</v>
      </c>
      <c r="F71" s="65" t="e">
        <f t="shared" ref="F71:F81" si="11">(E71*60)/Volume</f>
        <v>#DIV/0!</v>
      </c>
      <c r="G71" s="48">
        <v>20000</v>
      </c>
      <c r="H71" s="67">
        <f t="shared" ref="H71:H81" si="12">G71*Volume/60</f>
        <v>0</v>
      </c>
      <c r="I71" s="68">
        <f t="shared" ref="I71:I81" si="13">G71^2*P2a+G71*P2b+P2c</f>
        <v>0</v>
      </c>
    </row>
    <row r="72" spans="2:9" x14ac:dyDescent="0.25">
      <c r="B72" s="64">
        <f>0.4*$H$14</f>
        <v>0</v>
      </c>
      <c r="C72" s="65">
        <f t="shared" ref="C72:C81" si="14">(2350/61.7)*B72*0.395</f>
        <v>0</v>
      </c>
      <c r="D72" s="48"/>
      <c r="E72" s="65">
        <f t="shared" si="10"/>
        <v>0</v>
      </c>
      <c r="F72" s="65" t="e">
        <f t="shared" si="11"/>
        <v>#DIV/0!</v>
      </c>
      <c r="G72" s="48">
        <v>35000</v>
      </c>
      <c r="H72" s="67">
        <f t="shared" si="12"/>
        <v>0</v>
      </c>
      <c r="I72" s="68">
        <f t="shared" si="13"/>
        <v>0</v>
      </c>
    </row>
    <row r="73" spans="2:9" x14ac:dyDescent="0.25">
      <c r="B73" s="64">
        <f>0.5*$H$14</f>
        <v>0</v>
      </c>
      <c r="C73" s="65">
        <f t="shared" si="14"/>
        <v>0</v>
      </c>
      <c r="D73" s="48"/>
      <c r="E73" s="65">
        <f t="shared" si="10"/>
        <v>0</v>
      </c>
      <c r="F73" s="65" t="e">
        <f t="shared" si="11"/>
        <v>#DIV/0!</v>
      </c>
      <c r="G73" s="48">
        <v>50000</v>
      </c>
      <c r="H73" s="67">
        <f t="shared" si="12"/>
        <v>0</v>
      </c>
      <c r="I73" s="68">
        <f t="shared" si="13"/>
        <v>0</v>
      </c>
    </row>
    <row r="74" spans="2:9" x14ac:dyDescent="0.25">
      <c r="B74" s="64">
        <f>0.6*$H$14</f>
        <v>0</v>
      </c>
      <c r="C74" s="65">
        <f t="shared" si="14"/>
        <v>0</v>
      </c>
      <c r="D74" s="48"/>
      <c r="E74" s="65">
        <f t="shared" si="10"/>
        <v>0</v>
      </c>
      <c r="F74" s="65" t="e">
        <f t="shared" si="11"/>
        <v>#DIV/0!</v>
      </c>
      <c r="G74" s="48">
        <v>60000</v>
      </c>
      <c r="H74" s="67">
        <f t="shared" si="12"/>
        <v>0</v>
      </c>
      <c r="I74" s="68">
        <f t="shared" si="13"/>
        <v>0</v>
      </c>
    </row>
    <row r="75" spans="2:9" x14ac:dyDescent="0.25">
      <c r="B75" s="64">
        <f>0.7*$H$14</f>
        <v>0</v>
      </c>
      <c r="C75" s="65">
        <f t="shared" si="14"/>
        <v>0</v>
      </c>
      <c r="D75" s="48"/>
      <c r="E75" s="65">
        <f t="shared" si="10"/>
        <v>0</v>
      </c>
      <c r="F75" s="65" t="e">
        <f t="shared" si="11"/>
        <v>#DIV/0!</v>
      </c>
      <c r="G75" s="48">
        <v>70000</v>
      </c>
      <c r="H75" s="67">
        <f t="shared" si="12"/>
        <v>0</v>
      </c>
      <c r="I75" s="68">
        <f t="shared" si="13"/>
        <v>0</v>
      </c>
    </row>
    <row r="76" spans="2:9" x14ac:dyDescent="0.25">
      <c r="B76" s="64">
        <f>0.75*$H$14</f>
        <v>0</v>
      </c>
      <c r="C76" s="65">
        <f t="shared" si="14"/>
        <v>0</v>
      </c>
      <c r="D76" s="48"/>
      <c r="E76" s="65">
        <f t="shared" si="10"/>
        <v>0</v>
      </c>
      <c r="F76" s="65" t="e">
        <f t="shared" si="11"/>
        <v>#DIV/0!</v>
      </c>
      <c r="G76" s="48">
        <v>75000</v>
      </c>
      <c r="H76" s="67">
        <f t="shared" si="12"/>
        <v>0</v>
      </c>
      <c r="I76" s="68">
        <f t="shared" si="13"/>
        <v>0</v>
      </c>
    </row>
    <row r="77" spans="2:9" x14ac:dyDescent="0.25">
      <c r="B77" s="64">
        <f>0.8*$H$14</f>
        <v>0</v>
      </c>
      <c r="C77" s="65">
        <f t="shared" si="14"/>
        <v>0</v>
      </c>
      <c r="D77" s="48"/>
      <c r="E77" s="65">
        <f t="shared" si="10"/>
        <v>0</v>
      </c>
      <c r="F77" s="65" t="e">
        <f t="shared" si="11"/>
        <v>#DIV/0!</v>
      </c>
      <c r="G77" s="48">
        <v>80000</v>
      </c>
      <c r="H77" s="67">
        <f t="shared" si="12"/>
        <v>0</v>
      </c>
      <c r="I77" s="68">
        <f t="shared" si="13"/>
        <v>0</v>
      </c>
    </row>
    <row r="78" spans="2:9" x14ac:dyDescent="0.25">
      <c r="B78" s="64">
        <f>0.85*$H$14</f>
        <v>0</v>
      </c>
      <c r="C78" s="65">
        <f t="shared" si="14"/>
        <v>0</v>
      </c>
      <c r="D78" s="48"/>
      <c r="E78" s="65">
        <f t="shared" si="10"/>
        <v>0</v>
      </c>
      <c r="F78" s="65" t="e">
        <f t="shared" si="11"/>
        <v>#DIV/0!</v>
      </c>
      <c r="G78" s="48">
        <v>85000</v>
      </c>
      <c r="H78" s="67">
        <f t="shared" si="12"/>
        <v>0</v>
      </c>
      <c r="I78" s="68">
        <f t="shared" si="13"/>
        <v>0</v>
      </c>
    </row>
    <row r="79" spans="2:9" x14ac:dyDescent="0.25">
      <c r="B79" s="64">
        <f>0.9*$H$14</f>
        <v>0</v>
      </c>
      <c r="C79" s="65">
        <f t="shared" si="14"/>
        <v>0</v>
      </c>
      <c r="D79" s="48"/>
      <c r="E79" s="65">
        <f t="shared" si="10"/>
        <v>0</v>
      </c>
      <c r="F79" s="65" t="e">
        <f t="shared" si="11"/>
        <v>#DIV/0!</v>
      </c>
      <c r="G79" s="48">
        <v>90000</v>
      </c>
      <c r="H79" s="67">
        <f t="shared" si="12"/>
        <v>0</v>
      </c>
      <c r="I79" s="68">
        <f t="shared" si="13"/>
        <v>0</v>
      </c>
    </row>
    <row r="80" spans="2:9" x14ac:dyDescent="0.25">
      <c r="B80" s="64">
        <f>0.95*$H$14</f>
        <v>0</v>
      </c>
      <c r="C80" s="65">
        <f t="shared" si="14"/>
        <v>0</v>
      </c>
      <c r="D80" s="48"/>
      <c r="E80" s="65">
        <f t="shared" si="10"/>
        <v>0</v>
      </c>
      <c r="F80" s="65" t="e">
        <f t="shared" si="11"/>
        <v>#DIV/0!</v>
      </c>
      <c r="G80" s="48">
        <v>95000</v>
      </c>
      <c r="H80" s="67">
        <f t="shared" si="12"/>
        <v>0</v>
      </c>
      <c r="I80" s="68">
        <f t="shared" si="13"/>
        <v>0</v>
      </c>
    </row>
    <row r="81" spans="2:9" x14ac:dyDescent="0.25">
      <c r="B81" s="64">
        <f>1*$H$14</f>
        <v>0</v>
      </c>
      <c r="C81" s="65">
        <f t="shared" si="14"/>
        <v>0</v>
      </c>
      <c r="D81" s="48"/>
      <c r="E81" s="65">
        <f t="shared" si="10"/>
        <v>0</v>
      </c>
      <c r="F81" s="65" t="e">
        <f t="shared" si="11"/>
        <v>#DIV/0!</v>
      </c>
      <c r="G81" s="48">
        <v>100000</v>
      </c>
      <c r="H81" s="67">
        <f t="shared" si="12"/>
        <v>0</v>
      </c>
      <c r="I81" s="68">
        <f t="shared" si="13"/>
        <v>0</v>
      </c>
    </row>
    <row r="82" spans="2:9" x14ac:dyDescent="0.25">
      <c r="G82" s="73" t="s">
        <v>167</v>
      </c>
    </row>
    <row r="83" spans="2:9" x14ac:dyDescent="0.25">
      <c r="F83" s="79"/>
      <c r="G83" s="73" t="s">
        <v>168</v>
      </c>
      <c r="H83" s="74"/>
    </row>
    <row r="84" spans="2:9" x14ac:dyDescent="0.25">
      <c r="B84" s="77"/>
      <c r="C84" s="75"/>
      <c r="D84" s="75"/>
      <c r="F84" s="69"/>
      <c r="G84" s="73" t="s">
        <v>169</v>
      </c>
      <c r="H84" s="74"/>
    </row>
    <row r="85" spans="2:9" x14ac:dyDescent="0.25">
      <c r="B85" s="77"/>
      <c r="C85" s="75"/>
      <c r="D85" s="75"/>
      <c r="E85" s="70"/>
      <c r="F85" s="69"/>
      <c r="G85" s="73" t="s">
        <v>170</v>
      </c>
      <c r="H85" s="41"/>
    </row>
    <row r="86" spans="2:9" x14ac:dyDescent="0.25">
      <c r="B86" s="2"/>
      <c r="C86" s="80"/>
      <c r="D86" s="76"/>
      <c r="F86" s="69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428625</xdr:colOff>
                <xdr:row>3</xdr:row>
                <xdr:rowOff>38100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3" r:id="rId8" name="cbECD">
          <controlPr defaultSize="0" autoFill="0" autoLine="0" r:id="rId9">
            <anchor moveWithCells="1">
              <from>
                <xdr:col>2</xdr:col>
                <xdr:colOff>28575</xdr:colOff>
                <xdr:row>6</xdr:row>
                <xdr:rowOff>19050</xdr:rowOff>
              </from>
              <to>
                <xdr:col>4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24583" r:id="rId8" name="cbEC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2019-01-23T13:00:04Z</dcterms:modified>
</cp:coreProperties>
</file>