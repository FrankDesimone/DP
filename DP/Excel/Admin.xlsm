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7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9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0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1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drawings/drawing12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BBA252B3-F4B8-47EA-BB9A-E4F498AE53F3}" xr6:coauthVersionLast="41" xr6:coauthVersionMax="41" xr10:uidLastSave="{00000000-0000-0000-0000-000000000000}"/>
  <bookViews>
    <workbookView xWindow="38280" yWindow="-1095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ML_HR" localSheetId="8">DPF!$C$13:$C$14</definedName>
    <definedName name="Note" localSheetId="7">ECD!$A$1</definedName>
    <definedName name="Note" localSheetId="6">Manufacturer!$A$1</definedName>
    <definedName name="NoteCompany">Company!$F$5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<sst xmlns="http://schemas.openxmlformats.org/spreadsheetml/2006/main" count="414" uniqueCount="243">
  <si>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</si>
  <si>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</si>
  <si>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</si>
  <si>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</si>
  <si>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</si>
  <si>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</si>
  <si>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</si>
  <si>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</si>
  <si>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</si>
  <si>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</si>
  <si>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</si>
  <si>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</si>
  <si>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</si>
  <si>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</si>
  <si>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</si>
  <si>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</si>
  <si>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</si>
  <si>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</si>
  <si>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</si>
  <si>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</si>
  <si>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</si>
  <si>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</si>
  <si>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</si>
  <si>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</si>
  <si>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</si>
  <si>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</si>
  <si>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</si>
  <si>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</si>
  <si>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</si>
  <si>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</si>
  <si>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</si>
  <si>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</si>
  <si>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</si>
  <si>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</si>
  <si>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</si>
  <si>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</si>
  <si>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</si>
  <si>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</si>
  <si>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</si>
  <si>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</si>
  <si>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</si>
  <si>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</si>
  <si>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</si>
  <si>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</si>
  <si>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</si>
  <si>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</si>
  <si>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</si>
  <si>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</si>
  <si>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</si>
  <si>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</si>
  <si>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</si>
  <si>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</si>
  <si>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</si>
  <si>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</si>
  <si>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</si>
  <si>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</si>
  <si>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</si>
  <si>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</si>
  <si>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</si>
  <si>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</si>
  <si>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</si>
  <si>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</si>
  <si>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</si>
  <si>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</si>
  <si>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</si>
  <si>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</si>
  <si>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</si>
  <si>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</si>
  <si>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</si>
  <si>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</si>
  <si>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</si>
  <si>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</si>
  <si>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</si>
  <si>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</si>
  <si>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</si>
  <si>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</si>
  <si>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</si>
  <si>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</si>
  <si>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</si>
  <si>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</si>
  <si>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</si>
  <si>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</si>
  <si>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</si>
  <si>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</si>
  <si>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</si>
  <si>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</si>
  <si>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</si>
  <si>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</si>
  <si>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</si>
  <si>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</si>
  <si>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</si>
  <si>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</si>
  <si>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</si>
  <si>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</si>
  <si>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</si>
  <si>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</si>
  <si>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</si>
  <si>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</si>
  <si>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</si>
  <si>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</si>
  <si>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</si>
  <si>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</si>
  <si>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</si>
  <si>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</si>
  <si>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</si>
  <si>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</si>
  <si>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</si>
  <si>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</si>
  <si>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</si>
  <si>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</si>
  <si>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</si>
  <si>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</si>
  <si>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</si>
  <si>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</si>
  <si>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</si>
  <si>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</si>
  <si>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</si>
  <si>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</si>
  <si>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</si>
  <si>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</si>
  <si>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</si>
  <si>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</si>
  <si>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</si>
  <si>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</si>
  <si>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</si>
  <si>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</si>
  <si>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</si>
  <si>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</si>
  <si>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</si>
  <si>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</si>
  <si>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</si>
  <si>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</si>
  <si>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</si>
  <si>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</si>
  <si>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</si>
  <si>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</si>
  <si>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</si>
  <si>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</si>
  <si>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</si>
  <si>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</si>
  <si>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</si>
  <si>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</si>
  <si>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</si>
  <si>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</si>
  <si>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</si>
  <si>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</si>
  <si>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</si>
  <si>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</si>
  <si>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</si>
  <si>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</si>
  <si>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</si>
  <si>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</si>
  <si>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</si>
  <si>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</si>
  <si>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</si>
  <si>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</si>
  <si>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</si>
  <si>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</si>
  <si>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</si>
  <si>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</si>
  <si>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</si>
  <si>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</si>
  <si>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</si>
  <si>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</si>
  <si>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</si>
  <si>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</si>
  <si>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</si>
  <si>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</si>
  <si>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</si>
  <si>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</si>
  <si>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</si>
  <si>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</si>
  <si>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</si>
  <si>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</si>
  <si>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</si>
  <si>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</si>
  <si>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</si>
  <si>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</si>
  <si>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</si>
  <si>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</si>
  <si>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</si>
  <si>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</si>
  <si>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</si>
  <si>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</si>
  <si>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</si>
  <si>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</si>
  <si>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</si>
  <si>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</si>
  <si>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</si>
  <si>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</si>
  <si>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</si>
  <si>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</si>
  <si>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</si>
  <si>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</si>
  <si>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</si>
  <si>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</si>
  <si>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</si>
  <si>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</si>
  <si>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</si>
  <si>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</si>
  <si>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</si>
  <si>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</si>
  <si>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</si>
  <si>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</si>
  <si>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>a11234 / a1234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</si>
  <si>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</si>
  <si>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</si>
  <si>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</si>
  <si>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</si>
  <si>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</si>
  <si>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</si>
  <si>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</si>
  <si>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</si>
  <si>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</si>
  <si>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</si>
  <si>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</si>
  <si>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</si>
  <si>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</si>
  <si>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</si>
  <si>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</si>
  <si>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</si>
  <si>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</si>
  <si>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</si>
  <si>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</si>
  <si>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</si>
  <si>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</si>
  <si>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</si>
  <si>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</si>
  <si>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</si>
  <si>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</si>
  <si>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</si>
  <si>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</si>
  <si>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</si>
  <si>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</si>
  <si>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</si>
  <si>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</si>
  <si>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</si>
  <si>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</si>
  <si>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</si>
  <si>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</si>
  <si>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</si>
  <si>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</si>
  <si>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Record Saved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</si>
</sst>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1" xfId="0" applyNumberFormat="1" applyFill="1" applyBorder="1" applyAlignment="1">
      <alignment horizontal="right"/>
    </xf>
    <xf numFmtId="0" fontId="0" fillId="3" borderId="1" xfId="0" applyFill="1" applyBorder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7.emf"/><Relationship Id="rId7" Type="http://schemas.openxmlformats.org/officeDocument/2006/relationships/image" Target="../media/image14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6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5" Type="http://schemas.openxmlformats.org/officeDocument/2006/relationships/image" Target="../media/image38.emf"/><Relationship Id="rId4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6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53.emf"/><Relationship Id="rId3" Type="http://schemas.openxmlformats.org/officeDocument/2006/relationships/image" Target="../media/image54.emf"/><Relationship Id="rId7" Type="http://schemas.openxmlformats.org/officeDocument/2006/relationships/image" Target="../media/image60.emf"/><Relationship Id="rId12" Type="http://schemas.openxmlformats.org/officeDocument/2006/relationships/image" Target="../media/image65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6" Type="http://schemas.openxmlformats.org/officeDocument/2006/relationships/image" Target="../media/image59.emf"/><Relationship Id="rId11" Type="http://schemas.openxmlformats.org/officeDocument/2006/relationships/image" Target="../media/image64.emf"/><Relationship Id="rId5" Type="http://schemas.openxmlformats.org/officeDocument/2006/relationships/image" Target="../media/image58.emf"/><Relationship Id="rId15" Type="http://schemas.openxmlformats.org/officeDocument/2006/relationships/image" Target="../media/image67.emf"/><Relationship Id="rId10" Type="http://schemas.openxmlformats.org/officeDocument/2006/relationships/image" Target="../media/image63.emf"/><Relationship Id="rId4" Type="http://schemas.openxmlformats.org/officeDocument/2006/relationships/image" Target="../media/image57.emf"/><Relationship Id="rId9" Type="http://schemas.openxmlformats.org/officeDocument/2006/relationships/image" Target="../media/image62.emf"/><Relationship Id="rId14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4" Type="http://schemas.openxmlformats.org/officeDocument/2006/relationships/image" Target="../media/image7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13" Type="http://schemas.openxmlformats.org/officeDocument/2006/relationships/image" Target="../media/image72.emf"/><Relationship Id="rId3" Type="http://schemas.openxmlformats.org/officeDocument/2006/relationships/image" Target="../media/image82.emf"/><Relationship Id="rId7" Type="http://schemas.openxmlformats.org/officeDocument/2006/relationships/image" Target="../media/image78.emf"/><Relationship Id="rId12" Type="http://schemas.openxmlformats.org/officeDocument/2006/relationships/image" Target="../media/image73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6" Type="http://schemas.openxmlformats.org/officeDocument/2006/relationships/image" Target="../media/image79.emf"/><Relationship Id="rId11" Type="http://schemas.openxmlformats.org/officeDocument/2006/relationships/image" Target="../media/image74.emf"/><Relationship Id="rId5" Type="http://schemas.openxmlformats.org/officeDocument/2006/relationships/image" Target="../media/image80.emf"/><Relationship Id="rId10" Type="http://schemas.openxmlformats.org/officeDocument/2006/relationships/image" Target="../media/image75.emf"/><Relationship Id="rId4" Type="http://schemas.openxmlformats.org/officeDocument/2006/relationships/image" Target="../media/image81.emf"/><Relationship Id="rId9" Type="http://schemas.openxmlformats.org/officeDocument/2006/relationships/image" Target="../media/image7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476250</xdr:colOff>
          <xdr:row>4</xdr:row>
          <xdr:rowOff>171450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476250</xdr:colOff>
          <xdr:row>10</xdr:row>
          <xdr:rowOff>57150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476250</xdr:colOff>
          <xdr:row>13</xdr:row>
          <xdr:rowOff>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5</xdr:row>
          <xdr:rowOff>19050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13</xdr:row>
          <xdr:rowOff>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66675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476250</xdr:colOff>
          <xdr:row>7</xdr:row>
          <xdr:rowOff>133350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180975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190500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285750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19050</xdr:rowOff>
        </xdr:from>
        <xdr:to>
          <xdr:col>5</xdr:col>
          <xdr:colOff>1400175</xdr:colOff>
          <xdr:row>5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285750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285750</xdr:rowOff>
        </xdr:to>
        <xdr:sp macro="" textlink="">
          <xdr:nvSpPr>
            <xdr:cNvPr id="3081" name="CommandButton2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285750</xdr:rowOff>
        </xdr:to>
        <xdr:sp macro="" textlink="">
          <xdr:nvSpPr>
            <xdr:cNvPr id="3082" name="CommandButton3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1</xdr:col>
          <xdr:colOff>3086100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352425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3086100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1</xdr:col>
          <xdr:colOff>3086100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361950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1</xdr:col>
          <xdr:colOff>3086100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361950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323850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1543050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1</xdr:col>
          <xdr:colOff>1543050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666750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1</xdr:col>
          <xdr:colOff>1543050</xdr:colOff>
          <xdr:row>2</xdr:row>
          <xdr:rowOff>361950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666750</xdr:colOff>
          <xdr:row>3</xdr:row>
          <xdr:rowOff>276225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3219450</xdr:colOff>
          <xdr:row>1</xdr:row>
          <xdr:rowOff>361950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361950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3105150</xdr:colOff>
          <xdr:row>9</xdr:row>
          <xdr:rowOff>361950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6</xdr:col>
          <xdr:colOff>247650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9525</xdr:rowOff>
        </xdr:from>
        <xdr:to>
          <xdr:col>6</xdr:col>
          <xdr:colOff>247650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9525</xdr:rowOff>
        </xdr:from>
        <xdr:to>
          <xdr:col>6</xdr:col>
          <xdr:colOff>247650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6</xdr:col>
          <xdr:colOff>247650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9525</xdr:rowOff>
        </xdr:from>
        <xdr:to>
          <xdr:col>6</xdr:col>
          <xdr:colOff>247650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9525</xdr:rowOff>
        </xdr:from>
        <xdr:to>
          <xdr:col>6</xdr:col>
          <xdr:colOff>247650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9525</xdr:rowOff>
        </xdr:from>
        <xdr:to>
          <xdr:col>6</xdr:col>
          <xdr:colOff>247650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6</xdr:col>
          <xdr:colOff>247650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19050</xdr:rowOff>
        </xdr:from>
        <xdr:to>
          <xdr:col>6</xdr:col>
          <xdr:colOff>247650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85725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6</xdr:col>
          <xdr:colOff>247650</xdr:colOff>
          <xdr:row>4</xdr:row>
          <xdr:rowOff>19050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6</xdr:col>
          <xdr:colOff>247650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133350</xdr:colOff>
          <xdr:row>3</xdr:row>
          <xdr:rowOff>47625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114300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161925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228600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8</xdr:col>
          <xdr:colOff>1143000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8</xdr:col>
          <xdr:colOff>1143000</xdr:colOff>
          <xdr:row>5</xdr:row>
          <xdr:rowOff>19050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8</xdr:col>
          <xdr:colOff>1143000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8</xdr:col>
          <xdr:colOff>1143000</xdr:colOff>
          <xdr:row>8</xdr:row>
          <xdr:rowOff>19050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1143000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8</xdr:col>
          <xdr:colOff>1143000</xdr:colOff>
          <xdr:row>11</xdr:row>
          <xdr:rowOff>19050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228600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3</xdr:row>
          <xdr:rowOff>9525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247650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66675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9.emf"/><Relationship Id="rId12" Type="http://schemas.openxmlformats.org/officeDocument/2006/relationships/control" Target="../activeX/activeX4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image" Target="../media/image5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control" Target="../activeX/activeX59.xml"/><Relationship Id="rId18" Type="http://schemas.openxmlformats.org/officeDocument/2006/relationships/control" Target="../activeX/activeX62.xml"/><Relationship Id="rId26" Type="http://schemas.openxmlformats.org/officeDocument/2006/relationships/control" Target="../activeX/activeX66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9.emf"/><Relationship Id="rId34" Type="http://schemas.openxmlformats.org/officeDocument/2006/relationships/control" Target="../activeX/activeX70.xml"/><Relationship Id="rId7" Type="http://schemas.openxmlformats.org/officeDocument/2006/relationships/image" Target="../media/image54.emf"/><Relationship Id="rId12" Type="http://schemas.openxmlformats.org/officeDocument/2006/relationships/control" Target="../activeX/activeX58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33" Type="http://schemas.openxmlformats.org/officeDocument/2006/relationships/image" Target="../media/image6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1.xml"/><Relationship Id="rId20" Type="http://schemas.openxmlformats.org/officeDocument/2006/relationships/control" Target="../activeX/activeX63.xml"/><Relationship Id="rId29" Type="http://schemas.openxmlformats.org/officeDocument/2006/relationships/image" Target="../media/image63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control" Target="../activeX/activeX57.xml"/><Relationship Id="rId24" Type="http://schemas.openxmlformats.org/officeDocument/2006/relationships/control" Target="../activeX/activeX65.xml"/><Relationship Id="rId32" Type="http://schemas.openxmlformats.org/officeDocument/2006/relationships/control" Target="../activeX/activeX69.xml"/><Relationship Id="rId37" Type="http://schemas.openxmlformats.org/officeDocument/2006/relationships/image" Target="../media/image67.emf"/><Relationship Id="rId5" Type="http://schemas.openxmlformats.org/officeDocument/2006/relationships/image" Target="../media/image53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67.xml"/><Relationship Id="rId36" Type="http://schemas.openxmlformats.org/officeDocument/2006/relationships/control" Target="../activeX/activeX71.xml"/><Relationship Id="rId10" Type="http://schemas.openxmlformats.org/officeDocument/2006/relationships/control" Target="../activeX/activeX56.xml"/><Relationship Id="rId19" Type="http://schemas.openxmlformats.org/officeDocument/2006/relationships/image" Target="../media/image58.emf"/><Relationship Id="rId31" Type="http://schemas.openxmlformats.org/officeDocument/2006/relationships/image" Target="../media/image64.emf"/><Relationship Id="rId4" Type="http://schemas.openxmlformats.org/officeDocument/2006/relationships/control" Target="../activeX/activeX53.xml"/><Relationship Id="rId9" Type="http://schemas.openxmlformats.org/officeDocument/2006/relationships/image" Target="../media/image55.emf"/><Relationship Id="rId14" Type="http://schemas.openxmlformats.org/officeDocument/2006/relationships/control" Target="../activeX/activeX60.xml"/><Relationship Id="rId22" Type="http://schemas.openxmlformats.org/officeDocument/2006/relationships/control" Target="../activeX/activeX64.xml"/><Relationship Id="rId27" Type="http://schemas.openxmlformats.org/officeDocument/2006/relationships/image" Target="../media/image62.emf"/><Relationship Id="rId30" Type="http://schemas.openxmlformats.org/officeDocument/2006/relationships/control" Target="../activeX/activeX68.xml"/><Relationship Id="rId35" Type="http://schemas.openxmlformats.org/officeDocument/2006/relationships/image" Target="../media/image66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3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13" Type="http://schemas.openxmlformats.org/officeDocument/2006/relationships/image" Target="../media/image75.emf"/><Relationship Id="rId18" Type="http://schemas.openxmlformats.org/officeDocument/2006/relationships/control" Target="../activeX/activeX84.xml"/><Relationship Id="rId26" Type="http://schemas.openxmlformats.org/officeDocument/2006/relationships/control" Target="../activeX/activeX88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9.emf"/><Relationship Id="rId34" Type="http://schemas.openxmlformats.org/officeDocument/2006/relationships/control" Target="../activeX/activeX93.xml"/><Relationship Id="rId7" Type="http://schemas.openxmlformats.org/officeDocument/2006/relationships/image" Target="../media/image73.emf"/><Relationship Id="rId12" Type="http://schemas.openxmlformats.org/officeDocument/2006/relationships/control" Target="../activeX/activeX81.xml"/><Relationship Id="rId17" Type="http://schemas.openxmlformats.org/officeDocument/2006/relationships/image" Target="../media/image77.emf"/><Relationship Id="rId25" Type="http://schemas.openxmlformats.org/officeDocument/2006/relationships/image" Target="../media/image81.emf"/><Relationship Id="rId33" Type="http://schemas.openxmlformats.org/officeDocument/2006/relationships/control" Target="../activeX/activeX92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3.xml"/><Relationship Id="rId20" Type="http://schemas.openxmlformats.org/officeDocument/2006/relationships/control" Target="../activeX/activeX85.xml"/><Relationship Id="rId29" Type="http://schemas.openxmlformats.org/officeDocument/2006/relationships/image" Target="../media/image83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7.xml"/><Relationship Id="rId11" Type="http://schemas.openxmlformats.org/officeDocument/2006/relationships/control" Target="../activeX/activeX80.xml"/><Relationship Id="rId24" Type="http://schemas.openxmlformats.org/officeDocument/2006/relationships/control" Target="../activeX/activeX87.xml"/><Relationship Id="rId32" Type="http://schemas.openxmlformats.org/officeDocument/2006/relationships/control" Target="../activeX/activeX91.xml"/><Relationship Id="rId5" Type="http://schemas.openxmlformats.org/officeDocument/2006/relationships/image" Target="../media/image72.emf"/><Relationship Id="rId15" Type="http://schemas.openxmlformats.org/officeDocument/2006/relationships/image" Target="../media/image76.emf"/><Relationship Id="rId23" Type="http://schemas.openxmlformats.org/officeDocument/2006/relationships/image" Target="../media/image80.emf"/><Relationship Id="rId28" Type="http://schemas.openxmlformats.org/officeDocument/2006/relationships/control" Target="../activeX/activeX89.xml"/><Relationship Id="rId10" Type="http://schemas.openxmlformats.org/officeDocument/2006/relationships/control" Target="../activeX/activeX79.xml"/><Relationship Id="rId19" Type="http://schemas.openxmlformats.org/officeDocument/2006/relationships/image" Target="../media/image78.emf"/><Relationship Id="rId31" Type="http://schemas.openxmlformats.org/officeDocument/2006/relationships/image" Target="../media/image84.emf"/><Relationship Id="rId4" Type="http://schemas.openxmlformats.org/officeDocument/2006/relationships/control" Target="../activeX/activeX76.xml"/><Relationship Id="rId9" Type="http://schemas.openxmlformats.org/officeDocument/2006/relationships/image" Target="../media/image74.emf"/><Relationship Id="rId14" Type="http://schemas.openxmlformats.org/officeDocument/2006/relationships/control" Target="../activeX/activeX82.xml"/><Relationship Id="rId22" Type="http://schemas.openxmlformats.org/officeDocument/2006/relationships/control" Target="../activeX/activeX86.xml"/><Relationship Id="rId27" Type="http://schemas.openxmlformats.org/officeDocument/2006/relationships/image" Target="../media/image82.emf"/><Relationship Id="rId30" Type="http://schemas.openxmlformats.org/officeDocument/2006/relationships/control" Target="../activeX/activeX9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5.xml"/><Relationship Id="rId5" Type="http://schemas.openxmlformats.org/officeDocument/2006/relationships/image" Target="../media/image85.emf"/><Relationship Id="rId4" Type="http://schemas.openxmlformats.org/officeDocument/2006/relationships/control" Target="../activeX/activeX94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sqref="A1:XFD1048576"/>
    </sheetView>
  </sheetViews>
  <sheetFormatPr defaultRowHeight="15" x14ac:dyDescent="0.25"/>
  <cols>
    <col min="2" max="2" width="4.140625" customWidth="1"/>
    <col min="11" max="11" width="7.5703125" customWidth="1"/>
  </cols>
  <sheetData>
    <row r="3" spans="2:11" x14ac:dyDescent="0.25">
      <c r="B3" s="48"/>
      <c r="C3" s="49"/>
      <c r="D3" s="49"/>
      <c r="E3" s="49"/>
      <c r="F3" s="67"/>
      <c r="G3" s="67"/>
      <c r="H3" s="67"/>
      <c r="I3" s="67"/>
      <c r="J3" s="67"/>
      <c r="K3" s="68"/>
    </row>
    <row r="4" spans="2:11" x14ac:dyDescent="0.25">
      <c r="B4" s="50"/>
      <c r="C4" s="51"/>
      <c r="D4" s="51"/>
      <c r="E4" s="51"/>
      <c r="F4" s="69"/>
      <c r="G4" s="69"/>
      <c r="H4" s="69"/>
      <c r="I4" s="69"/>
      <c r="J4" s="69"/>
      <c r="K4" s="70"/>
    </row>
    <row r="5" spans="2:11" x14ac:dyDescent="0.25">
      <c r="B5" s="50"/>
      <c r="C5" s="51"/>
      <c r="D5" s="51"/>
      <c r="E5" s="51"/>
      <c r="F5" s="69"/>
      <c r="G5" s="69"/>
      <c r="H5" s="69"/>
      <c r="I5" s="69"/>
      <c r="J5" s="69"/>
      <c r="K5" s="70"/>
    </row>
    <row r="6" spans="2:11" x14ac:dyDescent="0.25">
      <c r="B6" s="50"/>
      <c r="C6" s="51"/>
      <c r="D6" s="51"/>
      <c r="E6" s="51"/>
      <c r="F6" s="69"/>
      <c r="G6" s="69"/>
      <c r="H6" s="69"/>
      <c r="I6" s="69"/>
      <c r="J6" s="69"/>
      <c r="K6" s="70"/>
    </row>
    <row r="7" spans="2:11" x14ac:dyDescent="0.25">
      <c r="B7" s="50"/>
      <c r="C7" s="51"/>
      <c r="D7" s="51"/>
      <c r="E7" s="51"/>
      <c r="F7" s="69"/>
      <c r="G7" s="69"/>
      <c r="H7" s="69"/>
      <c r="I7" s="69"/>
      <c r="J7" s="69"/>
      <c r="K7" s="70"/>
    </row>
    <row r="8" spans="2:11" x14ac:dyDescent="0.25">
      <c r="B8" s="50"/>
      <c r="C8" s="51"/>
      <c r="D8" s="51"/>
      <c r="E8" s="51"/>
      <c r="F8" s="69"/>
      <c r="G8" s="69"/>
      <c r="H8" s="69"/>
      <c r="I8" s="69"/>
      <c r="J8" s="69"/>
      <c r="K8" s="70"/>
    </row>
    <row r="9" spans="2:11" x14ac:dyDescent="0.25">
      <c r="B9" s="50"/>
      <c r="C9" s="51"/>
      <c r="D9" s="51"/>
      <c r="E9" s="51"/>
      <c r="F9" s="69"/>
      <c r="G9" s="69"/>
      <c r="H9" s="69"/>
      <c r="I9" s="69"/>
      <c r="J9" s="69"/>
      <c r="K9" s="70"/>
    </row>
    <row r="10" spans="2:11" x14ac:dyDescent="0.25">
      <c r="B10" s="50"/>
      <c r="C10" s="51"/>
      <c r="D10" s="51"/>
      <c r="E10" s="51"/>
      <c r="F10" s="69"/>
      <c r="G10" s="69"/>
      <c r="H10" s="69"/>
      <c r="I10" s="69"/>
      <c r="J10" s="69"/>
      <c r="K10" s="70"/>
    </row>
    <row r="11" spans="2:11" x14ac:dyDescent="0.25">
      <c r="B11" s="50"/>
      <c r="C11" s="51"/>
      <c r="D11" s="51"/>
      <c r="E11" s="51"/>
      <c r="F11" s="69"/>
      <c r="G11" s="69"/>
      <c r="H11" s="69"/>
      <c r="I11" s="69"/>
      <c r="J11" s="69"/>
      <c r="K11" s="70"/>
    </row>
    <row r="12" spans="2:11" x14ac:dyDescent="0.25">
      <c r="B12" s="50"/>
      <c r="C12" s="51"/>
      <c r="D12" s="51"/>
      <c r="E12" s="51"/>
      <c r="F12" s="69"/>
      <c r="G12" s="69"/>
      <c r="H12" s="69"/>
      <c r="I12" s="69"/>
      <c r="J12" s="69"/>
      <c r="K12" s="70"/>
    </row>
    <row r="13" spans="2:11" x14ac:dyDescent="0.25">
      <c r="B13" s="50"/>
      <c r="C13" s="51"/>
      <c r="D13" s="51"/>
      <c r="E13" s="51"/>
      <c r="F13" s="69"/>
      <c r="G13" s="69"/>
      <c r="H13" s="69"/>
      <c r="I13" s="69"/>
      <c r="J13" s="69"/>
      <c r="K13" s="70"/>
    </row>
    <row r="14" spans="2:11" ht="9" customHeight="1" x14ac:dyDescent="0.25">
      <c r="B14" s="52"/>
      <c r="C14" s="53"/>
      <c r="D14" s="53"/>
      <c r="E14" s="53"/>
      <c r="F14" s="71"/>
      <c r="G14" s="71"/>
      <c r="H14" s="71"/>
      <c r="I14" s="71"/>
      <c r="J14" s="71"/>
      <c r="K14" s="72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autoPict="0" r:id="rId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180975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autoPict="0" altText="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autoPict="0" r:id="rId11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autoPict="0" r:id="rId2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190500</xdr:colOff>
                <xdr:row>12</xdr:row>
                <xdr:rowOff>152400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1"/>
  <sheetViews>
    <sheetView showGridLines="0" workbookViewId="0">
      <selection activeCell="B2" sqref="B2"/>
    </sheetView>
  </sheetViews>
  <sheetFormatPr defaultRowHeight="30" customHeight="1" x14ac:dyDescent="0.25"/>
  <cols>
    <col min="2" max="2" width="30.85546875" style="13" bestFit="1" customWidth="1"/>
    <col min="3" max="3" width="47.5703125" style="12" customWidth="1"/>
    <col min="6" max="6" width="32.5703125" customWidth="1"/>
  </cols>
  <sheetData>
    <row r="1" spans="2:6" ht="30" customHeight="1" x14ac:dyDescent="0.25">
      <c r="C1" s="11"/>
    </row>
    <row r="2" spans="2:6" ht="30" customHeight="1" x14ac:dyDescent="0.25">
      <c r="B2" s="14" t="s">
        <v>51</v>
      </c>
      <c r="C2" s="18"/>
    </row>
    <row r="3" spans="2:6" ht="30" customHeight="1" x14ac:dyDescent="0.25">
      <c r="B3" s="14" t="s">
        <v>51</v>
      </c>
      <c r="C3" s="18"/>
    </row>
    <row r="4" spans="2:6" ht="30" customHeight="1" x14ac:dyDescent="0.25">
      <c r="B4" s="14" t="s">
        <v>236</v>
      </c>
      <c r="C4" s="17"/>
      <c r="F4" s="54"/>
    </row>
    <row r="5" spans="2:6" ht="30" customHeight="1" x14ac:dyDescent="0.25">
      <c r="B5" s="14" t="s">
        <v>52</v>
      </c>
      <c r="C5" s="17"/>
      <c r="F5" s="57"/>
    </row>
    <row r="6" spans="2:6" ht="30" customHeight="1" x14ac:dyDescent="0.25">
      <c r="B6" s="14" t="s">
        <v>53</v>
      </c>
      <c r="C6" s="17"/>
    </row>
    <row r="7" spans="2:6" ht="30" customHeight="1" x14ac:dyDescent="0.25">
      <c r="B7" s="14" t="s">
        <v>54</v>
      </c>
      <c r="C7" s="17"/>
    </row>
    <row r="8" spans="2:6" ht="30" customHeight="1" x14ac:dyDescent="0.25">
      <c r="B8" s="14" t="s">
        <v>55</v>
      </c>
      <c r="C8" s="17"/>
    </row>
    <row r="9" spans="2:6" ht="30" customHeight="1" x14ac:dyDescent="0.25">
      <c r="B9" s="14" t="s">
        <v>56</v>
      </c>
      <c r="C9" s="17"/>
    </row>
    <row r="10" spans="2:6" ht="30" customHeight="1" x14ac:dyDescent="0.25">
      <c r="B10" s="14" t="s">
        <v>57</v>
      </c>
      <c r="C10" s="17"/>
    </row>
    <row r="11" spans="2:6" ht="30" customHeight="1" x14ac:dyDescent="0.25">
      <c r="B11" s="14" t="s">
        <v>201</v>
      </c>
      <c r="C11" s="17"/>
    </row>
  </sheetData>
  <sheetProtection selectLockedCells="1"/>
  <protectedRanges>
    <protectedRange sqref="F5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2" r:id="rId4" name="CommandButton3">
          <controlPr autoLine="0" r:id="rId5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2" r:id="rId4" name="CommandButton3"/>
      </mc:Fallback>
    </mc:AlternateContent>
    <mc:AlternateContent xmlns:mc="http://schemas.openxmlformats.org/markup-compatibility/2006">
      <mc:Choice Requires="x14">
        <control shapeId="3081" r:id="rId6" name="CommandButton2">
          <controlPr autoLine="0" r:id="rId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1" r:id="rId6" name="CommandButton2"/>
      </mc:Fallback>
    </mc:AlternateContent>
    <mc:AlternateContent xmlns:mc="http://schemas.openxmlformats.org/markup-compatibility/2006">
      <mc:Choice Requires="x14">
        <control shapeId="3080" r:id="rId8" name="CommandButton1">
          <controlPr autoLine="0" r:id="rId9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0" r:id="rId8" name="CommandButton1"/>
      </mc:Fallback>
    </mc:AlternateContent>
    <mc:AlternateContent xmlns:mc="http://schemas.openxmlformats.org/markup-compatibility/2006">
      <mc:Choice Requires="x14">
        <control shapeId="3079" r:id="rId10" name="cmdMenu">
          <controlPr autoLine="0" r:id="rId11">
            <anchor moveWithCells="1">
              <from>
                <xdr:col>5</xdr:col>
                <xdr:colOff>28575</xdr:colOff>
                <xdr:row>5</xdr:row>
                <xdr:rowOff>19050</xdr:rowOff>
              </from>
              <to>
                <xdr:col>5</xdr:col>
                <xdr:colOff>1400175</xdr:colOff>
                <xdr:row>5</xdr:row>
                <xdr:rowOff>342900</xdr:rowOff>
              </to>
            </anchor>
          </controlPr>
        </control>
      </mc:Choice>
      <mc:Fallback>
        <control shapeId="3079" r:id="rId10" name="cmdMenu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5" r:id="rId14" name="cbState">
          <controlPr autoLine="0" r:id="rId15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14" name="cbState"/>
      </mc:Fallback>
    </mc:AlternateContent>
    <mc:AlternateContent xmlns:mc="http://schemas.openxmlformats.org/markup-compatibility/2006">
      <mc:Choice Requires="x14">
        <control shapeId="3074" r:id="rId16" name="chkActive">
          <controlPr autoLine="0" autoPict="0" r:id="rId17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6" name="chkActive"/>
      </mc:Fallback>
    </mc:AlternateContent>
    <mc:AlternateContent xmlns:mc="http://schemas.openxmlformats.org/markup-compatibility/2006">
      <mc:Choice Requires="x14">
        <control shapeId="3073" r:id="rId18" name="cbCompany">
          <controlPr autoLine="0" r:id="rId19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18" name="cbCompany"/>
      </mc:Fallback>
    </mc:AlternateContent>
    <mc:AlternateContent xmlns:mc="http://schemas.openxmlformats.org/markup-compatibility/2006">
      <mc:Choice Requires="x14">
        <control shapeId="3078" r:id="rId20" name="cbCompContact">
          <controlPr autoLine="0" autoPict="0" r:id="rId21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20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2" customWidth="1"/>
    <col min="4" max="4" width="26.5703125" customWidth="1"/>
  </cols>
  <sheetData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31</v>
      </c>
      <c r="B3" s="18">
        <v>28</v>
      </c>
    </row>
    <row r="4" spans="1:4" ht="30" customHeight="1" x14ac:dyDescent="0.25">
      <c r="A4" s="6" t="s">
        <v>32</v>
      </c>
      <c r="B4" s="17"/>
      <c r="D4" s="57"/>
    </row>
    <row r="5" spans="1:4" ht="30" customHeight="1" x14ac:dyDescent="0.25">
      <c r="A5" s="6" t="s">
        <v>1</v>
      </c>
      <c r="B5" s="17"/>
    </row>
    <row r="6" spans="1:4" ht="30" customHeight="1" x14ac:dyDescent="0.25">
      <c r="A6" s="6" t="s">
        <v>30</v>
      </c>
      <c r="B6" s="17"/>
    </row>
    <row r="7" spans="1:4" ht="30" customHeight="1" x14ac:dyDescent="0.25">
      <c r="A7" s="6" t="s">
        <v>2</v>
      </c>
      <c r="B7" s="17"/>
    </row>
    <row r="8" spans="1:4" ht="30" customHeight="1" x14ac:dyDescent="0.25">
      <c r="A8" s="6" t="s">
        <v>3</v>
      </c>
      <c r="B8" s="17"/>
    </row>
    <row r="9" spans="1:4" ht="30" customHeight="1" x14ac:dyDescent="0.25">
      <c r="A9" s="6" t="s">
        <v>4</v>
      </c>
      <c r="B9" s="17"/>
    </row>
    <row r="10" spans="1:4" ht="30" customHeight="1" x14ac:dyDescent="0.25">
      <c r="A10" s="6" t="s">
        <v>195</v>
      </c>
      <c r="B10" s="17"/>
    </row>
    <row r="11" spans="1:4" ht="30" customHeight="1" x14ac:dyDescent="0.25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2" customWidth="1"/>
    <col min="4" max="4" width="35.5703125" customWidth="1"/>
  </cols>
  <sheetData>
    <row r="1" spans="1:7" ht="30" customHeight="1" x14ac:dyDescent="0.25">
      <c r="B1" s="11"/>
    </row>
    <row r="2" spans="1:7" ht="30" customHeight="1" x14ac:dyDescent="0.25">
      <c r="A2" s="6" t="s">
        <v>38</v>
      </c>
      <c r="B2" s="15"/>
    </row>
    <row r="3" spans="1:7" ht="30" customHeight="1" x14ac:dyDescent="0.25">
      <c r="A3" s="6" t="s">
        <v>49</v>
      </c>
      <c r="B3" s="18">
        <v>28</v>
      </c>
      <c r="D3" s="22"/>
      <c r="E3" s="21"/>
      <c r="F3" s="21"/>
      <c r="G3" s="21"/>
    </row>
    <row r="4" spans="1:7" ht="30" customHeight="1" x14ac:dyDescent="0.25">
      <c r="A4" s="6" t="s">
        <v>50</v>
      </c>
      <c r="B4" s="16"/>
    </row>
    <row r="5" spans="1:7" ht="30" customHeight="1" x14ac:dyDescent="0.25">
      <c r="A5" s="6" t="s">
        <v>5</v>
      </c>
      <c r="B5" s="17"/>
    </row>
    <row r="6" spans="1:7" ht="30" customHeight="1" x14ac:dyDescent="0.25">
      <c r="A6" s="6" t="s">
        <v>6</v>
      </c>
      <c r="B6" s="17"/>
    </row>
    <row r="7" spans="1:7" ht="30" customHeight="1" x14ac:dyDescent="0.25">
      <c r="A7" s="6" t="s">
        <v>1</v>
      </c>
      <c r="B7" s="17"/>
    </row>
    <row r="8" spans="1:7" ht="30" customHeight="1" x14ac:dyDescent="0.25">
      <c r="A8" s="6" t="s">
        <v>30</v>
      </c>
      <c r="B8" s="17"/>
    </row>
    <row r="9" spans="1:7" ht="30" customHeight="1" x14ac:dyDescent="0.25">
      <c r="A9" s="6" t="s">
        <v>2</v>
      </c>
      <c r="B9" s="17"/>
    </row>
    <row r="10" spans="1:7" ht="30" customHeight="1" x14ac:dyDescent="0.25">
      <c r="A10" s="6" t="s">
        <v>3</v>
      </c>
      <c r="B10" s="17"/>
    </row>
    <row r="11" spans="1:7" ht="30" customHeight="1" x14ac:dyDescent="0.25">
      <c r="A11" s="6" t="s">
        <v>4</v>
      </c>
      <c r="B11" s="17"/>
    </row>
    <row r="12" spans="1:7" ht="30" customHeight="1" x14ac:dyDescent="0.25">
      <c r="A12" s="6" t="s">
        <v>47</v>
      </c>
      <c r="B12" s="20"/>
    </row>
    <row r="13" spans="1:7" ht="30" customHeight="1" x14ac:dyDescent="0.25">
      <c r="A13" s="6" t="s">
        <v>48</v>
      </c>
      <c r="B13" s="17"/>
    </row>
    <row r="14" spans="1:7" ht="30" customHeight="1" x14ac:dyDescent="0.25">
      <c r="A14" s="6" t="s">
        <v>29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11" sqref="B11"/>
    </sheetView>
  </sheetViews>
  <sheetFormatPr defaultRowHeight="30" customHeight="1" x14ac:dyDescent="0.25"/>
  <cols>
    <col min="1" max="1" width="30.85546875" bestFit="1" customWidth="1"/>
    <col min="2" max="2" width="46" style="12" customWidth="1"/>
    <col min="4" max="4" width="23.42578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33</v>
      </c>
      <c r="B3" s="18">
        <v>28</v>
      </c>
      <c r="D3" s="57"/>
    </row>
    <row r="4" spans="1:4" ht="30" customHeight="1" x14ac:dyDescent="0.25">
      <c r="A4" s="6" t="s">
        <v>200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35</v>
      </c>
      <c r="B6" s="17"/>
    </row>
    <row r="7" spans="1:4" ht="30" customHeight="1" x14ac:dyDescent="0.25">
      <c r="A7" s="6" t="s">
        <v>10</v>
      </c>
      <c r="B7" s="17"/>
    </row>
    <row r="8" spans="1:4" ht="30" customHeight="1" x14ac:dyDescent="0.25">
      <c r="A8" s="6" t="s">
        <v>11</v>
      </c>
      <c r="B8" s="17"/>
    </row>
    <row r="9" spans="1:4" ht="30" customHeight="1" x14ac:dyDescent="0.25">
      <c r="A9" s="6" t="s">
        <v>12</v>
      </c>
      <c r="B9" s="17"/>
    </row>
    <row r="10" spans="1:4" ht="30" customHeight="1" x14ac:dyDescent="0.25">
      <c r="A10" s="6" t="s">
        <v>240</v>
      </c>
      <c r="B10" s="17"/>
    </row>
    <row r="11" spans="1:4" ht="30" customHeight="1" x14ac:dyDescent="0.25">
      <c r="A11" s="6" t="s">
        <v>241</v>
      </c>
      <c r="B11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2" customWidth="1"/>
    <col min="3" max="3" width="6.5703125" customWidth="1"/>
    <col min="4" max="4" width="20.5703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39</v>
      </c>
      <c r="B3" s="18"/>
      <c r="D3" s="57"/>
    </row>
    <row r="4" spans="1:4" ht="30" customHeight="1" x14ac:dyDescent="0.25">
      <c r="A4" s="6" t="s">
        <v>40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10</v>
      </c>
      <c r="B6" s="17"/>
    </row>
    <row r="7" spans="1:4" ht="30" customHeight="1" x14ac:dyDescent="0.25">
      <c r="A7" s="6" t="s">
        <v>11</v>
      </c>
      <c r="B7" s="17"/>
    </row>
    <row r="8" spans="1:4" ht="30" customHeight="1" x14ac:dyDescent="0.25">
      <c r="A8" s="6" t="s">
        <v>12</v>
      </c>
      <c r="B8" s="55"/>
    </row>
    <row r="9" spans="1:4" ht="30" customHeight="1" x14ac:dyDescent="0.25">
      <c r="A9" s="6"/>
      <c r="B9" s="11"/>
    </row>
    <row r="10" spans="1:4" ht="30" customHeight="1" x14ac:dyDescent="0.25">
      <c r="A10" s="6"/>
      <c r="B10" s="11"/>
    </row>
    <row r="11" spans="1:4" ht="30" customHeight="1" x14ac:dyDescent="0.25">
      <c r="A11" s="6"/>
      <c r="B11" s="11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E5" sqref="E5"/>
    </sheetView>
  </sheetViews>
  <sheetFormatPr defaultRowHeight="30" customHeight="1" x14ac:dyDescent="0.25"/>
  <cols>
    <col min="1" max="1" width="30.85546875" bestFit="1" customWidth="1"/>
    <col min="2" max="2" width="47" style="12" customWidth="1"/>
  </cols>
  <sheetData>
    <row r="1" spans="1:2" ht="30" customHeight="1" x14ac:dyDescent="0.25">
      <c r="B1" s="11"/>
    </row>
    <row r="2" spans="1:2" ht="30" customHeight="1" x14ac:dyDescent="0.25">
      <c r="A2" s="4" t="s">
        <v>36</v>
      </c>
      <c r="B2" s="15"/>
    </row>
    <row r="3" spans="1:2" ht="30" customHeight="1" x14ac:dyDescent="0.25">
      <c r="A3" s="7" t="s">
        <v>37</v>
      </c>
      <c r="B3" s="16"/>
    </row>
    <row r="4" spans="1:2" ht="30" customHeight="1" x14ac:dyDescent="0.25">
      <c r="A4" s="6" t="s">
        <v>16</v>
      </c>
      <c r="B4" s="17"/>
    </row>
    <row r="5" spans="1:2" ht="30" customHeight="1" x14ac:dyDescent="0.25">
      <c r="A5" s="6"/>
      <c r="B5" s="11"/>
    </row>
    <row r="6" spans="1:2" ht="30" customHeight="1" x14ac:dyDescent="0.25">
      <c r="A6" s="6"/>
      <c r="B6" s="11"/>
    </row>
    <row r="7" spans="1:2" ht="30" customHeight="1" x14ac:dyDescent="0.25">
      <c r="A7" s="6"/>
      <c r="B7" s="11"/>
    </row>
    <row r="8" spans="1:2" ht="30" customHeight="1" x14ac:dyDescent="0.25">
      <c r="A8" s="6"/>
      <c r="B8" s="11"/>
    </row>
    <row r="9" spans="1:2" ht="30" customHeight="1" x14ac:dyDescent="0.25">
      <c r="A9" s="6"/>
      <c r="B9" s="11"/>
    </row>
    <row r="10" spans="1:2" ht="30" customHeight="1" x14ac:dyDescent="0.25">
      <c r="A10" s="6"/>
      <c r="B10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2" customWidth="1"/>
    <col min="5" max="5" width="22" customWidth="1"/>
  </cols>
  <sheetData>
    <row r="1" spans="1:5" ht="30" customHeight="1" x14ac:dyDescent="0.25">
      <c r="B1" s="11"/>
    </row>
    <row r="2" spans="1:5" ht="30" customHeight="1" x14ac:dyDescent="0.25">
      <c r="A2" s="4" t="s">
        <v>38</v>
      </c>
      <c r="B2" s="15"/>
    </row>
    <row r="3" spans="1:5" ht="30" customHeight="1" x14ac:dyDescent="0.25">
      <c r="A3" s="4" t="s">
        <v>41</v>
      </c>
      <c r="B3" s="18">
        <v>28</v>
      </c>
      <c r="E3" s="57"/>
    </row>
    <row r="4" spans="1:5" ht="30" customHeight="1" x14ac:dyDescent="0.25">
      <c r="A4" s="7" t="s">
        <v>42</v>
      </c>
      <c r="B4" s="16"/>
    </row>
    <row r="5" spans="1:5" ht="30" customHeight="1" x14ac:dyDescent="0.25">
      <c r="A5" s="6" t="s">
        <v>43</v>
      </c>
      <c r="B5" s="17"/>
    </row>
    <row r="6" spans="1:5" ht="30" customHeight="1" x14ac:dyDescent="0.25">
      <c r="A6" s="6" t="s">
        <v>16</v>
      </c>
      <c r="B6" s="17"/>
    </row>
    <row r="7" spans="1:5" ht="30" customHeight="1" x14ac:dyDescent="0.25">
      <c r="A7" s="6" t="s">
        <v>44</v>
      </c>
      <c r="B7" s="17"/>
    </row>
    <row r="8" spans="1:5" ht="30" customHeight="1" x14ac:dyDescent="0.25">
      <c r="A8" s="6" t="s">
        <v>45</v>
      </c>
      <c r="B8" s="17"/>
    </row>
    <row r="9" spans="1:5" ht="30" customHeight="1" x14ac:dyDescent="0.25">
      <c r="A9" s="6" t="s">
        <v>15</v>
      </c>
      <c r="B9" s="17"/>
    </row>
    <row r="10" spans="1:5" ht="30" customHeight="1" x14ac:dyDescent="0.25">
      <c r="A10" s="6" t="s">
        <v>46</v>
      </c>
      <c r="B10" s="17"/>
    </row>
    <row r="11" spans="1:5" ht="30" customHeight="1" x14ac:dyDescent="0.25">
      <c r="A11" s="6" t="s">
        <v>17</v>
      </c>
      <c r="B11" s="17"/>
    </row>
    <row r="12" spans="1:5" ht="30" customHeight="1" x14ac:dyDescent="0.25">
      <c r="A12" s="6" t="s">
        <v>18</v>
      </c>
      <c r="B12" s="19"/>
    </row>
    <row r="13" spans="1:5" ht="30" customHeight="1" x14ac:dyDescent="0.25">
      <c r="A13" s="6" t="s">
        <v>19</v>
      </c>
      <c r="B13" s="19"/>
    </row>
    <row r="14" spans="1:5" ht="30" customHeight="1" x14ac:dyDescent="0.25">
      <c r="A14" s="6" t="s">
        <v>20</v>
      </c>
      <c r="B14" s="19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3:M28"/>
  <sheetViews>
    <sheetView showGridLines="0" tabSelected="1" workbookViewId="0">
      <selection activeCell="O9" sqref="O9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3" spans="2:13" ht="18" customHeight="1" x14ac:dyDescent="0.25">
      <c r="B3" s="6" t="s">
        <v>0</v>
      </c>
    </row>
    <row r="4" spans="2:13" ht="18" customHeight="1" x14ac:dyDescent="0.3">
      <c r="B4" s="6" t="s">
        <v>205</v>
      </c>
      <c r="H4" s="66" t="s">
        <v>242</v>
      </c>
    </row>
    <row r="5" spans="2:13" ht="18" customHeight="1" x14ac:dyDescent="0.25">
      <c r="B5" s="6" t="s">
        <v>209</v>
      </c>
      <c r="C5" s="2"/>
      <c r="M5" s="6"/>
    </row>
    <row r="6" spans="2:13" ht="18" customHeight="1" x14ac:dyDescent="0.25">
      <c r="B6" s="6" t="s">
        <v>7</v>
      </c>
      <c r="C6" s="3"/>
      <c r="M6" s="6"/>
    </row>
    <row r="7" spans="2:13" ht="18" customHeight="1" x14ac:dyDescent="0.25">
      <c r="B7" s="6" t="s">
        <v>237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210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14</v>
      </c>
      <c r="C12" s="2"/>
    </row>
    <row r="13" spans="2:13" ht="18" customHeight="1" x14ac:dyDescent="0.25">
      <c r="B13" s="6" t="s">
        <v>238</v>
      </c>
      <c r="C13" s="76"/>
      <c r="K13" s="13"/>
    </row>
    <row r="14" spans="2:13" ht="18" customHeight="1" x14ac:dyDescent="0.25">
      <c r="B14" s="6" t="s">
        <v>239</v>
      </c>
      <c r="C14" s="77"/>
    </row>
    <row r="15" spans="2:13" ht="18" customHeight="1" x14ac:dyDescent="0.25">
      <c r="C15" s="2"/>
    </row>
    <row r="16" spans="2:13" ht="18" customHeight="1" x14ac:dyDescent="0.25">
      <c r="B16" s="6" t="s">
        <v>21</v>
      </c>
      <c r="C16" s="74"/>
    </row>
    <row r="17" spans="2:3" ht="18" customHeight="1" x14ac:dyDescent="0.25">
      <c r="B17" s="6" t="s">
        <v>22</v>
      </c>
      <c r="C17" s="75"/>
    </row>
    <row r="18" spans="2:3" ht="18" customHeight="1" x14ac:dyDescent="0.25">
      <c r="B18" s="6" t="s">
        <v>23</v>
      </c>
      <c r="C18" s="75"/>
    </row>
    <row r="19" spans="2:3" ht="18" customHeight="1" x14ac:dyDescent="0.25">
      <c r="B19" s="6" t="s">
        <v>24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25</v>
      </c>
      <c r="C21" s="74"/>
    </row>
    <row r="22" spans="2:3" ht="18" customHeight="1" x14ac:dyDescent="0.25">
      <c r="B22" s="6" t="s">
        <v>26</v>
      </c>
      <c r="C22" s="75"/>
    </row>
    <row r="23" spans="2:3" ht="18" customHeight="1" x14ac:dyDescent="0.25">
      <c r="B23" s="6" t="s">
        <v>27</v>
      </c>
      <c r="C23" s="75"/>
    </row>
    <row r="24" spans="2:3" ht="18" customHeight="1" x14ac:dyDescent="0.25">
      <c r="B24" s="6" t="s">
        <v>28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autoPict="0" r:id="rId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10" name="chkHighSootLoad">
          <controlPr autoLine="0" autoPict="0" r:id="rId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0" name="chkHighSootLoad"/>
      </mc:Fallback>
    </mc:AlternateContent>
    <mc:AlternateContent xmlns:mc="http://schemas.openxmlformats.org/markup-compatibility/2006">
      <mc:Choice Requires="x14">
        <control shapeId="21508" r:id="rId11" name="chkPreventMaint">
          <controlPr autoLine="0" autoPict="0" r:id="rId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1" name="chkPreventMaint"/>
      </mc:Fallback>
    </mc:AlternateContent>
    <mc:AlternateContent xmlns:mc="http://schemas.openxmlformats.org/markup-compatibility/2006">
      <mc:Choice Requires="x14">
        <control shapeId="21507" r:id="rId12" name="chkHighIdle">
          <controlPr autoLine="0" autoPict="0" r:id="rId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2" name="chkHighIdle"/>
      </mc:Fallback>
    </mc:AlternateContent>
    <mc:AlternateContent xmlns:mc="http://schemas.openxmlformats.org/markup-compatibility/2006">
      <mc:Choice Requires="x14">
        <control shapeId="21506" r:id="rId13" name="chkStartStop">
          <controlPr autoLine="0" autoPict="0" r:id="rId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3" name="chkStartStop"/>
      </mc:Fallback>
    </mc:AlternateContent>
    <mc:AlternateContent xmlns:mc="http://schemas.openxmlformats.org/markup-compatibility/2006">
      <mc:Choice Requires="x14">
        <control shapeId="21505" r:id="rId14" name="chkOvrRdHw">
          <controlPr autoLine="0" autoPict="0" r:id="rId15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4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6</xdr:col>
                <xdr:colOff>247650</xdr:colOff>
                <xdr:row>9</xdr:row>
                <xdr:rowOff>9525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2</xdr:col>
                <xdr:colOff>0</xdr:colOff>
                <xdr:row>4</xdr:row>
                <xdr:rowOff>9525</xdr:rowOff>
              </from>
              <to>
                <xdr:col>6</xdr:col>
                <xdr:colOff>247650</xdr:colOff>
                <xdr:row>5</xdr:row>
                <xdr:rowOff>19050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2</xdr:col>
                <xdr:colOff>0</xdr:colOff>
                <xdr:row>5</xdr:row>
                <xdr:rowOff>9525</xdr:rowOff>
              </from>
              <to>
                <xdr:col>6</xdr:col>
                <xdr:colOff>247650</xdr:colOff>
                <xdr:row>6</xdr:row>
                <xdr:rowOff>19050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6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2</xdr:col>
                <xdr:colOff>0</xdr:colOff>
                <xdr:row>9</xdr:row>
                <xdr:rowOff>9525</xdr:rowOff>
              </from>
              <to>
                <xdr:col>6</xdr:col>
                <xdr:colOff>247650</xdr:colOff>
                <xdr:row>10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2</xdr:col>
                <xdr:colOff>0</xdr:colOff>
                <xdr:row>10</xdr:row>
                <xdr:rowOff>9525</xdr:rowOff>
              </from>
              <to>
                <xdr:col>6</xdr:col>
                <xdr:colOff>247650</xdr:colOff>
                <xdr:row>11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2</xdr:col>
                <xdr:colOff>0</xdr:colOff>
                <xdr:row>11</xdr:row>
                <xdr:rowOff>9525</xdr:rowOff>
              </from>
              <to>
                <xdr:col>6</xdr:col>
                <xdr:colOff>247650</xdr:colOff>
                <xdr:row>12</xdr:row>
                <xdr:rowOff>19050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2</xdr:col>
                <xdr:colOff>0</xdr:colOff>
                <xdr:row>18</xdr:row>
                <xdr:rowOff>9525</xdr:rowOff>
              </from>
              <to>
                <xdr:col>6</xdr:col>
                <xdr:colOff>247650</xdr:colOff>
                <xdr:row>19</xdr:row>
                <xdr:rowOff>19050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autoPict="0" r:id="rId33">
            <anchor moveWithCells="1">
              <from>
                <xdr:col>2</xdr:col>
                <xdr:colOff>0</xdr:colOff>
                <xdr:row>23</xdr:row>
                <xdr:rowOff>19050</xdr:rowOff>
              </from>
              <to>
                <xdr:col>6</xdr:col>
                <xdr:colOff>247650</xdr:colOff>
                <xdr:row>24</xdr:row>
                <xdr:rowOff>9525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6</xdr:col>
                <xdr:colOff>247650</xdr:colOff>
                <xdr:row>4</xdr:row>
                <xdr:rowOff>19050</xdr:rowOff>
              </to>
            </anchor>
          </controlPr>
        </control>
      </mc:Choice>
      <mc:Fallback>
        <control shapeId="21532" r:id="rId34" name="cbBillingCompany"/>
      </mc:Fallback>
    </mc:AlternateContent>
    <mc:AlternateContent xmlns:mc="http://schemas.openxmlformats.org/markup-compatibility/2006">
      <mc:Choice Requires="x14">
        <control shapeId="21533" r:id="rId36" name="cbSalesID">
          <controlPr defaultSize="0" autoFill="0" autoLine="0" r:id="rId37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6</xdr:col>
                <xdr:colOff>247650</xdr:colOff>
                <xdr:row>3</xdr:row>
                <xdr:rowOff>9525</xdr:rowOff>
              </to>
            </anchor>
          </controlPr>
        </control>
      </mc:Choice>
      <mc:Fallback>
        <control shapeId="21533" r:id="rId36" name="cbSalesI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109</v>
      </c>
      <c r="B1" t="s">
        <v>158</v>
      </c>
      <c r="C1" t="s">
        <v>159</v>
      </c>
      <c r="D1" t="s">
        <v>160</v>
      </c>
      <c r="E1" t="s">
        <v>161</v>
      </c>
      <c r="F1" t="s">
        <v>162</v>
      </c>
      <c r="G1" t="s">
        <v>163</v>
      </c>
      <c r="H1" t="s">
        <v>164</v>
      </c>
      <c r="I1" t="s">
        <v>165</v>
      </c>
      <c r="J1" t="s">
        <v>166</v>
      </c>
      <c r="K1" t="s">
        <v>167</v>
      </c>
      <c r="L1" t="s">
        <v>168</v>
      </c>
      <c r="M1" t="s">
        <v>169</v>
      </c>
      <c r="N1" t="s">
        <v>170</v>
      </c>
      <c r="O1" t="s">
        <v>171</v>
      </c>
      <c r="P1" t="s">
        <v>172</v>
      </c>
      <c r="Q1" t="s">
        <v>173</v>
      </c>
      <c r="R1" t="s">
        <v>174</v>
      </c>
      <c r="S1" t="s">
        <v>175</v>
      </c>
      <c r="T1" t="s">
        <v>176</v>
      </c>
      <c r="U1" t="s">
        <v>177</v>
      </c>
      <c r="V1" t="s">
        <v>178</v>
      </c>
      <c r="W1" t="s">
        <v>179</v>
      </c>
      <c r="X1" t="s">
        <v>180</v>
      </c>
      <c r="Y1" t="s">
        <v>181</v>
      </c>
      <c r="Z1" t="s">
        <v>182</v>
      </c>
      <c r="AA1" t="s">
        <v>183</v>
      </c>
      <c r="AB1" t="s">
        <v>184</v>
      </c>
      <c r="AC1" t="s">
        <v>185</v>
      </c>
      <c r="AD1" t="s">
        <v>186</v>
      </c>
      <c r="AE1" t="s">
        <v>187</v>
      </c>
      <c r="AF1" t="s">
        <v>188</v>
      </c>
      <c r="AG1" t="s">
        <v>189</v>
      </c>
      <c r="AH1" t="s">
        <v>190</v>
      </c>
      <c r="AI1" t="s">
        <v>191</v>
      </c>
      <c r="AJ1" t="s">
        <v>192</v>
      </c>
      <c r="AK1" t="s">
        <v>109</v>
      </c>
      <c r="AL1" t="s">
        <v>195</v>
      </c>
      <c r="AM1" t="s">
        <v>196</v>
      </c>
      <c r="AN1" t="s">
        <v>110</v>
      </c>
      <c r="AO1" t="s">
        <v>111</v>
      </c>
      <c r="AP1" t="s">
        <v>112</v>
      </c>
      <c r="AQ1" t="s">
        <v>197</v>
      </c>
      <c r="AR1" t="s">
        <v>113</v>
      </c>
      <c r="AS1" t="s">
        <v>114</v>
      </c>
      <c r="AT1" t="s">
        <v>115</v>
      </c>
      <c r="AU1" t="s">
        <v>198</v>
      </c>
      <c r="AV1" t="s">
        <v>116</v>
      </c>
      <c r="AW1" t="s">
        <v>117</v>
      </c>
      <c r="AX1" t="s">
        <v>118</v>
      </c>
      <c r="AY1" t="s">
        <v>214</v>
      </c>
      <c r="AZ1" t="s">
        <v>211</v>
      </c>
      <c r="BA1" t="s">
        <v>121</v>
      </c>
      <c r="BB1" t="s">
        <v>122</v>
      </c>
      <c r="BC1" t="s">
        <v>123</v>
      </c>
      <c r="BD1" t="s">
        <v>124</v>
      </c>
      <c r="BE1" t="s">
        <v>212</v>
      </c>
      <c r="BF1" t="s">
        <v>213</v>
      </c>
      <c r="BG1" t="s">
        <v>120</v>
      </c>
      <c r="BH1" t="s">
        <v>126</v>
      </c>
      <c r="BI1" t="s">
        <v>30</v>
      </c>
      <c r="BJ1" t="s">
        <v>2</v>
      </c>
      <c r="BK1" t="s">
        <v>4</v>
      </c>
      <c r="BL1" t="s">
        <v>125</v>
      </c>
      <c r="BM1" t="s">
        <v>3</v>
      </c>
      <c r="BN1" t="s">
        <v>31</v>
      </c>
      <c r="BO1" t="s">
        <v>126</v>
      </c>
      <c r="BP1" t="s">
        <v>30</v>
      </c>
      <c r="BQ1" t="s">
        <v>2</v>
      </c>
      <c r="BR1" t="s">
        <v>4</v>
      </c>
      <c r="BS1" t="s">
        <v>125</v>
      </c>
      <c r="BT1" t="s">
        <v>3</v>
      </c>
      <c r="BU1" t="s">
        <v>127</v>
      </c>
      <c r="BV1" t="s">
        <v>119</v>
      </c>
      <c r="BW1" t="s">
        <v>128</v>
      </c>
      <c r="BX1" t="s">
        <v>129</v>
      </c>
      <c r="BY1" t="s">
        <v>16</v>
      </c>
      <c r="BZ1" t="s">
        <v>11</v>
      </c>
      <c r="CA1" t="s">
        <v>12</v>
      </c>
      <c r="CB1" t="s">
        <v>119</v>
      </c>
      <c r="CC1" t="s">
        <v>16</v>
      </c>
      <c r="CD1" t="s">
        <v>128</v>
      </c>
      <c r="CE1" t="s">
        <v>11</v>
      </c>
      <c r="CF1" t="s">
        <v>12</v>
      </c>
      <c r="CG1" t="s">
        <v>130</v>
      </c>
      <c r="CH1" t="s">
        <v>131</v>
      </c>
      <c r="CI1" t="s">
        <v>132</v>
      </c>
      <c r="CJ1" t="s">
        <v>133</v>
      </c>
      <c r="CK1" t="s">
        <v>16</v>
      </c>
      <c r="CL1" t="s">
        <v>134</v>
      </c>
      <c r="CM1" t="s">
        <v>135</v>
      </c>
      <c r="CN1" t="s">
        <v>136</v>
      </c>
      <c r="CO1" t="s">
        <v>137</v>
      </c>
      <c r="CP1" t="s">
        <v>128</v>
      </c>
      <c r="CQ1" t="s">
        <v>138</v>
      </c>
      <c r="CR1" t="s">
        <v>139</v>
      </c>
      <c r="CS1" t="s">
        <v>140</v>
      </c>
      <c r="CT1" t="s">
        <v>141</v>
      </c>
      <c r="CU1" t="s">
        <v>142</v>
      </c>
      <c r="CV1" t="s">
        <v>147</v>
      </c>
      <c r="CW1" t="s">
        <v>148</v>
      </c>
      <c r="CX1" t="s">
        <v>149</v>
      </c>
      <c r="CY1" t="s">
        <v>150</v>
      </c>
      <c r="CZ1" t="s">
        <v>222</v>
      </c>
      <c r="DA1" t="s">
        <v>151</v>
      </c>
      <c r="DB1" t="s">
        <v>152</v>
      </c>
      <c r="DC1" t="s">
        <v>153</v>
      </c>
      <c r="DD1" t="s">
        <v>154</v>
      </c>
      <c r="DE1" t="s">
        <v>223</v>
      </c>
      <c r="DF1" t="s">
        <v>224</v>
      </c>
      <c r="DG1" t="s">
        <v>225</v>
      </c>
      <c r="DH1" t="s">
        <v>226</v>
      </c>
      <c r="DI1" t="s">
        <v>155</v>
      </c>
      <c r="DJ1" t="s">
        <v>156</v>
      </c>
      <c r="DK1" t="s">
        <v>157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227</v>
      </c>
      <c r="AM2" t="s">
        <v>199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6">
        <v>43433.181384456017</v>
      </c>
      <c r="AZ2" t="s">
        <v>228</v>
      </c>
      <c r="BA2" t="s">
        <v>229</v>
      </c>
      <c r="BC2" t="s">
        <v>230</v>
      </c>
      <c r="BD2" t="s">
        <v>231</v>
      </c>
      <c r="BE2">
        <v>2</v>
      </c>
      <c r="BF2" t="s">
        <v>143</v>
      </c>
      <c r="BG2" t="s">
        <v>228</v>
      </c>
      <c r="BH2" t="s">
        <v>229</v>
      </c>
      <c r="BJ2" t="s">
        <v>230</v>
      </c>
      <c r="BK2" t="s">
        <v>231</v>
      </c>
      <c r="BL2">
        <v>2</v>
      </c>
      <c r="BM2" t="s">
        <v>143</v>
      </c>
      <c r="BN2" t="s">
        <v>229</v>
      </c>
      <c r="BO2" t="s">
        <v>229</v>
      </c>
      <c r="BP2" t="s">
        <v>220</v>
      </c>
      <c r="BQ2" t="s">
        <v>230</v>
      </c>
      <c r="BR2" t="s">
        <v>231</v>
      </c>
      <c r="BS2">
        <v>2</v>
      </c>
      <c r="BT2" t="s">
        <v>143</v>
      </c>
      <c r="BU2">
        <v>1</v>
      </c>
      <c r="BV2">
        <v>20</v>
      </c>
      <c r="BW2" t="s">
        <v>206</v>
      </c>
      <c r="BX2" t="s">
        <v>207</v>
      </c>
      <c r="BY2" t="s">
        <v>145</v>
      </c>
      <c r="BZ2" t="s">
        <v>208</v>
      </c>
      <c r="CA2">
        <v>2014</v>
      </c>
      <c r="CB2">
        <v>9</v>
      </c>
      <c r="CC2" t="s">
        <v>232</v>
      </c>
      <c r="CD2" t="s">
        <v>233</v>
      </c>
      <c r="CE2" t="s">
        <v>233</v>
      </c>
      <c r="CF2">
        <v>1234</v>
      </c>
      <c r="CG2">
        <v>3</v>
      </c>
      <c r="CH2">
        <v>1</v>
      </c>
      <c r="CI2" t="s">
        <v>144</v>
      </c>
      <c r="CJ2">
        <v>1</v>
      </c>
      <c r="CK2" t="s">
        <v>145</v>
      </c>
      <c r="CL2">
        <v>1</v>
      </c>
      <c r="CM2" t="s">
        <v>146</v>
      </c>
      <c r="CN2">
        <v>0</v>
      </c>
      <c r="CO2" t="s">
        <v>234</v>
      </c>
      <c r="CP2" t="s">
        <v>235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227</v>
      </c>
      <c r="AM3" t="s">
        <v>199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6">
        <v>43433.181384456017</v>
      </c>
      <c r="AZ3" t="s">
        <v>228</v>
      </c>
      <c r="BA3" t="s">
        <v>229</v>
      </c>
      <c r="BC3" t="s">
        <v>230</v>
      </c>
      <c r="BD3" t="s">
        <v>231</v>
      </c>
      <c r="BE3">
        <v>2</v>
      </c>
      <c r="BF3" t="s">
        <v>143</v>
      </c>
      <c r="BG3" t="s">
        <v>228</v>
      </c>
      <c r="BH3" t="s">
        <v>229</v>
      </c>
      <c r="BJ3" t="s">
        <v>230</v>
      </c>
      <c r="BK3" t="s">
        <v>231</v>
      </c>
      <c r="BL3">
        <v>2</v>
      </c>
      <c r="BM3" t="s">
        <v>143</v>
      </c>
      <c r="BN3" t="s">
        <v>229</v>
      </c>
      <c r="BO3" t="s">
        <v>229</v>
      </c>
      <c r="BP3" t="s">
        <v>220</v>
      </c>
      <c r="BQ3" t="s">
        <v>230</v>
      </c>
      <c r="BR3" t="s">
        <v>231</v>
      </c>
      <c r="BS3">
        <v>2</v>
      </c>
      <c r="BT3" t="s">
        <v>143</v>
      </c>
      <c r="BU3">
        <v>1</v>
      </c>
      <c r="BV3">
        <v>20</v>
      </c>
      <c r="BW3" t="s">
        <v>206</v>
      </c>
      <c r="BX3" t="s">
        <v>207</v>
      </c>
      <c r="BY3" t="s">
        <v>145</v>
      </c>
      <c r="BZ3" t="s">
        <v>208</v>
      </c>
      <c r="CA3">
        <v>2014</v>
      </c>
      <c r="CB3">
        <v>9</v>
      </c>
      <c r="CC3" t="s">
        <v>232</v>
      </c>
      <c r="CD3" t="s">
        <v>233</v>
      </c>
      <c r="CE3" t="s">
        <v>233</v>
      </c>
      <c r="CF3">
        <v>1234</v>
      </c>
      <c r="CG3">
        <v>3</v>
      </c>
      <c r="CH3">
        <v>1</v>
      </c>
      <c r="CI3" t="s">
        <v>144</v>
      </c>
      <c r="CJ3">
        <v>1</v>
      </c>
      <c r="CK3" t="s">
        <v>145</v>
      </c>
      <c r="CL3">
        <v>1</v>
      </c>
      <c r="CM3" t="s">
        <v>146</v>
      </c>
      <c r="CN3">
        <v>0</v>
      </c>
      <c r="CO3" t="s">
        <v>234</v>
      </c>
      <c r="CP3" t="s">
        <v>235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227</v>
      </c>
      <c r="AM4" t="s">
        <v>199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6">
        <v>43433.181384456017</v>
      </c>
      <c r="AZ4" t="s">
        <v>228</v>
      </c>
      <c r="BA4" t="s">
        <v>229</v>
      </c>
      <c r="BC4" t="s">
        <v>230</v>
      </c>
      <c r="BD4" t="s">
        <v>231</v>
      </c>
      <c r="BE4">
        <v>2</v>
      </c>
      <c r="BF4" t="s">
        <v>143</v>
      </c>
      <c r="BG4" t="s">
        <v>228</v>
      </c>
      <c r="BH4" t="s">
        <v>229</v>
      </c>
      <c r="BJ4" t="s">
        <v>230</v>
      </c>
      <c r="BK4" t="s">
        <v>231</v>
      </c>
      <c r="BL4">
        <v>2</v>
      </c>
      <c r="BM4" t="s">
        <v>143</v>
      </c>
      <c r="BN4" t="s">
        <v>229</v>
      </c>
      <c r="BO4" t="s">
        <v>229</v>
      </c>
      <c r="BP4" t="s">
        <v>220</v>
      </c>
      <c r="BQ4" t="s">
        <v>230</v>
      </c>
      <c r="BR4" t="s">
        <v>231</v>
      </c>
      <c r="BS4">
        <v>2</v>
      </c>
      <c r="BT4" t="s">
        <v>143</v>
      </c>
      <c r="BU4">
        <v>1</v>
      </c>
      <c r="BV4">
        <v>20</v>
      </c>
      <c r="BW4" t="s">
        <v>206</v>
      </c>
      <c r="BX4" t="s">
        <v>207</v>
      </c>
      <c r="BY4" t="s">
        <v>145</v>
      </c>
      <c r="BZ4" t="s">
        <v>208</v>
      </c>
      <c r="CA4">
        <v>2014</v>
      </c>
      <c r="CB4">
        <v>9</v>
      </c>
      <c r="CC4" t="s">
        <v>232</v>
      </c>
      <c r="CD4" t="s">
        <v>233</v>
      </c>
      <c r="CE4" t="s">
        <v>233</v>
      </c>
      <c r="CF4">
        <v>1234</v>
      </c>
      <c r="CG4">
        <v>3</v>
      </c>
      <c r="CH4">
        <v>1</v>
      </c>
      <c r="CI4" t="s">
        <v>144</v>
      </c>
      <c r="CJ4">
        <v>1</v>
      </c>
      <c r="CK4" t="s">
        <v>145</v>
      </c>
      <c r="CL4">
        <v>1</v>
      </c>
      <c r="CM4" t="s">
        <v>146</v>
      </c>
      <c r="CN4">
        <v>0</v>
      </c>
      <c r="CO4" t="s">
        <v>234</v>
      </c>
      <c r="CP4" t="s">
        <v>235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D9" sqref="D9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108</v>
      </c>
    </row>
    <row r="3" spans="2:3" ht="18.75" x14ac:dyDescent="0.3">
      <c r="B3" s="1" t="s">
        <v>58</v>
      </c>
    </row>
    <row r="5" spans="2:3" ht="18.75" x14ac:dyDescent="0.3">
      <c r="B5" s="1" t="s">
        <v>221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3"/>
      <c r="E20" s="23"/>
    </row>
    <row r="21" spans="2:8" x14ac:dyDescent="0.25">
      <c r="D21" s="23"/>
      <c r="E21" s="23"/>
    </row>
    <row r="22" spans="2:8" x14ac:dyDescent="0.25">
      <c r="B22" s="13"/>
      <c r="D22" s="23"/>
      <c r="E22" s="23"/>
    </row>
    <row r="23" spans="2:8" x14ac:dyDescent="0.25">
      <c r="D23" s="23"/>
      <c r="E23" s="23"/>
    </row>
    <row r="24" spans="2:8" x14ac:dyDescent="0.25">
      <c r="D24" s="23"/>
      <c r="E24" s="23"/>
    </row>
    <row r="25" spans="2:8" x14ac:dyDescent="0.25">
      <c r="C25" s="27"/>
      <c r="D25" s="23"/>
      <c r="E25" s="23"/>
    </row>
    <row r="26" spans="2:8" x14ac:dyDescent="0.25">
      <c r="D26" s="23"/>
      <c r="E26" s="23"/>
    </row>
    <row r="28" spans="2:8" x14ac:dyDescent="0.25">
      <c r="C28" s="28"/>
      <c r="G28" s="23"/>
    </row>
    <row r="29" spans="2:8" x14ac:dyDescent="0.25">
      <c r="C29" s="28"/>
      <c r="G29" s="23"/>
    </row>
    <row r="30" spans="2:8" x14ac:dyDescent="0.25">
      <c r="C30" s="28"/>
      <c r="D30" s="2"/>
      <c r="H30" s="23"/>
    </row>
    <row r="31" spans="2:8" x14ac:dyDescent="0.25">
      <c r="C31" s="28"/>
      <c r="D31" s="2"/>
      <c r="H31" s="23"/>
    </row>
    <row r="32" spans="2:8" x14ac:dyDescent="0.25">
      <c r="C32" s="28"/>
      <c r="G32" s="23"/>
    </row>
    <row r="33" spans="2:9" x14ac:dyDescent="0.25">
      <c r="C33" s="28"/>
      <c r="G33" s="23"/>
    </row>
    <row r="34" spans="2:9" x14ac:dyDescent="0.25">
      <c r="C34" s="28"/>
      <c r="G34" s="23"/>
    </row>
    <row r="35" spans="2:9" x14ac:dyDescent="0.25">
      <c r="B35" s="9"/>
      <c r="H35" s="23"/>
      <c r="I35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12" sqref="B1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60" t="s">
        <v>58</v>
      </c>
      <c r="J2" s="23"/>
    </row>
    <row r="3" spans="1:10" ht="18" customHeight="1" x14ac:dyDescent="0.25">
      <c r="A3" s="60" t="s">
        <v>41</v>
      </c>
      <c r="B3" s="63"/>
      <c r="E3" s="60"/>
      <c r="F3" s="60"/>
      <c r="H3" s="13" t="s">
        <v>193</v>
      </c>
      <c r="I3" s="23"/>
      <c r="J3" s="23"/>
    </row>
    <row r="4" spans="1:10" ht="18" customHeight="1" x14ac:dyDescent="0.25">
      <c r="A4" s="60" t="s">
        <v>18</v>
      </c>
      <c r="B4" s="2"/>
      <c r="F4" s="64"/>
      <c r="H4" s="13"/>
      <c r="I4" s="23"/>
      <c r="J4" s="23"/>
    </row>
    <row r="5" spans="1:10" ht="18" customHeight="1" x14ac:dyDescent="0.25">
      <c r="A5" s="60" t="s">
        <v>20</v>
      </c>
      <c r="B5" s="2"/>
      <c r="F5" s="61"/>
      <c r="H5" s="13" t="s">
        <v>75</v>
      </c>
    </row>
    <row r="6" spans="1:10" ht="18" customHeight="1" x14ac:dyDescent="0.25">
      <c r="A6" s="60" t="s">
        <v>219</v>
      </c>
      <c r="E6" s="2"/>
      <c r="F6" s="61"/>
      <c r="H6" s="13" t="s">
        <v>194</v>
      </c>
      <c r="I6" s="23"/>
      <c r="J6" s="23"/>
    </row>
    <row r="7" spans="1:10" ht="18" customHeight="1" x14ac:dyDescent="0.25">
      <c r="B7" s="2" t="s">
        <v>59</v>
      </c>
      <c r="C7" s="2" t="s">
        <v>60</v>
      </c>
      <c r="D7" s="2" t="s">
        <v>60</v>
      </c>
      <c r="E7" s="61"/>
      <c r="F7" s="61"/>
      <c r="H7" s="13"/>
      <c r="I7" s="23"/>
      <c r="J7" s="23"/>
    </row>
    <row r="8" spans="1:10" ht="18" customHeight="1" x14ac:dyDescent="0.25">
      <c r="B8" s="2" t="s">
        <v>61</v>
      </c>
      <c r="C8" s="2" t="s">
        <v>62</v>
      </c>
      <c r="D8" s="2" t="s">
        <v>63</v>
      </c>
      <c r="E8" s="61"/>
      <c r="F8" s="61"/>
      <c r="H8" s="13" t="s">
        <v>81</v>
      </c>
      <c r="I8" s="23"/>
      <c r="J8" s="23"/>
    </row>
    <row r="9" spans="1:10" ht="18" customHeight="1" x14ac:dyDescent="0.25">
      <c r="A9" s="13" t="s">
        <v>64</v>
      </c>
      <c r="B9" s="65"/>
      <c r="C9" s="65"/>
      <c r="D9" s="65"/>
      <c r="E9" s="61"/>
      <c r="F9" s="61"/>
      <c r="J9" s="23"/>
    </row>
    <row r="10" spans="1:10" ht="18" customHeight="1" x14ac:dyDescent="0.25">
      <c r="A10" s="13"/>
      <c r="B10" s="61"/>
      <c r="C10" s="61"/>
      <c r="D10" s="61"/>
      <c r="E10" s="61"/>
      <c r="F10" s="61"/>
      <c r="G10" s="61"/>
      <c r="H10" s="13" t="s">
        <v>76</v>
      </c>
      <c r="J10" s="23"/>
    </row>
    <row r="11" spans="1:10" ht="18" customHeight="1" x14ac:dyDescent="0.25">
      <c r="A11" s="59" t="s">
        <v>65</v>
      </c>
      <c r="B11" s="65"/>
      <c r="C11" s="61"/>
      <c r="D11" s="61"/>
      <c r="E11" s="61"/>
      <c r="F11" s="61"/>
      <c r="G11" s="61"/>
      <c r="H11" s="13" t="s">
        <v>77</v>
      </c>
    </row>
    <row r="12" spans="1:10" ht="18" customHeight="1" x14ac:dyDescent="0.25">
      <c r="A12" s="59" t="s">
        <v>66</v>
      </c>
      <c r="B12" s="65"/>
      <c r="C12" s="61"/>
      <c r="D12" s="61"/>
      <c r="E12" s="62"/>
      <c r="F12" s="62"/>
      <c r="G12" s="62"/>
      <c r="H12" s="13"/>
      <c r="I12" s="2"/>
    </row>
    <row r="13" spans="1:10" ht="18" customHeight="1" x14ac:dyDescent="0.25">
      <c r="A13" s="59"/>
      <c r="B13" s="25"/>
      <c r="C13" s="62"/>
      <c r="D13" s="62"/>
      <c r="E13" s="62"/>
      <c r="F13" s="62"/>
      <c r="G13" s="62"/>
      <c r="H13" s="13" t="s">
        <v>80</v>
      </c>
      <c r="I13" s="65"/>
    </row>
    <row r="14" spans="1:10" ht="18" customHeight="1" x14ac:dyDescent="0.25">
      <c r="A14" s="13" t="s">
        <v>67</v>
      </c>
      <c r="B14" s="25" t="s">
        <v>68</v>
      </c>
      <c r="C14" s="25" t="s">
        <v>69</v>
      </c>
      <c r="D14" s="62"/>
      <c r="E14" s="25"/>
      <c r="F14" s="25"/>
      <c r="G14" s="62"/>
      <c r="H14" s="13" t="s">
        <v>78</v>
      </c>
      <c r="I14" s="65"/>
    </row>
    <row r="15" spans="1:10" ht="18" customHeight="1" x14ac:dyDescent="0.25">
      <c r="A15" s="58" t="s">
        <v>70</v>
      </c>
      <c r="B15" s="65"/>
      <c r="C15" s="65"/>
      <c r="D15" s="25"/>
      <c r="E15" s="25"/>
      <c r="F15" s="25"/>
      <c r="G15" s="62"/>
      <c r="H15" s="13"/>
    </row>
    <row r="16" spans="1:10" ht="18" customHeight="1" x14ac:dyDescent="0.25">
      <c r="A16" s="58" t="s">
        <v>71</v>
      </c>
      <c r="B16" s="65"/>
      <c r="C16" s="65"/>
      <c r="D16" s="25"/>
      <c r="E16" s="25"/>
      <c r="F16" s="25"/>
      <c r="G16" s="62" t="s">
        <v>215</v>
      </c>
      <c r="I16" s="42"/>
    </row>
    <row r="17" spans="1:9" ht="18" customHeight="1" x14ac:dyDescent="0.25">
      <c r="A17" s="58" t="s">
        <v>72</v>
      </c>
      <c r="B17" s="65"/>
      <c r="C17" s="65"/>
      <c r="D17" s="25"/>
      <c r="E17" s="25"/>
      <c r="F17" s="25"/>
      <c r="G17" s="62"/>
      <c r="H17" s="13" t="s">
        <v>216</v>
      </c>
      <c r="I17" s="65"/>
    </row>
    <row r="18" spans="1:9" ht="18" customHeight="1" x14ac:dyDescent="0.25">
      <c r="A18" s="58" t="s">
        <v>73</v>
      </c>
      <c r="B18" s="65"/>
      <c r="C18" s="65"/>
      <c r="D18" s="25"/>
      <c r="G18" s="62"/>
      <c r="H18" s="13" t="s">
        <v>217</v>
      </c>
      <c r="I18" s="65"/>
    </row>
    <row r="19" spans="1:9" ht="18" customHeight="1" x14ac:dyDescent="0.25">
      <c r="A19" s="58" t="s">
        <v>74</v>
      </c>
      <c r="B19" s="65"/>
      <c r="C19" s="65"/>
      <c r="H19" s="13" t="s">
        <v>218</v>
      </c>
      <c r="I19" s="65"/>
    </row>
    <row r="20" spans="1:9" ht="18" customHeight="1" x14ac:dyDescent="0.25">
      <c r="C20" s="25"/>
      <c r="H20" s="13" t="s">
        <v>24</v>
      </c>
      <c r="I20" s="65"/>
    </row>
    <row r="21" spans="1:9" ht="18" customHeight="1" x14ac:dyDescent="0.25">
      <c r="C21" s="2"/>
    </row>
    <row r="22" spans="1:9" ht="18" customHeight="1" x14ac:dyDescent="0.25">
      <c r="A22" s="2"/>
      <c r="C22" s="2"/>
      <c r="G22" s="23"/>
    </row>
    <row r="23" spans="1:9" ht="18" customHeight="1" x14ac:dyDescent="0.25">
      <c r="A23" s="13"/>
    </row>
    <row r="27" spans="1:9" ht="18" customHeight="1" x14ac:dyDescent="0.25">
      <c r="I27" s="2"/>
    </row>
    <row r="29" spans="1:9" ht="18" customHeight="1" x14ac:dyDescent="0.25">
      <c r="A29" s="13"/>
    </row>
    <row r="31" spans="1:9" ht="18" customHeight="1" x14ac:dyDescent="0.25">
      <c r="E31" s="23"/>
      <c r="F31" s="23"/>
    </row>
    <row r="32" spans="1:9" ht="18" customHeight="1" x14ac:dyDescent="0.25">
      <c r="B32" s="27" t="s">
        <v>8</v>
      </c>
      <c r="C32" s="23"/>
      <c r="D32" s="23"/>
      <c r="E32" s="23"/>
      <c r="F32" s="23"/>
    </row>
    <row r="33" spans="1:9" ht="18" customHeight="1" x14ac:dyDescent="0.25">
      <c r="B33" t="s">
        <v>8</v>
      </c>
      <c r="C33" s="23"/>
      <c r="D33" s="23"/>
    </row>
    <row r="35" spans="1:9" ht="18" customHeight="1" x14ac:dyDescent="0.25">
      <c r="B35" s="5"/>
    </row>
    <row r="37" spans="1:9" ht="18" customHeight="1" x14ac:dyDescent="0.25">
      <c r="B37" s="5"/>
      <c r="C37" s="2"/>
      <c r="H37" s="23"/>
    </row>
    <row r="38" spans="1:9" ht="18" customHeight="1" x14ac:dyDescent="0.25">
      <c r="B38" s="5"/>
      <c r="C38" s="2"/>
      <c r="H38" s="23"/>
    </row>
    <row r="40" spans="1:9" ht="18" customHeight="1" x14ac:dyDescent="0.25">
      <c r="B40" s="5"/>
    </row>
    <row r="41" spans="1:9" ht="18" customHeight="1" x14ac:dyDescent="0.25">
      <c r="H41" s="23"/>
    </row>
    <row r="42" spans="1:9" ht="18" customHeight="1" x14ac:dyDescent="0.25">
      <c r="A42" s="9"/>
      <c r="H42" s="23"/>
      <c r="I42" s="23"/>
    </row>
    <row r="43" spans="1:9" ht="18" customHeight="1" x14ac:dyDescent="0.25">
      <c r="H43" s="23"/>
      <c r="I43" s="23"/>
    </row>
    <row r="47" spans="1:9" ht="18" customHeight="1" x14ac:dyDescent="0.25">
      <c r="I47" s="23"/>
    </row>
    <row r="49" spans="10:10" ht="18" customHeight="1" x14ac:dyDescent="0.25">
      <c r="J49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6" r:id="rId4" name="cbSubstrateOveralCondition">
          <controlPr defaultSize="0" autoFill="0" autoLine="0" r:id="rId5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4" name="cbSubstrateOveralCondition"/>
      </mc:Fallback>
    </mc:AlternateContent>
    <mc:AlternateContent xmlns:mc="http://schemas.openxmlformats.org/markup-compatibility/2006">
      <mc:Choice Requires="x14">
        <control shapeId="23584" r:id="rId6" name="txtContaminantsOther">
          <controlPr autoLine="0" autoPict="0" r:id="rId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6" name="txtContaminantsOther"/>
      </mc:Fallback>
    </mc:AlternateContent>
    <mc:AlternateContent xmlns:mc="http://schemas.openxmlformats.org/markup-compatibility/2006">
      <mc:Choice Requires="x14">
        <control shapeId="23581" r:id="rId8" name="chkWearCorrosion">
          <controlPr autoLine="0" r:id="rId9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8" name="chkWearCorrosion"/>
      </mc:Fallback>
    </mc:AlternateContent>
    <mc:AlternateContent xmlns:mc="http://schemas.openxmlformats.org/markup-compatibility/2006">
      <mc:Choice Requires="x14">
        <control shapeId="23580" r:id="rId10" name="chkEngineEGRCoolant">
          <controlPr autoLine="0" r:id="rId9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0" name="chkEngineEGRCoolant"/>
      </mc:Fallback>
    </mc:AlternateContent>
    <mc:AlternateContent xmlns:mc="http://schemas.openxmlformats.org/markup-compatibility/2006">
      <mc:Choice Requires="x14">
        <control shapeId="23579" r:id="rId11" name="chkFuelOil">
          <controlPr autoLine="0" r:id="rId9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1" name="chkFuelOil"/>
      </mc:Fallback>
    </mc:AlternateContent>
    <mc:AlternateContent xmlns:mc="http://schemas.openxmlformats.org/markup-compatibility/2006">
      <mc:Choice Requires="x14">
        <control shapeId="23576" r:id="rId12" name="cmdMenu">
          <controlPr autoLine="0" r:id="rId13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12" name="cmdMenu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1" r:id="rId26" name="cbDPF">
          <controlPr defaultSize="0" autoFill="0" autoLine="0" r:id="rId27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26" name="cbDPF"/>
      </mc:Fallback>
    </mc:AlternateContent>
    <mc:AlternateContent xmlns:mc="http://schemas.openxmlformats.org/markup-compatibility/2006">
      <mc:Choice Requires="x14">
        <control shapeId="23560" r:id="rId28" name="chkRedAsh">
          <controlPr autoLine="0" r:id="rId29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8" name="chkRedAsh"/>
      </mc:Fallback>
    </mc:AlternateContent>
    <mc:AlternateContent xmlns:mc="http://schemas.openxmlformats.org/markup-compatibility/2006">
      <mc:Choice Requires="x14">
        <control shapeId="23559" r:id="rId30" name="cmdSave">
          <controlPr defaultSize="0" autoFill="0" autoLine="0" r:id="rId31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30" name="cmdSave"/>
      </mc:Fallback>
    </mc:AlternateContent>
    <mc:AlternateContent xmlns:mc="http://schemas.openxmlformats.org/markup-compatibility/2006">
      <mc:Choice Requires="x14">
        <control shapeId="23555" r:id="rId32" name="chkECDPinDropDepth">
          <controlPr autoLine="0" r:id="rId29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32" name="chkECDPinDropDepth"/>
      </mc:Fallback>
    </mc:AlternateContent>
    <mc:AlternateContent xmlns:mc="http://schemas.openxmlformats.org/markup-compatibility/2006">
      <mc:Choice Requires="x14">
        <control shapeId="23554" r:id="rId33" name="chkUSignalReceived">
          <controlPr autoLine="0" r:id="rId29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3" name="chkUSignalReceived"/>
      </mc:Fallback>
    </mc:AlternateContent>
    <mc:AlternateContent xmlns:mc="http://schemas.openxmlformats.org/markup-compatibility/2006">
      <mc:Choice Requires="x14">
        <control shapeId="23553" r:id="rId34" name="chkCoolant">
          <controlPr autoLine="0" r:id="rId29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4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79</v>
      </c>
    </row>
    <row r="3" spans="2:9" ht="18.75" x14ac:dyDescent="0.3">
      <c r="B3" s="1" t="s">
        <v>58</v>
      </c>
    </row>
    <row r="4" spans="2:9" ht="18.75" x14ac:dyDescent="0.3">
      <c r="G4" s="66"/>
    </row>
    <row r="5" spans="2:9" x14ac:dyDescent="0.25">
      <c r="B5" s="4" t="s">
        <v>146</v>
      </c>
      <c r="C5" s="46" t="s">
        <v>204</v>
      </c>
    </row>
    <row r="6" spans="2:9" x14ac:dyDescent="0.25">
      <c r="B6" s="6" t="s">
        <v>18</v>
      </c>
      <c r="C6" s="46">
        <v>12</v>
      </c>
    </row>
    <row r="7" spans="2:9" x14ac:dyDescent="0.25">
      <c r="B7" s="6" t="s">
        <v>20</v>
      </c>
      <c r="C7" s="46">
        <v>12</v>
      </c>
    </row>
    <row r="8" spans="2:9" x14ac:dyDescent="0.25">
      <c r="B8" s="42" t="s">
        <v>202</v>
      </c>
      <c r="C8" s="46">
        <f>(3.14*(SubDiameter/2)^2)*(SubLength)*(1/12)^3</f>
        <v>0.78499999999999992</v>
      </c>
      <c r="D8" s="47"/>
      <c r="G8" t="s">
        <v>102</v>
      </c>
      <c r="H8" s="26"/>
      <c r="I8" s="42" t="s">
        <v>103</v>
      </c>
    </row>
    <row r="9" spans="2:9" x14ac:dyDescent="0.25">
      <c r="B9" s="42" t="s">
        <v>203</v>
      </c>
      <c r="C9" s="46">
        <f>Volume*28.317</f>
        <v>22.228844999999996</v>
      </c>
      <c r="D9" s="47"/>
      <c r="G9" t="s">
        <v>106</v>
      </c>
      <c r="H9" s="26"/>
      <c r="I9" t="s">
        <v>105</v>
      </c>
    </row>
    <row r="10" spans="2:9" x14ac:dyDescent="0.25">
      <c r="C10" s="2"/>
      <c r="G10" t="s">
        <v>104</v>
      </c>
      <c r="H10" s="46">
        <f>(Volume*MaxSpaceVelocity)*(1/60)*(61.7)/(2350*0.395)</f>
        <v>0</v>
      </c>
      <c r="I10" t="s">
        <v>105</v>
      </c>
    </row>
    <row r="11" spans="2:9" x14ac:dyDescent="0.25">
      <c r="G11" t="s">
        <v>107</v>
      </c>
      <c r="H11" s="73">
        <f>IF(H10&gt;MaxHertz,"60",H10)</f>
        <v>0</v>
      </c>
      <c r="I11" t="s">
        <v>105</v>
      </c>
    </row>
    <row r="13" spans="2:9" x14ac:dyDescent="0.25">
      <c r="B13" s="29" t="s">
        <v>82</v>
      </c>
      <c r="D13" s="24"/>
      <c r="E13" t="s">
        <v>83</v>
      </c>
    </row>
    <row r="14" spans="2:9" x14ac:dyDescent="0.25">
      <c r="B14" s="29" t="s">
        <v>84</v>
      </c>
      <c r="D14" s="24"/>
      <c r="E14" t="s">
        <v>85</v>
      </c>
    </row>
    <row r="15" spans="2:9" x14ac:dyDescent="0.25">
      <c r="B15" s="29" t="s">
        <v>86</v>
      </c>
      <c r="D15" s="26"/>
    </row>
    <row r="16" spans="2:9" x14ac:dyDescent="0.25">
      <c r="B16" s="30" t="s">
        <v>87</v>
      </c>
      <c r="C16" s="31" t="s">
        <v>88</v>
      </c>
      <c r="D16" s="31" t="s">
        <v>89</v>
      </c>
      <c r="E16" s="31" t="s">
        <v>90</v>
      </c>
      <c r="G16" s="32" t="s">
        <v>91</v>
      </c>
      <c r="H16" s="31"/>
      <c r="I16" s="31"/>
    </row>
    <row r="17" spans="2:9" x14ac:dyDescent="0.25">
      <c r="B17" s="33" t="s">
        <v>92</v>
      </c>
      <c r="C17" s="33" t="s">
        <v>93</v>
      </c>
      <c r="D17" s="33" t="s">
        <v>94</v>
      </c>
      <c r="E17" s="33" t="s">
        <v>93</v>
      </c>
      <c r="F17" s="33" t="s">
        <v>95</v>
      </c>
      <c r="G17" s="32" t="s">
        <v>96</v>
      </c>
      <c r="H17" s="31" t="s">
        <v>93</v>
      </c>
      <c r="I17" s="31" t="s">
        <v>97</v>
      </c>
    </row>
    <row r="18" spans="2:9" x14ac:dyDescent="0.25">
      <c r="B18" s="34">
        <f>0.25*$H$11</f>
        <v>0</v>
      </c>
      <c r="C18" s="35">
        <f>(2350/61.7)*B18*0.395</f>
        <v>0</v>
      </c>
      <c r="D18" s="26"/>
      <c r="E18" s="35">
        <f t="shared" ref="E18:E27" si="0">C18-(34.4764881*D18-4.325744048*D18^2+0.369475446*D18^3-0.01733631*D18^4+0.000339472*D18^5)</f>
        <v>0</v>
      </c>
      <c r="F18" s="36">
        <f t="shared" ref="F18:F28" si="1">(E18*60)/Volume</f>
        <v>0</v>
      </c>
      <c r="G18" s="26">
        <v>20000</v>
      </c>
      <c r="H18" s="37">
        <f t="shared" ref="H18:H28" si="2">G18*Volume/60</f>
        <v>261.66666666666663</v>
      </c>
      <c r="I18" s="38">
        <f t="shared" ref="I18:I28" si="3">G18^2*P0a+G18*P0b+P0c</f>
        <v>0</v>
      </c>
    </row>
    <row r="19" spans="2:9" x14ac:dyDescent="0.25">
      <c r="B19" s="34">
        <f>0.4*$H$11</f>
        <v>0</v>
      </c>
      <c r="C19" s="35">
        <f t="shared" ref="C19:C28" si="4">(2350/61.7)*B19*0.395</f>
        <v>0</v>
      </c>
      <c r="D19" s="26"/>
      <c r="E19" s="35">
        <f t="shared" si="0"/>
        <v>0</v>
      </c>
      <c r="F19" s="36">
        <f t="shared" si="1"/>
        <v>0</v>
      </c>
      <c r="G19" s="26">
        <v>35000</v>
      </c>
      <c r="H19" s="37">
        <f t="shared" si="2"/>
        <v>457.91666666666663</v>
      </c>
      <c r="I19" s="38">
        <f t="shared" si="3"/>
        <v>0</v>
      </c>
    </row>
    <row r="20" spans="2:9" x14ac:dyDescent="0.25">
      <c r="B20" s="34">
        <f>0.5*$H$11</f>
        <v>0</v>
      </c>
      <c r="C20" s="35">
        <f t="shared" si="4"/>
        <v>0</v>
      </c>
      <c r="D20" s="26"/>
      <c r="E20" s="35">
        <f t="shared" si="0"/>
        <v>0</v>
      </c>
      <c r="F20" s="36">
        <f t="shared" si="1"/>
        <v>0</v>
      </c>
      <c r="G20" s="26">
        <v>50000</v>
      </c>
      <c r="H20" s="37">
        <f t="shared" si="2"/>
        <v>654.16666666666652</v>
      </c>
      <c r="I20" s="38">
        <f t="shared" si="3"/>
        <v>0</v>
      </c>
    </row>
    <row r="21" spans="2:9" x14ac:dyDescent="0.25">
      <c r="B21" s="34">
        <f>0.6*$H$11</f>
        <v>0</v>
      </c>
      <c r="C21" s="35">
        <f t="shared" si="4"/>
        <v>0</v>
      </c>
      <c r="D21" s="26"/>
      <c r="E21" s="35">
        <f t="shared" si="0"/>
        <v>0</v>
      </c>
      <c r="F21" s="36">
        <f t="shared" si="1"/>
        <v>0</v>
      </c>
      <c r="G21" s="26">
        <v>60000</v>
      </c>
      <c r="H21" s="37">
        <f t="shared" si="2"/>
        <v>784.99999999999989</v>
      </c>
      <c r="I21" s="38">
        <f t="shared" si="3"/>
        <v>0</v>
      </c>
    </row>
    <row r="22" spans="2:9" x14ac:dyDescent="0.25">
      <c r="B22" s="34">
        <f>0.7*$H$11</f>
        <v>0</v>
      </c>
      <c r="C22" s="35">
        <f t="shared" si="4"/>
        <v>0</v>
      </c>
      <c r="D22" s="26"/>
      <c r="E22" s="35">
        <f t="shared" si="0"/>
        <v>0</v>
      </c>
      <c r="F22" s="36">
        <f t="shared" si="1"/>
        <v>0</v>
      </c>
      <c r="G22" s="26">
        <v>70000</v>
      </c>
      <c r="H22" s="37">
        <f t="shared" si="2"/>
        <v>915.83333333333326</v>
      </c>
      <c r="I22" s="38">
        <f t="shared" si="3"/>
        <v>0</v>
      </c>
    </row>
    <row r="23" spans="2:9" x14ac:dyDescent="0.25">
      <c r="B23" s="34">
        <f>0.75*$H$11</f>
        <v>0</v>
      </c>
      <c r="C23" s="35">
        <f t="shared" si="4"/>
        <v>0</v>
      </c>
      <c r="D23" s="26"/>
      <c r="E23" s="35">
        <f t="shared" si="0"/>
        <v>0</v>
      </c>
      <c r="F23" s="36">
        <f t="shared" si="1"/>
        <v>0</v>
      </c>
      <c r="G23" s="26">
        <v>75000</v>
      </c>
      <c r="H23" s="37">
        <f t="shared" si="2"/>
        <v>981.24999999999989</v>
      </c>
      <c r="I23" s="38">
        <f t="shared" si="3"/>
        <v>0</v>
      </c>
    </row>
    <row r="24" spans="2:9" x14ac:dyDescent="0.25">
      <c r="B24" s="34">
        <f>0.8*$H$11</f>
        <v>0</v>
      </c>
      <c r="C24" s="35">
        <f t="shared" si="4"/>
        <v>0</v>
      </c>
      <c r="D24" s="26"/>
      <c r="E24" s="35">
        <f t="shared" si="0"/>
        <v>0</v>
      </c>
      <c r="F24" s="36">
        <f t="shared" si="1"/>
        <v>0</v>
      </c>
      <c r="G24" s="26">
        <v>80000</v>
      </c>
      <c r="H24" s="37">
        <f t="shared" si="2"/>
        <v>1046.6666666666665</v>
      </c>
      <c r="I24" s="38">
        <f t="shared" si="3"/>
        <v>0</v>
      </c>
    </row>
    <row r="25" spans="2:9" x14ac:dyDescent="0.25">
      <c r="B25" s="34">
        <f>0.85*$H$11</f>
        <v>0</v>
      </c>
      <c r="C25" s="35">
        <f t="shared" si="4"/>
        <v>0</v>
      </c>
      <c r="D25" s="26"/>
      <c r="E25" s="35">
        <f t="shared" si="0"/>
        <v>0</v>
      </c>
      <c r="F25" s="36">
        <f t="shared" si="1"/>
        <v>0</v>
      </c>
      <c r="G25" s="26">
        <v>85000</v>
      </c>
      <c r="H25" s="37">
        <f t="shared" si="2"/>
        <v>1112.0833333333333</v>
      </c>
      <c r="I25" s="38">
        <f t="shared" si="3"/>
        <v>0</v>
      </c>
    </row>
    <row r="26" spans="2:9" x14ac:dyDescent="0.25">
      <c r="B26" s="34">
        <f>0.9*$H$11</f>
        <v>0</v>
      </c>
      <c r="C26" s="35">
        <f t="shared" si="4"/>
        <v>0</v>
      </c>
      <c r="D26" s="26"/>
      <c r="E26" s="35">
        <f t="shared" si="0"/>
        <v>0</v>
      </c>
      <c r="F26" s="36">
        <f t="shared" si="1"/>
        <v>0</v>
      </c>
      <c r="G26" s="26">
        <v>90000</v>
      </c>
      <c r="H26" s="37">
        <f t="shared" si="2"/>
        <v>1177.5</v>
      </c>
      <c r="I26" s="38">
        <f t="shared" si="3"/>
        <v>0</v>
      </c>
    </row>
    <row r="27" spans="2:9" x14ac:dyDescent="0.25">
      <c r="B27" s="34">
        <f>0.95*$H$11</f>
        <v>0</v>
      </c>
      <c r="C27" s="35">
        <f t="shared" si="4"/>
        <v>0</v>
      </c>
      <c r="D27" s="26"/>
      <c r="E27" s="35">
        <f t="shared" si="0"/>
        <v>0</v>
      </c>
      <c r="F27" s="36">
        <f t="shared" si="1"/>
        <v>0</v>
      </c>
      <c r="G27" s="26">
        <v>95000</v>
      </c>
      <c r="H27" s="37">
        <f t="shared" si="2"/>
        <v>1242.9166666666665</v>
      </c>
      <c r="I27" s="38">
        <f t="shared" si="3"/>
        <v>0</v>
      </c>
    </row>
    <row r="28" spans="2:9" x14ac:dyDescent="0.25">
      <c r="B28" s="34">
        <f>1*$H$11</f>
        <v>0</v>
      </c>
      <c r="C28" s="35">
        <f t="shared" si="4"/>
        <v>0</v>
      </c>
      <c r="D28" s="26"/>
      <c r="E28" s="35">
        <f>C28-(34.4764881*D28-4.325744048*D28^2+0.369475446*D28^3-0.01733631*D28^4+0.000339472*D28^5)</f>
        <v>0</v>
      </c>
      <c r="F28" s="36">
        <f t="shared" si="1"/>
        <v>0</v>
      </c>
      <c r="G28" s="26">
        <v>100000</v>
      </c>
      <c r="H28" s="37">
        <f t="shared" si="2"/>
        <v>1308.333333333333</v>
      </c>
      <c r="I28" s="38">
        <f t="shared" si="3"/>
        <v>0</v>
      </c>
    </row>
    <row r="29" spans="2:9" x14ac:dyDescent="0.25">
      <c r="G29" s="10" t="s">
        <v>98</v>
      </c>
    </row>
    <row r="30" spans="2:9" x14ac:dyDescent="0.25">
      <c r="C30" s="39"/>
      <c r="G30" s="10" t="s">
        <v>99</v>
      </c>
      <c r="H30" s="41"/>
    </row>
    <row r="31" spans="2:9" x14ac:dyDescent="0.25">
      <c r="B31" s="33"/>
      <c r="C31" s="33"/>
      <c r="D31" s="33"/>
      <c r="E31" s="33"/>
      <c r="F31" s="33"/>
      <c r="G31" s="10" t="s">
        <v>100</v>
      </c>
      <c r="H31" s="41"/>
    </row>
    <row r="32" spans="2:9" x14ac:dyDescent="0.25">
      <c r="B32" s="40"/>
      <c r="C32" s="40"/>
      <c r="D32" s="40"/>
      <c r="E32" s="40"/>
      <c r="F32" s="40"/>
      <c r="G32" s="10" t="s">
        <v>101</v>
      </c>
      <c r="H32" s="24"/>
    </row>
    <row r="33" spans="2:9" x14ac:dyDescent="0.25">
      <c r="B33" s="40"/>
      <c r="C33" s="40"/>
      <c r="D33" s="40"/>
      <c r="E33" s="40"/>
      <c r="F33" s="40"/>
      <c r="I33" t="s">
        <v>8</v>
      </c>
    </row>
    <row r="36" spans="2:9" x14ac:dyDescent="0.25">
      <c r="B36" s="29" t="s">
        <v>82</v>
      </c>
      <c r="D36" s="24"/>
      <c r="E36" t="s">
        <v>83</v>
      </c>
    </row>
    <row r="37" spans="2:9" x14ac:dyDescent="0.25">
      <c r="B37" s="29" t="s">
        <v>84</v>
      </c>
      <c r="D37" s="24"/>
      <c r="E37" t="s">
        <v>85</v>
      </c>
      <c r="I37" s="39"/>
    </row>
    <row r="38" spans="2:9" x14ac:dyDescent="0.25">
      <c r="B38" s="29" t="s">
        <v>86</v>
      </c>
      <c r="D38" s="26"/>
    </row>
    <row r="39" spans="2:9" x14ac:dyDescent="0.25">
      <c r="B39" s="30" t="s">
        <v>87</v>
      </c>
      <c r="C39" s="31" t="s">
        <v>88</v>
      </c>
      <c r="D39" s="31" t="s">
        <v>89</v>
      </c>
      <c r="E39" s="31" t="s">
        <v>90</v>
      </c>
      <c r="F39" s="42"/>
      <c r="G39" s="32" t="s">
        <v>91</v>
      </c>
      <c r="H39" s="31"/>
      <c r="I39" s="31"/>
    </row>
    <row r="40" spans="2:9" x14ac:dyDescent="0.25">
      <c r="B40" s="31" t="s">
        <v>92</v>
      </c>
      <c r="C40" s="31" t="s">
        <v>93</v>
      </c>
      <c r="D40" s="31" t="s">
        <v>94</v>
      </c>
      <c r="E40" s="31" t="s">
        <v>93</v>
      </c>
      <c r="F40" s="31" t="s">
        <v>95</v>
      </c>
      <c r="G40" s="32" t="s">
        <v>96</v>
      </c>
      <c r="H40" s="31" t="s">
        <v>93</v>
      </c>
      <c r="I40" s="31" t="s">
        <v>97</v>
      </c>
    </row>
    <row r="41" spans="2:9" x14ac:dyDescent="0.25">
      <c r="B41" s="34">
        <f>0.25*$H$11</f>
        <v>0</v>
      </c>
      <c r="C41" s="35">
        <f>(2350/61.7)*B41*0.395</f>
        <v>0</v>
      </c>
      <c r="D41" s="26"/>
      <c r="E41" s="35">
        <f t="shared" ref="E41:E51" si="5">C41-(34.4764881*D41-4.325744048*D41^2+0.369475446*D41^3-0.01733631*D41^4+0.000339472*D41^5)</f>
        <v>0</v>
      </c>
      <c r="F41" s="36">
        <f t="shared" ref="F41:F51" si="6">(E41*60)/Volume</f>
        <v>0</v>
      </c>
      <c r="G41" s="26">
        <v>20000</v>
      </c>
      <c r="H41" s="37">
        <f t="shared" ref="H41:H51" si="7">G41*Volume/60</f>
        <v>261.66666666666663</v>
      </c>
      <c r="I41" s="38">
        <f t="shared" ref="I41:I51" si="8">G41^2*P1a+G41*P1b+P1c</f>
        <v>0</v>
      </c>
    </row>
    <row r="42" spans="2:9" x14ac:dyDescent="0.25">
      <c r="B42" s="34">
        <f>0.4*$H$11</f>
        <v>0</v>
      </c>
      <c r="C42" s="35">
        <f t="shared" ref="C42:C50" si="9">(2350/61.7)*B42*0.395</f>
        <v>0</v>
      </c>
      <c r="D42" s="26"/>
      <c r="E42" s="35">
        <f t="shared" si="5"/>
        <v>0</v>
      </c>
      <c r="F42" s="36">
        <f t="shared" si="6"/>
        <v>0</v>
      </c>
      <c r="G42" s="26">
        <v>35000</v>
      </c>
      <c r="H42" s="37">
        <f t="shared" si="7"/>
        <v>457.91666666666663</v>
      </c>
      <c r="I42" s="38">
        <f t="shared" si="8"/>
        <v>0</v>
      </c>
    </row>
    <row r="43" spans="2:9" x14ac:dyDescent="0.25">
      <c r="B43" s="34">
        <f>0.5*$H$11</f>
        <v>0</v>
      </c>
      <c r="C43" s="35">
        <f t="shared" si="9"/>
        <v>0</v>
      </c>
      <c r="D43" s="26"/>
      <c r="E43" s="35">
        <f t="shared" si="5"/>
        <v>0</v>
      </c>
      <c r="F43" s="36">
        <f t="shared" si="6"/>
        <v>0</v>
      </c>
      <c r="G43" s="26">
        <v>50000</v>
      </c>
      <c r="H43" s="37">
        <f t="shared" si="7"/>
        <v>654.16666666666652</v>
      </c>
      <c r="I43" s="38">
        <f t="shared" si="8"/>
        <v>0</v>
      </c>
    </row>
    <row r="44" spans="2:9" x14ac:dyDescent="0.25">
      <c r="B44" s="34">
        <f>0.6*$H$11</f>
        <v>0</v>
      </c>
      <c r="C44" s="35">
        <f t="shared" si="9"/>
        <v>0</v>
      </c>
      <c r="D44" s="26"/>
      <c r="E44" s="35">
        <f t="shared" si="5"/>
        <v>0</v>
      </c>
      <c r="F44" s="36">
        <f t="shared" si="6"/>
        <v>0</v>
      </c>
      <c r="G44" s="26">
        <v>60000</v>
      </c>
      <c r="H44" s="37">
        <f t="shared" si="7"/>
        <v>784.99999999999989</v>
      </c>
      <c r="I44" s="38">
        <f t="shared" si="8"/>
        <v>0</v>
      </c>
    </row>
    <row r="45" spans="2:9" x14ac:dyDescent="0.25">
      <c r="B45" s="34">
        <f>0.7*$H$11</f>
        <v>0</v>
      </c>
      <c r="C45" s="35">
        <f t="shared" si="9"/>
        <v>0</v>
      </c>
      <c r="D45" s="26"/>
      <c r="E45" s="35">
        <f t="shared" si="5"/>
        <v>0</v>
      </c>
      <c r="F45" s="36">
        <f t="shared" si="6"/>
        <v>0</v>
      </c>
      <c r="G45" s="26">
        <v>70000</v>
      </c>
      <c r="H45" s="37">
        <f t="shared" si="7"/>
        <v>915.83333333333326</v>
      </c>
      <c r="I45" s="38">
        <f t="shared" si="8"/>
        <v>0</v>
      </c>
    </row>
    <row r="46" spans="2:9" x14ac:dyDescent="0.25">
      <c r="B46" s="34">
        <f>0.75*$H$11</f>
        <v>0</v>
      </c>
      <c r="C46" s="35">
        <f t="shared" si="9"/>
        <v>0</v>
      </c>
      <c r="D46" s="26"/>
      <c r="E46" s="35">
        <f t="shared" si="5"/>
        <v>0</v>
      </c>
      <c r="F46" s="36">
        <f t="shared" si="6"/>
        <v>0</v>
      </c>
      <c r="G46" s="26">
        <v>75000</v>
      </c>
      <c r="H46" s="37">
        <f t="shared" si="7"/>
        <v>981.24999999999989</v>
      </c>
      <c r="I46" s="38">
        <f t="shared" si="8"/>
        <v>0</v>
      </c>
    </row>
    <row r="47" spans="2:9" x14ac:dyDescent="0.25">
      <c r="B47" s="34">
        <f>0.8*$H$11</f>
        <v>0</v>
      </c>
      <c r="C47" s="35">
        <f t="shared" si="9"/>
        <v>0</v>
      </c>
      <c r="D47" s="26"/>
      <c r="E47" s="35">
        <f t="shared" si="5"/>
        <v>0</v>
      </c>
      <c r="F47" s="36">
        <f t="shared" si="6"/>
        <v>0</v>
      </c>
      <c r="G47" s="26">
        <v>80000</v>
      </c>
      <c r="H47" s="37">
        <f t="shared" si="7"/>
        <v>1046.6666666666665</v>
      </c>
      <c r="I47" s="38">
        <f t="shared" si="8"/>
        <v>0</v>
      </c>
    </row>
    <row r="48" spans="2:9" x14ac:dyDescent="0.25">
      <c r="B48" s="34">
        <f>0.85*$H$11</f>
        <v>0</v>
      </c>
      <c r="C48" s="35">
        <f t="shared" si="9"/>
        <v>0</v>
      </c>
      <c r="D48" s="26"/>
      <c r="E48" s="35">
        <f t="shared" si="5"/>
        <v>0</v>
      </c>
      <c r="F48" s="36">
        <f t="shared" si="6"/>
        <v>0</v>
      </c>
      <c r="G48" s="26">
        <v>85000</v>
      </c>
      <c r="H48" s="37">
        <f t="shared" si="7"/>
        <v>1112.0833333333333</v>
      </c>
      <c r="I48" s="38">
        <f t="shared" si="8"/>
        <v>0</v>
      </c>
    </row>
    <row r="49" spans="2:9" x14ac:dyDescent="0.25">
      <c r="B49" s="34">
        <f>0.9*$H$11</f>
        <v>0</v>
      </c>
      <c r="C49" s="35">
        <f t="shared" si="9"/>
        <v>0</v>
      </c>
      <c r="D49" s="26"/>
      <c r="E49" s="35">
        <f t="shared" si="5"/>
        <v>0</v>
      </c>
      <c r="F49" s="36">
        <f t="shared" si="6"/>
        <v>0</v>
      </c>
      <c r="G49" s="26">
        <v>90000</v>
      </c>
      <c r="H49" s="37">
        <f t="shared" si="7"/>
        <v>1177.5</v>
      </c>
      <c r="I49" s="38">
        <f t="shared" si="8"/>
        <v>0</v>
      </c>
    </row>
    <row r="50" spans="2:9" x14ac:dyDescent="0.25">
      <c r="B50" s="34">
        <f>0.95*$H$11</f>
        <v>0</v>
      </c>
      <c r="C50" s="35">
        <f t="shared" si="9"/>
        <v>0</v>
      </c>
      <c r="D50" s="26"/>
      <c r="E50" s="35">
        <f t="shared" si="5"/>
        <v>0</v>
      </c>
      <c r="F50" s="36">
        <f t="shared" si="6"/>
        <v>0</v>
      </c>
      <c r="G50" s="26">
        <v>95000</v>
      </c>
      <c r="H50" s="37">
        <f t="shared" si="7"/>
        <v>1242.9166666666665</v>
      </c>
      <c r="I50" s="38">
        <f t="shared" si="8"/>
        <v>0</v>
      </c>
    </row>
    <row r="51" spans="2:9" x14ac:dyDescent="0.25">
      <c r="B51" s="34">
        <f>1*$H$11</f>
        <v>0</v>
      </c>
      <c r="C51" s="35">
        <f>(2350/61.7)*B51*0.395</f>
        <v>0</v>
      </c>
      <c r="D51" s="26"/>
      <c r="E51" s="35">
        <f t="shared" si="5"/>
        <v>0</v>
      </c>
      <c r="F51" s="36">
        <f t="shared" si="6"/>
        <v>0</v>
      </c>
      <c r="G51" s="26">
        <v>100000</v>
      </c>
      <c r="H51" s="37">
        <f t="shared" si="7"/>
        <v>1308.333333333333</v>
      </c>
      <c r="I51" s="38">
        <f t="shared" si="8"/>
        <v>0</v>
      </c>
    </row>
    <row r="52" spans="2:9" x14ac:dyDescent="0.25">
      <c r="G52" s="10" t="s">
        <v>98</v>
      </c>
    </row>
    <row r="53" spans="2:9" x14ac:dyDescent="0.25">
      <c r="B53" s="40"/>
      <c r="C53" s="40"/>
      <c r="D53" s="40"/>
      <c r="G53" s="10" t="s">
        <v>99</v>
      </c>
      <c r="H53" s="41"/>
    </row>
    <row r="54" spans="2:9" x14ac:dyDescent="0.25">
      <c r="C54" s="40"/>
      <c r="D54" s="40"/>
      <c r="E54" s="42"/>
      <c r="F54" s="42"/>
      <c r="G54" s="10" t="s">
        <v>100</v>
      </c>
      <c r="H54" s="41"/>
    </row>
    <row r="55" spans="2:9" x14ac:dyDescent="0.25">
      <c r="B55" s="43"/>
      <c r="C55" s="40"/>
      <c r="D55" s="40"/>
      <c r="E55" s="42"/>
      <c r="F55" s="42"/>
      <c r="G55" s="10" t="s">
        <v>101</v>
      </c>
      <c r="H55" s="41"/>
    </row>
    <row r="56" spans="2:9" x14ac:dyDescent="0.25">
      <c r="B56" s="43"/>
      <c r="C56" s="40"/>
      <c r="D56" s="40"/>
      <c r="E56" s="40"/>
      <c r="F56" s="40"/>
    </row>
    <row r="57" spans="2:9" x14ac:dyDescent="0.25">
      <c r="C57" s="40"/>
      <c r="D57" s="40"/>
      <c r="E57" s="40"/>
      <c r="F57" s="40"/>
    </row>
    <row r="60" spans="2:9" x14ac:dyDescent="0.25">
      <c r="B60" s="29" t="s">
        <v>82</v>
      </c>
      <c r="D60" s="24"/>
      <c r="E60" t="s">
        <v>83</v>
      </c>
    </row>
    <row r="61" spans="2:9" x14ac:dyDescent="0.25">
      <c r="B61" s="29" t="s">
        <v>84</v>
      </c>
      <c r="D61" s="24"/>
      <c r="E61" t="s">
        <v>85</v>
      </c>
    </row>
    <row r="62" spans="2:9" x14ac:dyDescent="0.25">
      <c r="B62" s="29" t="s">
        <v>86</v>
      </c>
      <c r="D62" s="26"/>
      <c r="H62" s="23"/>
      <c r="I62" s="23"/>
    </row>
    <row r="63" spans="2:9" x14ac:dyDescent="0.25">
      <c r="B63" s="30" t="s">
        <v>87</v>
      </c>
      <c r="C63" s="31" t="s">
        <v>88</v>
      </c>
      <c r="D63" s="31" t="s">
        <v>89</v>
      </c>
      <c r="E63" s="31" t="s">
        <v>90</v>
      </c>
      <c r="F63" s="42"/>
      <c r="G63" s="32" t="s">
        <v>91</v>
      </c>
      <c r="H63" s="31"/>
      <c r="I63" s="31"/>
    </row>
    <row r="64" spans="2:9" x14ac:dyDescent="0.25">
      <c r="B64" s="31" t="s">
        <v>92</v>
      </c>
      <c r="C64" s="31" t="s">
        <v>93</v>
      </c>
      <c r="D64" s="31" t="s">
        <v>94</v>
      </c>
      <c r="E64" s="31" t="s">
        <v>93</v>
      </c>
      <c r="F64" s="31" t="s">
        <v>95</v>
      </c>
      <c r="G64" s="32" t="s">
        <v>96</v>
      </c>
      <c r="H64" s="31" t="s">
        <v>93</v>
      </c>
      <c r="I64" s="31" t="s">
        <v>97</v>
      </c>
    </row>
    <row r="65" spans="2:9" x14ac:dyDescent="0.25">
      <c r="B65" s="34">
        <f>0.25*$H$11</f>
        <v>0</v>
      </c>
      <c r="C65" s="35">
        <f>(2350/61.7)*B65*0.395</f>
        <v>0</v>
      </c>
      <c r="D65" s="26"/>
      <c r="E65" s="35">
        <f t="shared" ref="E65:E75" si="10">C65-(34.4764881*D65-4.325744048*D65^2+0.369475446*D65^3-0.01733631*D65^4+0.000339472*D65^5)</f>
        <v>0</v>
      </c>
      <c r="F65" s="35">
        <f t="shared" ref="F65:F75" si="11">(E65*60)/Volume</f>
        <v>0</v>
      </c>
      <c r="G65" s="26">
        <v>20000</v>
      </c>
      <c r="H65" s="37">
        <f t="shared" ref="H65:H75" si="12">G65*Volume/60</f>
        <v>261.66666666666663</v>
      </c>
      <c r="I65" s="38">
        <f t="shared" ref="I65:I75" si="13">G65^2*P2a+G65*P2b+P2c</f>
        <v>0</v>
      </c>
    </row>
    <row r="66" spans="2:9" x14ac:dyDescent="0.25">
      <c r="B66" s="34">
        <f>0.4*$H$11</f>
        <v>0</v>
      </c>
      <c r="C66" s="35">
        <f t="shared" ref="C66:C75" si="14">(2350/61.7)*B66*0.395</f>
        <v>0</v>
      </c>
      <c r="D66" s="26"/>
      <c r="E66" s="35">
        <f t="shared" si="10"/>
        <v>0</v>
      </c>
      <c r="F66" s="35">
        <f t="shared" si="11"/>
        <v>0</v>
      </c>
      <c r="G66" s="26">
        <v>35000</v>
      </c>
      <c r="H66" s="37">
        <f t="shared" si="12"/>
        <v>457.91666666666663</v>
      </c>
      <c r="I66" s="38">
        <f t="shared" si="13"/>
        <v>0</v>
      </c>
    </row>
    <row r="67" spans="2:9" x14ac:dyDescent="0.25">
      <c r="B67" s="34">
        <f>0.5*$H$11</f>
        <v>0</v>
      </c>
      <c r="C67" s="35">
        <f t="shared" si="14"/>
        <v>0</v>
      </c>
      <c r="D67" s="26"/>
      <c r="E67" s="35">
        <f t="shared" si="10"/>
        <v>0</v>
      </c>
      <c r="F67" s="35">
        <f t="shared" si="11"/>
        <v>0</v>
      </c>
      <c r="G67" s="26">
        <v>50000</v>
      </c>
      <c r="H67" s="37">
        <f t="shared" si="12"/>
        <v>654.16666666666652</v>
      </c>
      <c r="I67" s="38">
        <f t="shared" si="13"/>
        <v>0</v>
      </c>
    </row>
    <row r="68" spans="2:9" x14ac:dyDescent="0.25">
      <c r="B68" s="34">
        <f>0.6*$H$11</f>
        <v>0</v>
      </c>
      <c r="C68" s="35">
        <f t="shared" si="14"/>
        <v>0</v>
      </c>
      <c r="D68" s="26"/>
      <c r="E68" s="35">
        <f t="shared" si="10"/>
        <v>0</v>
      </c>
      <c r="F68" s="35">
        <f t="shared" si="11"/>
        <v>0</v>
      </c>
      <c r="G68" s="26">
        <v>60000</v>
      </c>
      <c r="H68" s="37">
        <f t="shared" si="12"/>
        <v>784.99999999999989</v>
      </c>
      <c r="I68" s="38">
        <f t="shared" si="13"/>
        <v>0</v>
      </c>
    </row>
    <row r="69" spans="2:9" x14ac:dyDescent="0.25">
      <c r="B69" s="34">
        <f>0.7*$H$11</f>
        <v>0</v>
      </c>
      <c r="C69" s="35">
        <f t="shared" si="14"/>
        <v>0</v>
      </c>
      <c r="D69" s="26"/>
      <c r="E69" s="35">
        <f t="shared" si="10"/>
        <v>0</v>
      </c>
      <c r="F69" s="35">
        <f t="shared" si="11"/>
        <v>0</v>
      </c>
      <c r="G69" s="26">
        <v>70000</v>
      </c>
      <c r="H69" s="37">
        <f t="shared" si="12"/>
        <v>915.83333333333326</v>
      </c>
      <c r="I69" s="38">
        <f t="shared" si="13"/>
        <v>0</v>
      </c>
    </row>
    <row r="70" spans="2:9" x14ac:dyDescent="0.25">
      <c r="B70" s="34">
        <f>0.75*$H$11</f>
        <v>0</v>
      </c>
      <c r="C70" s="35">
        <f t="shared" si="14"/>
        <v>0</v>
      </c>
      <c r="D70" s="26"/>
      <c r="E70" s="35">
        <f t="shared" si="10"/>
        <v>0</v>
      </c>
      <c r="F70" s="35">
        <f t="shared" si="11"/>
        <v>0</v>
      </c>
      <c r="G70" s="26">
        <v>75000</v>
      </c>
      <c r="H70" s="37">
        <f t="shared" si="12"/>
        <v>981.24999999999989</v>
      </c>
      <c r="I70" s="38">
        <f t="shared" si="13"/>
        <v>0</v>
      </c>
    </row>
    <row r="71" spans="2:9" x14ac:dyDescent="0.25">
      <c r="B71" s="34">
        <f>0.8*$H$11</f>
        <v>0</v>
      </c>
      <c r="C71" s="35">
        <f t="shared" si="14"/>
        <v>0</v>
      </c>
      <c r="D71" s="26"/>
      <c r="E71" s="35">
        <f t="shared" si="10"/>
        <v>0</v>
      </c>
      <c r="F71" s="35">
        <f t="shared" si="11"/>
        <v>0</v>
      </c>
      <c r="G71" s="26">
        <v>80000</v>
      </c>
      <c r="H71" s="37">
        <f t="shared" si="12"/>
        <v>1046.6666666666665</v>
      </c>
      <c r="I71" s="38">
        <f t="shared" si="13"/>
        <v>0</v>
      </c>
    </row>
    <row r="72" spans="2:9" x14ac:dyDescent="0.25">
      <c r="B72" s="34">
        <f>0.85*$H$11</f>
        <v>0</v>
      </c>
      <c r="C72" s="35">
        <f t="shared" si="14"/>
        <v>0</v>
      </c>
      <c r="D72" s="26"/>
      <c r="E72" s="35">
        <f t="shared" si="10"/>
        <v>0</v>
      </c>
      <c r="F72" s="35">
        <f t="shared" si="11"/>
        <v>0</v>
      </c>
      <c r="G72" s="26">
        <v>85000</v>
      </c>
      <c r="H72" s="37">
        <f t="shared" si="12"/>
        <v>1112.0833333333333</v>
      </c>
      <c r="I72" s="38">
        <f t="shared" si="13"/>
        <v>0</v>
      </c>
    </row>
    <row r="73" spans="2:9" x14ac:dyDescent="0.25">
      <c r="B73" s="34">
        <f>0.9*$H$11</f>
        <v>0</v>
      </c>
      <c r="C73" s="35">
        <f t="shared" si="14"/>
        <v>0</v>
      </c>
      <c r="D73" s="26"/>
      <c r="E73" s="35">
        <f t="shared" si="10"/>
        <v>0</v>
      </c>
      <c r="F73" s="35">
        <f t="shared" si="11"/>
        <v>0</v>
      </c>
      <c r="G73" s="26">
        <v>90000</v>
      </c>
      <c r="H73" s="37">
        <f t="shared" si="12"/>
        <v>1177.5</v>
      </c>
      <c r="I73" s="38">
        <f t="shared" si="13"/>
        <v>0</v>
      </c>
    </row>
    <row r="74" spans="2:9" x14ac:dyDescent="0.25">
      <c r="B74" s="34">
        <f>0.95*$H$11</f>
        <v>0</v>
      </c>
      <c r="C74" s="35">
        <f t="shared" si="14"/>
        <v>0</v>
      </c>
      <c r="D74" s="26"/>
      <c r="E74" s="35">
        <f t="shared" si="10"/>
        <v>0</v>
      </c>
      <c r="F74" s="35">
        <f t="shared" si="11"/>
        <v>0</v>
      </c>
      <c r="G74" s="26">
        <v>95000</v>
      </c>
      <c r="H74" s="37">
        <f t="shared" si="12"/>
        <v>1242.9166666666665</v>
      </c>
      <c r="I74" s="38">
        <f t="shared" si="13"/>
        <v>0</v>
      </c>
    </row>
    <row r="75" spans="2:9" x14ac:dyDescent="0.25">
      <c r="B75" s="34">
        <f>1*$H$11</f>
        <v>0</v>
      </c>
      <c r="C75" s="35">
        <f t="shared" si="14"/>
        <v>0</v>
      </c>
      <c r="D75" s="26"/>
      <c r="E75" s="35">
        <f t="shared" si="10"/>
        <v>0</v>
      </c>
      <c r="F75" s="35">
        <f t="shared" si="11"/>
        <v>0</v>
      </c>
      <c r="G75" s="26">
        <v>100000</v>
      </c>
      <c r="H75" s="37">
        <f t="shared" si="12"/>
        <v>1308.333333333333</v>
      </c>
      <c r="I75" s="38">
        <f t="shared" si="13"/>
        <v>0</v>
      </c>
    </row>
    <row r="76" spans="2:9" x14ac:dyDescent="0.25">
      <c r="G76" s="10" t="s">
        <v>98</v>
      </c>
    </row>
    <row r="77" spans="2:9" x14ac:dyDescent="0.25">
      <c r="F77" s="44"/>
      <c r="G77" s="10" t="s">
        <v>99</v>
      </c>
      <c r="H77" s="41"/>
    </row>
    <row r="78" spans="2:9" x14ac:dyDescent="0.25">
      <c r="B78" s="43"/>
      <c r="C78" s="42"/>
      <c r="D78" s="42"/>
      <c r="F78" s="23"/>
      <c r="G78" s="10" t="s">
        <v>100</v>
      </c>
      <c r="H78" s="41"/>
    </row>
    <row r="79" spans="2:9" x14ac:dyDescent="0.25">
      <c r="B79" s="43"/>
      <c r="C79" s="42"/>
      <c r="D79" s="42"/>
      <c r="E79" s="39"/>
      <c r="F79" s="23"/>
      <c r="G79" s="10" t="s">
        <v>101</v>
      </c>
      <c r="H79" s="24"/>
    </row>
    <row r="80" spans="2:9" x14ac:dyDescent="0.25">
      <c r="C80" s="45"/>
      <c r="D80" s="40"/>
      <c r="F80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60</vt:i4>
      </vt:variant>
    </vt:vector>
  </HeadingPairs>
  <TitlesOfParts>
    <vt:vector size="7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2019-03-18T12:00:52Z</dcterms:modified>
</cp:coreProperties>
</file>