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B8C50951-8153-4176-BC51-0068C83627B3}" xr6:coauthVersionLast="43" xr6:coauthVersionMax="43" xr10:uidLastSave="{00000000-0000-0000-0000-000000000000}"/>
  <bookViews>
    <workbookView xWindow="-120" yWindow="-120" windowWidth="29040" windowHeight="15990" activeTab="12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QAProcess!$I$12</definedName>
    <definedName name="P0AirTemp" localSheetId="12">QAProcess!$D$12</definedName>
    <definedName name="P0b" localSheetId="12">QAProcess!$I$13</definedName>
    <definedName name="P0BackPress" localSheetId="12">QAProcess!$D$14</definedName>
    <definedName name="P0BaroPress" localSheetId="12">QAProcess!$D$13</definedName>
    <definedName name="P0c" localSheetId="10">[1]QAProcess!$H$36</definedName>
    <definedName name="P0c">QAProcess!$I$14</definedName>
    <definedName name="P0PSI" localSheetId="12">QAProcess!$D$17:$D$27</definedName>
    <definedName name="P0SV" localSheetId="12">QAProcess!$G$17:$G$27</definedName>
    <definedName name="P1a" localSheetId="12">QAProcess!$I$31</definedName>
    <definedName name="P1AirTemp" localSheetId="12">QAProcess!$D$31</definedName>
    <definedName name="P1b" localSheetId="12">QAProcess!$I$32</definedName>
    <definedName name="P1BackPress" localSheetId="12">QAProcess!$D$33</definedName>
    <definedName name="P1BaroPress" localSheetId="12">QAProcess!$D$32</definedName>
    <definedName name="P1c" localSheetId="12">QAProcess!$I$33</definedName>
    <definedName name="P1PSI" localSheetId="12">QAProcess!$D$36:$D$46</definedName>
    <definedName name="P1SV" localSheetId="12">QAProcess!$G$36:$G$46</definedName>
    <definedName name="P2a" localSheetId="12">QAProcess!$I$50</definedName>
    <definedName name="P2AirTemp" localSheetId="12">QAProcess!$D$50</definedName>
    <definedName name="P2b" localSheetId="12">QAProcess!$I$51</definedName>
    <definedName name="P2BackPress" localSheetId="12">QAProcess!$D$52</definedName>
    <definedName name="P2BaroPress" localSheetId="12">QAProcess!$D$51</definedName>
    <definedName name="P2c" localSheetId="12">QAProcess!$I$52</definedName>
    <definedName name="P2PSI">QAProcess!$D$55:$D$65</definedName>
    <definedName name="P2SV" localSheetId="12">QAProcess!$G$55:$G$65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Vehicle!$B$3:$B$9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9" i="18" l="1"/>
  <c r="I65" i="19" l="1"/>
  <c r="I64" i="19"/>
  <c r="I63" i="19"/>
  <c r="I62" i="19"/>
  <c r="I61" i="19"/>
  <c r="I60" i="19"/>
  <c r="I59" i="19"/>
  <c r="I58" i="19"/>
  <c r="I57" i="19"/>
  <c r="I56" i="19"/>
  <c r="I55" i="19"/>
  <c r="I46" i="19"/>
  <c r="I45" i="19"/>
  <c r="I44" i="19"/>
  <c r="I43" i="19"/>
  <c r="I42" i="19"/>
  <c r="I41" i="19"/>
  <c r="I40" i="19"/>
  <c r="I39" i="19"/>
  <c r="I38" i="19"/>
  <c r="I37" i="19"/>
  <c r="I36" i="19"/>
  <c r="I27" i="19"/>
  <c r="I26" i="19"/>
  <c r="I25" i="19"/>
  <c r="I24" i="19"/>
  <c r="I23" i="19"/>
  <c r="I22" i="19"/>
  <c r="I21" i="19"/>
  <c r="I20" i="19"/>
  <c r="I19" i="19"/>
  <c r="I18" i="19"/>
  <c r="I17" i="19"/>
  <c r="C8" i="19"/>
  <c r="C9" i="19" s="1"/>
  <c r="H65" i="19" l="1"/>
  <c r="H64" i="19"/>
  <c r="H63" i="19"/>
  <c r="H62" i="19"/>
  <c r="H61" i="19"/>
  <c r="H60" i="19"/>
  <c r="H59" i="19"/>
  <c r="H58" i="19"/>
  <c r="H57" i="19"/>
  <c r="H56" i="19"/>
  <c r="H55" i="19"/>
  <c r="H46" i="19"/>
  <c r="H45" i="19"/>
  <c r="H44" i="19"/>
  <c r="H43" i="19"/>
  <c r="H42" i="19"/>
  <c r="H41" i="19"/>
  <c r="H40" i="19"/>
  <c r="H39" i="19"/>
  <c r="H38" i="19"/>
  <c r="H37" i="19"/>
  <c r="H36" i="19"/>
  <c r="H27" i="19"/>
  <c r="H26" i="19"/>
  <c r="H25" i="19"/>
  <c r="H24" i="19"/>
  <c r="H23" i="19"/>
  <c r="H22" i="19"/>
  <c r="H21" i="19"/>
  <c r="H20" i="19"/>
  <c r="H19" i="19"/>
  <c r="H18" i="19"/>
  <c r="G7" i="19"/>
  <c r="G8" i="19" s="1"/>
  <c r="H17" i="19"/>
  <c r="B65" i="19" l="1"/>
  <c r="C65" i="19" s="1"/>
  <c r="E65" i="19" s="1"/>
  <c r="F65" i="19" s="1"/>
  <c r="B64" i="19"/>
  <c r="C64" i="19" s="1"/>
  <c r="E64" i="19" s="1"/>
  <c r="F64" i="19" s="1"/>
  <c r="B63" i="19"/>
  <c r="C63" i="19" s="1"/>
  <c r="E63" i="19" s="1"/>
  <c r="F63" i="19" s="1"/>
  <c r="B62" i="19"/>
  <c r="C62" i="19" s="1"/>
  <c r="E62" i="19" s="1"/>
  <c r="F62" i="19" s="1"/>
  <c r="B61" i="19"/>
  <c r="C61" i="19" s="1"/>
  <c r="E61" i="19" s="1"/>
  <c r="F61" i="19" s="1"/>
  <c r="B60" i="19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46" i="19"/>
  <c r="C46" i="19" s="1"/>
  <c r="E46" i="19" s="1"/>
  <c r="F46" i="19" s="1"/>
  <c r="B45" i="19"/>
  <c r="C45" i="19" s="1"/>
  <c r="E45" i="19" s="1"/>
  <c r="F45" i="19" s="1"/>
  <c r="B44" i="19"/>
  <c r="C44" i="19" s="1"/>
  <c r="E44" i="19" s="1"/>
  <c r="F44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27" i="19"/>
  <c r="C27" i="19" s="1"/>
  <c r="E27" i="19" s="1"/>
  <c r="F27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7" i="19"/>
  <c r="C17" i="19" s="1"/>
  <c r="E17" i="19" s="1"/>
  <c r="F17" i="19" s="1"/>
  <c r="B18" i="19"/>
  <c r="C18" i="19" s="1"/>
  <c r="E18" i="19" s="1"/>
  <c r="F18" i="19" s="1"/>
</calcChain>
</file>

<file path=xl/sharedStrings.xml><?xml version="1.0" encoding="utf-8"?>
<sst xmlns="http://schemas.openxmlformats.org/spreadsheetml/2006/main" count="430" uniqueCount="245">
  <si>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</si>
  <si>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</si>
  <si>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</si>
  <si>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</si>
  <si>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</si>
  <si>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</si>
  <si>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</si>
  <si>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</si>
  <si>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</si>
  <si>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</si>
  <si>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</si>
  <si>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</si>
  <si>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</si>
  <si>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</si>
  <si>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</si>
  <si>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</si>
  <si>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</si>
  <si>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</si>
  <si>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</si>
  <si>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</si>
  <si>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</si>
  <si>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</si>
  <si>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</si>
  <si>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</si>
  <si>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</si>
  <si>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</si>
  <si>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</si>
  <si>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</si>
  <si>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</si>
  <si>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</si>
  <si>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</si>
  <si>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</si>
  <si>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</si>
  <si>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</si>
  <si>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</si>
  <si>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</si>
  <si>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</si>
  <si>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</si>
  <si>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</si>
  <si>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</si>
  <si>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</si>
  <si>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</si>
  <si>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</si>
  <si>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</si>
  <si>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</si>
  <si>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</si>
  <si>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</si>
  <si>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</si>
  <si>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</si>
  <si>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</si>
  <si>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</si>
  <si>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</si>
  <si>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</si>
  <si>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</si>
  <si>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</si>
  <si>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</si>
  <si>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</si>
  <si>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</si>
  <si>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</si>
  <si>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</si>
  <si>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</si>
  <si>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</si>
  <si>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</si>
  <si>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</si>
  <si>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</si>
  <si>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</si>
  <si>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</si>
  <si>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</si>
  <si>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</si>
  <si>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</si>
  <si>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</si>
  <si>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</si>
  <si>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</si>
  <si>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</si>
  <si>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</si>
  <si>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</si>
  <si>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</si>
  <si>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</si>
  <si>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</si>
  <si>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</si>
  <si>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</si>
  <si>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</si>
  <si>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</si>
  <si>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</si>
  <si>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</si>
  <si>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</si>
  <si>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</si>
  <si>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</si>
  <si>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</si>
  <si>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</si>
  <si>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</si>
  <si>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</si>
  <si>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</si>
  <si>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</si>
  <si>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</si>
  <si>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</si>
  <si>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</si>
  <si>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</si>
  <si>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</si>
  <si>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</si>
  <si>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</si>
  <si>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</si>
  <si>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</si>
  <si>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</si>
  <si>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</si>
  <si>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</si>
  <si>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</si>
  <si>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</si>
  <si>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</si>
  <si>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</si>
  <si>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</si>
  <si>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</si>
  <si>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</si>
  <si>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</si>
  <si>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</si>
  <si>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</si>
  <si>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</si>
  <si>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</si>
  <si>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</si>
  <si>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</si>
  <si>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</si>
  <si>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</si>
  <si>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</si>
  <si>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</si>
  <si>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</si>
  <si>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</si>
  <si>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</si>
  <si>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</si>
  <si>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</si>
  <si>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</si>
  <si>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</si>
  <si>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</si>
  <si>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</si>
  <si>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</si>
  <si>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</si>
  <si>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</si>
  <si>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</si>
  <si>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</si>
  <si>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</si>
  <si>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</si>
  <si>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</si>
  <si>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</si>
  <si>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</si>
  <si>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</si>
  <si>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</si>
  <si>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</si>
  <si>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</si>
  <si>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</si>
  <si>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</si>
  <si>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</si>
  <si>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</si>
  <si>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</si>
  <si>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</si>
  <si>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</si>
  <si>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</si>
  <si>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</si>
  <si>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</si>
  <si>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</si>
  <si>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</si>
  <si>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</si>
  <si>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</si>
  <si>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</si>
  <si>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</si>
  <si>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</si>
  <si>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</si>
  <si>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</si>
  <si>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</si>
  <si>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</si>
  <si>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</si>
  <si>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</si>
  <si>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</si>
  <si>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</si>
  <si>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</si>
  <si>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</si>
  <si>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</si>
  <si>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</si>
  <si>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</si>
  <si>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</si>
  <si>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</si>
  <si>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</si>
  <si>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</si>
  <si>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</si>
  <si>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</si>
  <si>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</si>
  <si>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</si>
  <si>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</si>
  <si>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</si>
  <si>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</si>
  <si>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</si>
  <si>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</si>
  <si>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</si>
  <si>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</si>
  <si>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</si>
  <si>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</si>
  <si>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</si>
  <si>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</si>
  <si>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</si>
  <si>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</si>
  <si>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</si>
  <si>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</si>
  <si>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</si>
  <si>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</si>
  <si>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</si>
  <si>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</si>
  <si>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</si>
  <si>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</si>
  <si>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</si>
  <si>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</si>
  <si>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</si>
  <si>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</si>
  <si>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</si>
  <si>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</si>
  <si>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</si>
  <si>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</si>
  <si>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</si>
  <si>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</si>
  <si>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</si>
  <si>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</si>
  <si>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</si>
  <si>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</si>
  <si>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</si>
  <si>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</si>
  <si>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</si>
  <si>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</si>
  <si>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</si>
  <si>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</si>
  <si>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</si>
  <si>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</si>
  <si>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</si>
  <si>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</si>
  <si>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</si>
  <si>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</si>
  <si>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</si>
  <si>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</si>
  <si>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</si>
  <si>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</si>
  <si>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serial #</t>
  </si>
  <si>
    <t>asset # a</t>
  </si>
  <si>
    <t>Model a</t>
  </si>
  <si>
    <t>AWM-32</t>
  </si>
  <si>
    <t>s123456</t>
  </si>
  <si>
    <t>Cat 1</t>
  </si>
  <si>
    <t>bs123456-b</t>
  </si>
  <si>
    <t>bs123456-b / part #</t>
  </si>
  <si>
    <t>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</si>
</sst>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9" formatCode="0.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8" fillId="0" borderId="0" xfId="0" applyFont="1" applyAlignment="1">
      <alignment horizontal="left" vertical="center"/>
    </xf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166" fontId="0" fillId="2" borderId="0" xfId="0" applyNumberFormat="1" applyFill="1" applyAlignment="1">
      <alignment horizontal="right"/>
    </xf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9" fontId="0" fillId="4" borderId="4" xfId="0" applyNumberFormat="1" applyFill="1" applyBorder="1"/>
    <xf numFmtId="169" fontId="0" fillId="4" borderId="6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49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12" Type="http://schemas.openxmlformats.org/officeDocument/2006/relationships/image" Target="../media/image75.emf"/><Relationship Id="rId2" Type="http://schemas.openxmlformats.org/officeDocument/2006/relationships/image" Target="../media/image86.emf"/><Relationship Id="rId1" Type="http://schemas.openxmlformats.org/officeDocument/2006/relationships/image" Target="../media/image78.emf"/><Relationship Id="rId6" Type="http://schemas.openxmlformats.org/officeDocument/2006/relationships/image" Target="../media/image82.emf"/><Relationship Id="rId11" Type="http://schemas.openxmlformats.org/officeDocument/2006/relationships/image" Target="../media/image76.emf"/><Relationship Id="rId5" Type="http://schemas.openxmlformats.org/officeDocument/2006/relationships/image" Target="../media/image83.emf"/><Relationship Id="rId10" Type="http://schemas.openxmlformats.org/officeDocument/2006/relationships/image" Target="../media/image77.emf"/><Relationship Id="rId4" Type="http://schemas.openxmlformats.org/officeDocument/2006/relationships/image" Target="../media/image84.emf"/><Relationship Id="rId9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4.xml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24" Type="http://schemas.openxmlformats.org/officeDocument/2006/relationships/control" Target="../activeX/activeX90.xml"/><Relationship Id="rId32" Type="http://schemas.openxmlformats.org/officeDocument/2006/relationships/control" Target="../activeX/activeX95.xml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5.emf"/><Relationship Id="rId10" Type="http://schemas.openxmlformats.org/officeDocument/2006/relationships/control" Target="../activeX/activeX82.xml"/><Relationship Id="rId19" Type="http://schemas.openxmlformats.org/officeDocument/2006/relationships/image" Target="../media/image81.emf"/><Relationship Id="rId31" Type="http://schemas.openxmlformats.org/officeDocument/2006/relationships/control" Target="../activeX/activeX94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control" Target="../activeX/activeX92.xml"/><Relationship Id="rId30" Type="http://schemas.openxmlformats.org/officeDocument/2006/relationships/image" Target="../media/image8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7.emf"/><Relationship Id="rId4" Type="http://schemas.openxmlformats.org/officeDocument/2006/relationships/control" Target="../activeX/activeX96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D25" sqref="D25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31"/>
      <c r="C3" s="32"/>
      <c r="D3" s="32"/>
      <c r="E3" s="32"/>
      <c r="F3" s="49"/>
      <c r="G3" s="49"/>
      <c r="H3" s="49"/>
      <c r="I3" s="49"/>
      <c r="J3" s="49"/>
      <c r="K3" s="50"/>
    </row>
    <row r="4" spans="2:11" ht="15" customHeight="1" x14ac:dyDescent="0.25">
      <c r="B4" s="33"/>
      <c r="C4" s="34"/>
      <c r="D4" s="34"/>
      <c r="E4" s="34"/>
      <c r="F4" s="51"/>
      <c r="G4" s="51"/>
      <c r="H4" s="51"/>
      <c r="I4" s="51"/>
      <c r="J4" s="51"/>
      <c r="K4" s="52"/>
    </row>
    <row r="5" spans="2:11" ht="15" customHeight="1" x14ac:dyDescent="0.25">
      <c r="B5" s="33"/>
      <c r="C5" s="34"/>
      <c r="D5" s="34"/>
      <c r="E5" s="34"/>
      <c r="F5" s="51"/>
      <c r="G5" s="51"/>
      <c r="H5" s="51"/>
      <c r="I5" s="51"/>
      <c r="J5" s="51"/>
      <c r="K5" s="52"/>
    </row>
    <row r="6" spans="2:11" ht="15" customHeight="1" x14ac:dyDescent="0.25">
      <c r="B6" s="33"/>
      <c r="C6" s="34"/>
      <c r="D6" s="34"/>
      <c r="E6" s="34"/>
      <c r="F6" s="51"/>
      <c r="G6" s="51"/>
      <c r="H6" s="51"/>
      <c r="I6" s="51"/>
      <c r="J6" s="51"/>
      <c r="K6" s="52"/>
    </row>
    <row r="7" spans="2:11" ht="15" customHeight="1" x14ac:dyDescent="0.25">
      <c r="B7" s="33"/>
      <c r="C7" s="34"/>
      <c r="D7" s="34"/>
      <c r="E7" s="34"/>
      <c r="F7" s="51"/>
      <c r="G7" s="51"/>
      <c r="H7" s="51"/>
      <c r="I7" s="51"/>
      <c r="J7" s="51"/>
      <c r="K7" s="52"/>
    </row>
    <row r="8" spans="2:11" ht="15" customHeight="1" x14ac:dyDescent="0.25">
      <c r="B8" s="33"/>
      <c r="C8" s="34"/>
      <c r="D8" s="34"/>
      <c r="E8" s="34"/>
      <c r="F8" s="51"/>
      <c r="G8" s="51"/>
      <c r="H8" s="51"/>
      <c r="I8" s="51"/>
      <c r="J8" s="51"/>
      <c r="K8" s="52"/>
    </row>
    <row r="9" spans="2:11" ht="15" customHeight="1" x14ac:dyDescent="0.25">
      <c r="B9" s="33"/>
      <c r="C9" s="34"/>
      <c r="D9" s="34"/>
      <c r="E9" s="34"/>
      <c r="F9" s="51"/>
      <c r="G9" s="51"/>
      <c r="H9" s="51"/>
      <c r="I9" s="51"/>
      <c r="J9" s="51"/>
      <c r="K9" s="52"/>
    </row>
    <row r="10" spans="2:11" ht="15" customHeight="1" x14ac:dyDescent="0.25">
      <c r="B10" s="33"/>
      <c r="C10" s="34"/>
      <c r="D10" s="34"/>
      <c r="E10" s="34"/>
      <c r="F10" s="51"/>
      <c r="G10" s="51"/>
      <c r="H10" s="51"/>
      <c r="I10" s="51"/>
      <c r="J10" s="51"/>
      <c r="K10" s="52"/>
    </row>
    <row r="11" spans="2:11" ht="15" customHeight="1" x14ac:dyDescent="0.25">
      <c r="B11" s="33"/>
      <c r="C11" s="34"/>
      <c r="D11" s="34"/>
      <c r="E11" s="34"/>
      <c r="F11" s="51"/>
      <c r="G11" s="51"/>
      <c r="H11" s="51"/>
      <c r="I11" s="51"/>
      <c r="J11" s="51"/>
      <c r="K11" s="52"/>
    </row>
    <row r="12" spans="2:11" ht="15" customHeight="1" x14ac:dyDescent="0.25">
      <c r="B12" s="33"/>
      <c r="C12" s="34"/>
      <c r="D12" s="34"/>
      <c r="E12" s="34"/>
      <c r="F12" s="51"/>
      <c r="G12" s="51"/>
      <c r="H12" s="51"/>
      <c r="I12" s="51"/>
      <c r="J12" s="51"/>
      <c r="K12" s="52"/>
    </row>
    <row r="13" spans="2:11" ht="15" customHeight="1" x14ac:dyDescent="0.25">
      <c r="B13" s="33"/>
      <c r="C13" s="34"/>
      <c r="D13" s="34"/>
      <c r="E13" s="34"/>
      <c r="F13" s="51"/>
      <c r="G13" s="51"/>
      <c r="H13" s="51"/>
      <c r="I13" s="51"/>
      <c r="J13" s="51"/>
      <c r="K13" s="52"/>
    </row>
    <row r="14" spans="2:11" ht="18" customHeight="1" x14ac:dyDescent="0.25">
      <c r="B14" s="59" t="s">
        <v>213</v>
      </c>
      <c r="C14" s="35"/>
      <c r="D14" s="35"/>
      <c r="E14" s="35"/>
      <c r="F14" s="53"/>
      <c r="G14" s="53"/>
      <c r="H14" s="53"/>
      <c r="I14" s="53"/>
      <c r="J14" s="53"/>
      <c r="K14" s="54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45</v>
      </c>
      <c r="C2" s="15">
        <v>18</v>
      </c>
    </row>
    <row r="3" spans="2:5" ht="30" customHeight="1" x14ac:dyDescent="0.25">
      <c r="B3" s="11" t="s">
        <v>45</v>
      </c>
      <c r="C3" s="14" t="s">
        <v>217</v>
      </c>
      <c r="E3" s="39"/>
    </row>
    <row r="4" spans="2:5" ht="30" customHeight="1" x14ac:dyDescent="0.25">
      <c r="B4" s="11" t="s">
        <v>207</v>
      </c>
      <c r="C4" s="14" t="s">
        <v>221</v>
      </c>
      <c r="E4" s="36"/>
    </row>
    <row r="5" spans="2:5" ht="30" customHeight="1" x14ac:dyDescent="0.25">
      <c r="B5" s="11" t="s">
        <v>46</v>
      </c>
      <c r="C5" s="14" t="s">
        <v>218</v>
      </c>
      <c r="E5" s="39"/>
    </row>
    <row r="6" spans="2:5" ht="30" customHeight="1" x14ac:dyDescent="0.25">
      <c r="B6" s="11" t="s">
        <v>47</v>
      </c>
      <c r="C6" s="14" t="s">
        <v>214</v>
      </c>
    </row>
    <row r="7" spans="2:5" ht="30" customHeight="1" x14ac:dyDescent="0.25">
      <c r="B7" s="11" t="s">
        <v>48</v>
      </c>
      <c r="C7" s="14" t="s">
        <v>219</v>
      </c>
    </row>
    <row r="8" spans="2:5" ht="30" customHeight="1" x14ac:dyDescent="0.25">
      <c r="B8" s="11" t="s">
        <v>49</v>
      </c>
      <c r="C8" s="14"/>
    </row>
    <row r="9" spans="2:5" ht="30" customHeight="1" x14ac:dyDescent="0.25">
      <c r="B9" s="11" t="s">
        <v>50</v>
      </c>
      <c r="C9" s="14" t="s">
        <v>220</v>
      </c>
    </row>
    <row r="10" spans="2:5" ht="30" customHeight="1" x14ac:dyDescent="0.25">
      <c r="B10" s="11" t="s">
        <v>51</v>
      </c>
      <c r="C10" s="14"/>
    </row>
    <row r="11" spans="2:5" ht="30" customHeight="1" x14ac:dyDescent="0.25">
      <c r="B11" s="11" t="s">
        <v>186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30</v>
      </c>
      <c r="B3" s="15">
        <v>28</v>
      </c>
    </row>
    <row r="4" spans="1:4" ht="30" customHeight="1" x14ac:dyDescent="0.25">
      <c r="A4" s="5" t="s">
        <v>31</v>
      </c>
      <c r="B4" s="14"/>
      <c r="D4" s="39"/>
    </row>
    <row r="5" spans="1:4" ht="30" customHeight="1" x14ac:dyDescent="0.25">
      <c r="A5" s="5" t="s">
        <v>1</v>
      </c>
      <c r="B5" s="14"/>
    </row>
    <row r="6" spans="1:4" ht="30" customHeight="1" x14ac:dyDescent="0.25">
      <c r="A6" s="5" t="s">
        <v>29</v>
      </c>
      <c r="B6" s="14"/>
    </row>
    <row r="7" spans="1:4" ht="30" customHeight="1" x14ac:dyDescent="0.25">
      <c r="A7" s="5" t="s">
        <v>2</v>
      </c>
      <c r="B7" s="14"/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/>
    </row>
    <row r="10" spans="1:4" ht="30" customHeight="1" x14ac:dyDescent="0.25">
      <c r="A10" s="5" t="s">
        <v>182</v>
      </c>
      <c r="B10" s="14"/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35</v>
      </c>
      <c r="B2" s="12"/>
    </row>
    <row r="3" spans="1:7" ht="30" customHeight="1" x14ac:dyDescent="0.25">
      <c r="A3" s="5" t="s">
        <v>43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44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29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41</v>
      </c>
      <c r="B12" s="16"/>
    </row>
    <row r="13" spans="1:7" ht="30" customHeight="1" x14ac:dyDescent="0.25">
      <c r="A13" s="5" t="s">
        <v>42</v>
      </c>
      <c r="B13" s="14"/>
    </row>
    <row r="14" spans="1:7" ht="30" customHeight="1" x14ac:dyDescent="0.25">
      <c r="A14" s="5" t="s">
        <v>28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224</v>
      </c>
      <c r="B3" s="61"/>
      <c r="D3" s="39"/>
    </row>
    <row r="4" spans="1:4" ht="30" customHeight="1" x14ac:dyDescent="0.25">
      <c r="A4" s="5" t="s">
        <v>33</v>
      </c>
      <c r="B4" s="61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14"/>
    </row>
    <row r="7" spans="1:4" ht="30" customHeight="1" x14ac:dyDescent="0.25">
      <c r="A7" s="5" t="s">
        <v>12</v>
      </c>
      <c r="B7" s="14"/>
    </row>
    <row r="8" spans="1:4" ht="30" customHeight="1" x14ac:dyDescent="0.25">
      <c r="A8" s="5" t="s">
        <v>211</v>
      </c>
      <c r="B8" s="14"/>
    </row>
    <row r="9" spans="1:4" ht="30" customHeight="1" x14ac:dyDescent="0.25">
      <c r="A9" s="5" t="s">
        <v>212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A4" sqref="A4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32</v>
      </c>
      <c r="B3" s="62" t="s">
        <v>240</v>
      </c>
      <c r="D3" s="60"/>
    </row>
    <row r="4" spans="1:4" ht="30" customHeight="1" x14ac:dyDescent="0.25">
      <c r="A4" s="5" t="s">
        <v>10</v>
      </c>
      <c r="B4" s="14"/>
    </row>
    <row r="5" spans="1:4" ht="30" customHeight="1" x14ac:dyDescent="0.25">
      <c r="A5" s="5" t="s">
        <v>11</v>
      </c>
      <c r="B5" s="14" t="s">
        <v>241</v>
      </c>
    </row>
    <row r="6" spans="1:4" ht="30" customHeight="1" x14ac:dyDescent="0.25">
      <c r="A6" s="5" t="s">
        <v>12</v>
      </c>
      <c r="B6" s="37">
        <v>1995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34</v>
      </c>
      <c r="B2" s="12"/>
    </row>
    <row r="3" spans="1:5" ht="30" customHeight="1" x14ac:dyDescent="0.25">
      <c r="A3" s="5" t="s">
        <v>222</v>
      </c>
      <c r="B3" s="14" t="s">
        <v>223</v>
      </c>
      <c r="E3" t="s">
        <v>215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35</v>
      </c>
      <c r="B2" s="12"/>
    </row>
    <row r="3" spans="1:5" ht="30" customHeight="1" x14ac:dyDescent="0.25">
      <c r="A3" s="5" t="s">
        <v>38</v>
      </c>
      <c r="B3" s="62" t="s">
        <v>242</v>
      </c>
      <c r="E3" s="39"/>
    </row>
    <row r="4" spans="1:5" ht="30" customHeight="1" x14ac:dyDescent="0.25">
      <c r="A4" s="5" t="s">
        <v>39</v>
      </c>
      <c r="B4" s="62" t="s">
        <v>225</v>
      </c>
    </row>
    <row r="5" spans="1:5" ht="30" customHeight="1" x14ac:dyDescent="0.25">
      <c r="A5" s="5" t="s">
        <v>14</v>
      </c>
      <c r="B5" s="14" t="s">
        <v>214</v>
      </c>
    </row>
    <row r="6" spans="1:5" ht="30" customHeight="1" x14ac:dyDescent="0.25">
      <c r="A6" s="5" t="s">
        <v>37</v>
      </c>
      <c r="B6" s="14" t="s">
        <v>132</v>
      </c>
    </row>
    <row r="7" spans="1:5" ht="30" customHeight="1" x14ac:dyDescent="0.25">
      <c r="A7" s="5" t="s">
        <v>15</v>
      </c>
      <c r="B7" s="14" t="s">
        <v>133</v>
      </c>
    </row>
    <row r="8" spans="1:5" ht="30" customHeight="1" x14ac:dyDescent="0.25">
      <c r="A8" s="5" t="s">
        <v>40</v>
      </c>
      <c r="B8" s="14" t="s">
        <v>131</v>
      </c>
    </row>
    <row r="9" spans="1:5" ht="30" customHeight="1" x14ac:dyDescent="0.25">
      <c r="A9" s="5" t="s">
        <v>16</v>
      </c>
      <c r="B9" s="14">
        <v>5</v>
      </c>
    </row>
    <row r="10" spans="1:5" ht="30" customHeight="1" x14ac:dyDescent="0.25">
      <c r="A10" s="5" t="s">
        <v>17</v>
      </c>
      <c r="B10" s="14">
        <v>6</v>
      </c>
    </row>
    <row r="11" spans="1:5" ht="30" customHeight="1" x14ac:dyDescent="0.25">
      <c r="A11" s="5" t="s">
        <v>18</v>
      </c>
      <c r="B11" s="14">
        <v>7</v>
      </c>
    </row>
    <row r="12" spans="1:5" ht="30" customHeight="1" x14ac:dyDescent="0.25">
      <c r="A12" s="5" t="s">
        <v>19</v>
      </c>
      <c r="B12" s="14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J20" sqref="J20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189</v>
      </c>
      <c r="H4" s="48"/>
    </row>
    <row r="5" spans="2:13" ht="18" customHeight="1" x14ac:dyDescent="0.25">
      <c r="B5" s="5" t="s">
        <v>190</v>
      </c>
      <c r="C5" s="1"/>
      <c r="M5" s="5"/>
    </row>
    <row r="6" spans="2:13" ht="18" customHeight="1" x14ac:dyDescent="0.25">
      <c r="B6" s="5" t="s">
        <v>7</v>
      </c>
      <c r="C6" s="2">
        <v>43597.720580127316</v>
      </c>
      <c r="M6" s="5"/>
    </row>
    <row r="7" spans="2:13" ht="18" customHeight="1" x14ac:dyDescent="0.25">
      <c r="B7" s="5" t="s">
        <v>208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191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216</v>
      </c>
      <c r="C12" s="1"/>
    </row>
    <row r="13" spans="2:13" ht="18" customHeight="1" x14ac:dyDescent="0.25">
      <c r="B13" s="5" t="s">
        <v>209</v>
      </c>
      <c r="C13" s="58">
        <v>0</v>
      </c>
    </row>
    <row r="14" spans="2:13" ht="18" customHeight="1" x14ac:dyDescent="0.25">
      <c r="B14" s="5" t="s">
        <v>210</v>
      </c>
      <c r="C14" s="57">
        <v>0</v>
      </c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56"/>
    </row>
    <row r="17" spans="2:3" ht="18" customHeight="1" x14ac:dyDescent="0.25">
      <c r="B17" s="5" t="s">
        <v>21</v>
      </c>
      <c r="C17" s="57"/>
    </row>
    <row r="18" spans="2:3" ht="18" customHeight="1" x14ac:dyDescent="0.25">
      <c r="B18" s="5" t="s">
        <v>22</v>
      </c>
      <c r="C18" s="57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56"/>
    </row>
    <row r="22" spans="2:3" ht="18" customHeight="1" x14ac:dyDescent="0.25">
      <c r="B22" s="5" t="s">
        <v>25</v>
      </c>
      <c r="C22" s="57"/>
    </row>
    <row r="23" spans="2:3" ht="18" customHeight="1" x14ac:dyDescent="0.25">
      <c r="B23" s="5" t="s">
        <v>26</v>
      </c>
      <c r="C23" s="57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4" r:id="rId22" name="cbContacts">
          <controlPr defaultSize="0" autoFill="0" autoLine="0" r:id="rId23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2" name="cbContacts"/>
      </mc:Fallback>
    </mc:AlternateContent>
    <mc:AlternateContent xmlns:mc="http://schemas.openxmlformats.org/markup-compatibility/2006">
      <mc:Choice Requires="x14">
        <control shapeId="21525" r:id="rId24" name="cbCompLocation">
          <controlPr defaultSize="0" autoFill="0" autoLine="0" r:id="rId25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4" name="cbCompLocation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7" r:id="rId28" name="cbEngine">
          <controlPr defaultSize="0" autoFill="0" autoLine="0" r:id="rId29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8" name="cbEngine"/>
      </mc:Fallback>
    </mc:AlternateContent>
    <mc:AlternateContent xmlns:mc="http://schemas.openxmlformats.org/markup-compatibility/2006">
      <mc:Choice Requires="x14">
        <control shapeId="21528" r:id="rId30" name="cbECD">
          <controlPr defaultSize="0" autoFill="0" autoLine="0" r:id="rId3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30" name="cbECD"/>
      </mc:Fallback>
    </mc:AlternateContent>
    <mc:AlternateContent xmlns:mc="http://schemas.openxmlformats.org/markup-compatibility/2006">
      <mc:Choice Requires="x14">
        <control shapeId="21529" r:id="rId32" name="cbDrivingType">
          <controlPr defaultSize="0" autoFill="0" autoLine="0" r:id="rId33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2" name="cbDrivingType"/>
      </mc:Fallback>
    </mc:AlternateContent>
    <mc:AlternateContent xmlns:mc="http://schemas.openxmlformats.org/markup-compatibility/2006">
      <mc:Choice Requires="x14">
        <control shapeId="21530" r:id="rId34" name="cbCleaningReason">
          <controlPr defaultSize="0" autoFill="0" autoLine="0" autoPict="0" r:id="rId35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4" name="cbCleaningReason"/>
      </mc:Fallback>
    </mc:AlternateContent>
    <mc:AlternateContent xmlns:mc="http://schemas.openxmlformats.org/markup-compatibility/2006">
      <mc:Choice Requires="x14">
        <control shapeId="21532" r:id="rId36" name="cbBillingCompany">
          <controlPr defaultSize="0" autoFill="0" autoLine="0" r:id="rId3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6" name="cbBillingCompany"/>
      </mc:Fallback>
    </mc:AlternateContent>
    <mc:AlternateContent xmlns:mc="http://schemas.openxmlformats.org/markup-compatibility/2006">
      <mc:Choice Requires="x14">
        <control shapeId="21533" r:id="rId38" name="cbSalesID">
          <controlPr defaultSize="0" autoFill="0" autoLine="0" r:id="rId3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8" name="cbSalesID"/>
      </mc:Fallback>
    </mc:AlternateContent>
    <mc:AlternateContent xmlns:mc="http://schemas.openxmlformats.org/markup-compatibility/2006">
      <mc:Choice Requires="x14">
        <control shapeId="21534" r:id="rId40" name="cmdVehicle">
          <controlPr defaultSize="0" autoLine="0" r:id="rId41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40" name="cmdVehicle"/>
      </mc:Fallback>
    </mc:AlternateContent>
    <mc:AlternateContent xmlns:mc="http://schemas.openxmlformats.org/markup-compatibility/2006">
      <mc:Choice Requires="x14">
        <control shapeId="21535" r:id="rId42" name="cmdEngine">
          <controlPr defaultSize="0" autoLine="0" r:id="rId43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42" name="cmdEngine"/>
      </mc:Fallback>
    </mc:AlternateContent>
    <mc:AlternateContent xmlns:mc="http://schemas.openxmlformats.org/markup-compatibility/2006">
      <mc:Choice Requires="x14">
        <control shapeId="21536" r:id="rId44" name="cmdECD">
          <controlPr defaultSize="0" autoLine="0" r:id="rId45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44" name="cmdECD"/>
      </mc:Fallback>
    </mc:AlternateContent>
    <mc:AlternateContent xmlns:mc="http://schemas.openxmlformats.org/markup-compatibility/2006">
      <mc:Choice Requires="x14">
        <control shapeId="21537" r:id="rId46" name="cmdQuality">
          <controlPr defaultSize="0" autoLine="0" autoPict="0" altText="" r:id="rId4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6" name="cmdQuality"/>
      </mc:Fallback>
    </mc:AlternateContent>
    <mc:AlternateContent xmlns:mc="http://schemas.openxmlformats.org/markup-compatibility/2006">
      <mc:Choice Requires="x14">
        <control shapeId="21538" r:id="rId48" name="cmdQAProcess">
          <controlPr defaultSize="0" autoLine="0" autoPict="0" r:id="rId49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8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101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  <c r="U1" t="s">
        <v>164</v>
      </c>
      <c r="V1" t="s">
        <v>165</v>
      </c>
      <c r="W1" t="s">
        <v>166</v>
      </c>
      <c r="X1" t="s">
        <v>167</v>
      </c>
      <c r="Y1" t="s">
        <v>168</v>
      </c>
      <c r="Z1" t="s">
        <v>169</v>
      </c>
      <c r="AA1" t="s">
        <v>170</v>
      </c>
      <c r="AB1" t="s">
        <v>171</v>
      </c>
      <c r="AC1" t="s">
        <v>172</v>
      </c>
      <c r="AD1" t="s">
        <v>173</v>
      </c>
      <c r="AE1" t="s">
        <v>174</v>
      </c>
      <c r="AF1" t="s">
        <v>175</v>
      </c>
      <c r="AG1" t="s">
        <v>176</v>
      </c>
      <c r="AH1" t="s">
        <v>177</v>
      </c>
      <c r="AI1" t="s">
        <v>178</v>
      </c>
      <c r="AJ1" t="s">
        <v>179</v>
      </c>
      <c r="AK1" t="s">
        <v>101</v>
      </c>
      <c r="AL1" t="s">
        <v>227</v>
      </c>
      <c r="AM1" t="s">
        <v>182</v>
      </c>
      <c r="AN1" t="s">
        <v>183</v>
      </c>
      <c r="AO1" t="s">
        <v>102</v>
      </c>
      <c r="AP1" t="s">
        <v>103</v>
      </c>
      <c r="AQ1" t="s">
        <v>104</v>
      </c>
      <c r="AR1" t="s">
        <v>184</v>
      </c>
      <c r="AS1" t="s">
        <v>105</v>
      </c>
      <c r="AT1" t="s">
        <v>106</v>
      </c>
      <c r="AU1" t="s">
        <v>107</v>
      </c>
      <c r="AV1" t="s">
        <v>185</v>
      </c>
      <c r="AW1" t="s">
        <v>228</v>
      </c>
      <c r="AX1" t="s">
        <v>229</v>
      </c>
      <c r="AY1" t="s">
        <v>195</v>
      </c>
      <c r="AZ1" t="s">
        <v>192</v>
      </c>
      <c r="BA1" t="s">
        <v>230</v>
      </c>
      <c r="BB1" t="s">
        <v>110</v>
      </c>
      <c r="BC1" t="s">
        <v>111</v>
      </c>
      <c r="BD1" t="s">
        <v>112</v>
      </c>
      <c r="BE1" t="s">
        <v>113</v>
      </c>
      <c r="BF1" t="s">
        <v>193</v>
      </c>
      <c r="BG1" t="s">
        <v>194</v>
      </c>
      <c r="BH1" t="s">
        <v>109</v>
      </c>
      <c r="BI1" t="s">
        <v>230</v>
      </c>
      <c r="BJ1" t="s">
        <v>115</v>
      </c>
      <c r="BK1" t="s">
        <v>29</v>
      </c>
      <c r="BL1" t="s">
        <v>2</v>
      </c>
      <c r="BM1" t="s">
        <v>4</v>
      </c>
      <c r="BN1" t="s">
        <v>114</v>
      </c>
      <c r="BO1" t="s">
        <v>3</v>
      </c>
      <c r="BP1" t="s">
        <v>30</v>
      </c>
      <c r="BQ1" t="s">
        <v>115</v>
      </c>
      <c r="BR1" t="s">
        <v>29</v>
      </c>
      <c r="BS1" t="s">
        <v>2</v>
      </c>
      <c r="BT1" t="s">
        <v>4</v>
      </c>
      <c r="BU1" t="s">
        <v>114</v>
      </c>
      <c r="BV1" t="s">
        <v>3</v>
      </c>
      <c r="BW1" t="s">
        <v>116</v>
      </c>
      <c r="BX1" t="s">
        <v>108</v>
      </c>
      <c r="BY1" t="s">
        <v>117</v>
      </c>
      <c r="BZ1" t="s">
        <v>118</v>
      </c>
      <c r="CA1" t="s">
        <v>15</v>
      </c>
      <c r="CB1" t="s">
        <v>11</v>
      </c>
      <c r="CC1" t="s">
        <v>12</v>
      </c>
      <c r="CD1" t="s">
        <v>231</v>
      </c>
      <c r="CE1" t="s">
        <v>232</v>
      </c>
      <c r="CF1" t="s">
        <v>108</v>
      </c>
      <c r="CG1" t="s">
        <v>15</v>
      </c>
      <c r="CH1" t="s">
        <v>117</v>
      </c>
      <c r="CI1" t="s">
        <v>11</v>
      </c>
      <c r="CJ1" t="s">
        <v>12</v>
      </c>
      <c r="CK1" t="s">
        <v>119</v>
      </c>
      <c r="CL1" t="s">
        <v>120</v>
      </c>
      <c r="CM1" t="s">
        <v>121</v>
      </c>
      <c r="CN1" t="s">
        <v>233</v>
      </c>
      <c r="CO1" t="s">
        <v>15</v>
      </c>
      <c r="CP1" t="s">
        <v>122</v>
      </c>
      <c r="CQ1" t="s">
        <v>123</v>
      </c>
      <c r="CR1" t="s">
        <v>124</v>
      </c>
      <c r="CS1" t="s">
        <v>125</v>
      </c>
      <c r="CT1" t="s">
        <v>117</v>
      </c>
      <c r="CU1" t="s">
        <v>126</v>
      </c>
      <c r="CV1" t="s">
        <v>127</v>
      </c>
      <c r="CW1" t="s">
        <v>128</v>
      </c>
      <c r="CX1" t="s">
        <v>129</v>
      </c>
      <c r="CY1" t="s">
        <v>130</v>
      </c>
      <c r="CZ1" t="s">
        <v>134</v>
      </c>
      <c r="DA1" t="s">
        <v>135</v>
      </c>
      <c r="DB1" t="s">
        <v>136</v>
      </c>
      <c r="DC1" t="s">
        <v>137</v>
      </c>
      <c r="DD1" t="s">
        <v>201</v>
      </c>
      <c r="DE1" t="s">
        <v>138</v>
      </c>
      <c r="DF1" t="s">
        <v>139</v>
      </c>
      <c r="DG1" t="s">
        <v>140</v>
      </c>
      <c r="DH1" t="s">
        <v>141</v>
      </c>
      <c r="DI1" t="s">
        <v>202</v>
      </c>
      <c r="DJ1" t="s">
        <v>203</v>
      </c>
      <c r="DK1" t="s">
        <v>204</v>
      </c>
      <c r="DL1" t="s">
        <v>205</v>
      </c>
      <c r="DM1" t="s">
        <v>142</v>
      </c>
      <c r="DN1" t="s">
        <v>143</v>
      </c>
      <c r="DO1" t="s">
        <v>144</v>
      </c>
    </row>
    <row r="2" spans="1:119" x14ac:dyDescent="0.25">
      <c r="AK2">
        <v>36</v>
      </c>
      <c r="AL2" t="s">
        <v>239</v>
      </c>
      <c r="AM2" t="s">
        <v>206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38">
        <v>43597.715333796295</v>
      </c>
      <c r="AZ2" t="s">
        <v>217</v>
      </c>
      <c r="BA2" t="s">
        <v>221</v>
      </c>
      <c r="BB2" t="s">
        <v>218</v>
      </c>
      <c r="BD2" t="s">
        <v>219</v>
      </c>
      <c r="BE2" t="s">
        <v>220</v>
      </c>
      <c r="BF2">
        <v>1</v>
      </c>
      <c r="BG2" t="s">
        <v>234</v>
      </c>
      <c r="BH2" t="s">
        <v>217</v>
      </c>
      <c r="BI2" t="s">
        <v>221</v>
      </c>
      <c r="BJ2" t="s">
        <v>218</v>
      </c>
      <c r="BL2" t="s">
        <v>219</v>
      </c>
      <c r="BM2" t="s">
        <v>220</v>
      </c>
      <c r="BN2">
        <v>1</v>
      </c>
      <c r="BO2" t="s">
        <v>234</v>
      </c>
      <c r="BP2" t="s">
        <v>218</v>
      </c>
      <c r="BQ2" t="s">
        <v>218</v>
      </c>
      <c r="BS2" t="s">
        <v>219</v>
      </c>
      <c r="BT2" t="s">
        <v>235</v>
      </c>
      <c r="BU2">
        <v>1</v>
      </c>
      <c r="BV2" t="s">
        <v>234</v>
      </c>
      <c r="BW2">
        <v>15</v>
      </c>
      <c r="BX2">
        <v>18</v>
      </c>
      <c r="BY2" t="s">
        <v>236</v>
      </c>
      <c r="BZ2" t="s">
        <v>237</v>
      </c>
      <c r="CA2" t="s">
        <v>132</v>
      </c>
      <c r="CB2" t="s">
        <v>238</v>
      </c>
      <c r="CC2">
        <v>2015</v>
      </c>
      <c r="CD2">
        <v>50000</v>
      </c>
      <c r="CE2">
        <v>50</v>
      </c>
      <c r="CF2">
        <v>18</v>
      </c>
      <c r="CG2" t="s">
        <v>132</v>
      </c>
      <c r="CH2" t="s">
        <v>240</v>
      </c>
      <c r="CI2" t="s">
        <v>241</v>
      </c>
      <c r="CJ2">
        <v>1995</v>
      </c>
      <c r="CK2">
        <v>10</v>
      </c>
      <c r="CL2">
        <v>1</v>
      </c>
      <c r="CM2" t="s">
        <v>131</v>
      </c>
      <c r="CN2">
        <v>1</v>
      </c>
      <c r="CO2" t="s">
        <v>132</v>
      </c>
      <c r="CP2">
        <v>1</v>
      </c>
      <c r="CQ2" t="s">
        <v>133</v>
      </c>
      <c r="CR2">
        <v>0</v>
      </c>
      <c r="CS2" t="s">
        <v>225</v>
      </c>
      <c r="CT2" t="s">
        <v>242</v>
      </c>
      <c r="CV2">
        <v>5</v>
      </c>
      <c r="CW2">
        <v>6</v>
      </c>
      <c r="CX2">
        <v>7</v>
      </c>
      <c r="CY2">
        <v>8</v>
      </c>
    </row>
    <row r="3" spans="1:119" x14ac:dyDescent="0.25">
      <c r="AK3">
        <v>36</v>
      </c>
      <c r="AL3" t="s">
        <v>239</v>
      </c>
      <c r="AM3" t="s">
        <v>206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38">
        <v>43597.715333796295</v>
      </c>
      <c r="AZ3" t="s">
        <v>217</v>
      </c>
      <c r="BA3" t="s">
        <v>221</v>
      </c>
      <c r="BB3" t="s">
        <v>218</v>
      </c>
      <c r="BD3" t="s">
        <v>219</v>
      </c>
      <c r="BE3" t="s">
        <v>220</v>
      </c>
      <c r="BF3">
        <v>1</v>
      </c>
      <c r="BG3" t="s">
        <v>234</v>
      </c>
      <c r="BH3" t="s">
        <v>217</v>
      </c>
      <c r="BI3" t="s">
        <v>221</v>
      </c>
      <c r="BJ3" t="s">
        <v>218</v>
      </c>
      <c r="BL3" t="s">
        <v>219</v>
      </c>
      <c r="BM3" t="s">
        <v>220</v>
      </c>
      <c r="BN3">
        <v>1</v>
      </c>
      <c r="BO3" t="s">
        <v>234</v>
      </c>
      <c r="BP3" t="s">
        <v>218</v>
      </c>
      <c r="BQ3" t="s">
        <v>218</v>
      </c>
      <c r="BS3" t="s">
        <v>219</v>
      </c>
      <c r="BT3" t="s">
        <v>235</v>
      </c>
      <c r="BU3">
        <v>1</v>
      </c>
      <c r="BV3" t="s">
        <v>234</v>
      </c>
      <c r="BW3">
        <v>15</v>
      </c>
      <c r="BX3">
        <v>18</v>
      </c>
      <c r="BY3" t="s">
        <v>236</v>
      </c>
      <c r="BZ3" t="s">
        <v>237</v>
      </c>
      <c r="CA3" t="s">
        <v>132</v>
      </c>
      <c r="CB3" t="s">
        <v>238</v>
      </c>
      <c r="CC3">
        <v>2015</v>
      </c>
      <c r="CD3">
        <v>50000</v>
      </c>
      <c r="CE3">
        <v>50</v>
      </c>
      <c r="CF3">
        <v>18</v>
      </c>
      <c r="CG3" t="s">
        <v>132</v>
      </c>
      <c r="CH3" t="s">
        <v>240</v>
      </c>
      <c r="CI3" t="s">
        <v>241</v>
      </c>
      <c r="CJ3">
        <v>1995</v>
      </c>
      <c r="CK3">
        <v>10</v>
      </c>
      <c r="CL3">
        <v>1</v>
      </c>
      <c r="CM3" t="s">
        <v>131</v>
      </c>
      <c r="CN3">
        <v>1</v>
      </c>
      <c r="CO3" t="s">
        <v>132</v>
      </c>
      <c r="CP3">
        <v>1</v>
      </c>
      <c r="CQ3" t="s">
        <v>133</v>
      </c>
      <c r="CR3">
        <v>0</v>
      </c>
      <c r="CS3" t="s">
        <v>225</v>
      </c>
      <c r="CT3" t="s">
        <v>242</v>
      </c>
      <c r="CV3">
        <v>5</v>
      </c>
      <c r="CW3">
        <v>6</v>
      </c>
      <c r="CX3">
        <v>7</v>
      </c>
      <c r="CY3">
        <v>8</v>
      </c>
    </row>
    <row r="4" spans="1:119" x14ac:dyDescent="0.25">
      <c r="AK4">
        <v>36</v>
      </c>
      <c r="AL4" t="s">
        <v>239</v>
      </c>
      <c r="AM4" t="s">
        <v>206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38">
        <v>43597.715333796295</v>
      </c>
      <c r="AZ4" t="s">
        <v>217</v>
      </c>
      <c r="BA4" t="s">
        <v>221</v>
      </c>
      <c r="BB4" t="s">
        <v>218</v>
      </c>
      <c r="BD4" t="s">
        <v>219</v>
      </c>
      <c r="BE4" t="s">
        <v>220</v>
      </c>
      <c r="BF4">
        <v>1</v>
      </c>
      <c r="BG4" t="s">
        <v>234</v>
      </c>
      <c r="BH4" t="s">
        <v>217</v>
      </c>
      <c r="BI4" t="s">
        <v>221</v>
      </c>
      <c r="BJ4" t="s">
        <v>218</v>
      </c>
      <c r="BL4" t="s">
        <v>219</v>
      </c>
      <c r="BM4" t="s">
        <v>220</v>
      </c>
      <c r="BN4">
        <v>1</v>
      </c>
      <c r="BO4" t="s">
        <v>234</v>
      </c>
      <c r="BP4" t="s">
        <v>218</v>
      </c>
      <c r="BQ4" t="s">
        <v>218</v>
      </c>
      <c r="BS4" t="s">
        <v>219</v>
      </c>
      <c r="BT4" t="s">
        <v>235</v>
      </c>
      <c r="BU4">
        <v>1</v>
      </c>
      <c r="BV4" t="s">
        <v>234</v>
      </c>
      <c r="BW4">
        <v>15</v>
      </c>
      <c r="BX4">
        <v>18</v>
      </c>
      <c r="BY4" t="s">
        <v>236</v>
      </c>
      <c r="BZ4" t="s">
        <v>237</v>
      </c>
      <c r="CA4" t="s">
        <v>132</v>
      </c>
      <c r="CB4" t="s">
        <v>238</v>
      </c>
      <c r="CC4">
        <v>2015</v>
      </c>
      <c r="CD4">
        <v>50000</v>
      </c>
      <c r="CE4">
        <v>50</v>
      </c>
      <c r="CF4">
        <v>18</v>
      </c>
      <c r="CG4" t="s">
        <v>132</v>
      </c>
      <c r="CH4" t="s">
        <v>240</v>
      </c>
      <c r="CI4" t="s">
        <v>241</v>
      </c>
      <c r="CJ4">
        <v>1995</v>
      </c>
      <c r="CK4">
        <v>10</v>
      </c>
      <c r="CL4">
        <v>1</v>
      </c>
      <c r="CM4" t="s">
        <v>131</v>
      </c>
      <c r="CN4">
        <v>1</v>
      </c>
      <c r="CO4" t="s">
        <v>132</v>
      </c>
      <c r="CP4">
        <v>1</v>
      </c>
      <c r="CQ4" t="s">
        <v>133</v>
      </c>
      <c r="CR4">
        <v>0</v>
      </c>
      <c r="CS4" t="s">
        <v>225</v>
      </c>
      <c r="CT4" t="s">
        <v>242</v>
      </c>
      <c r="CV4">
        <v>5</v>
      </c>
      <c r="CW4">
        <v>6</v>
      </c>
      <c r="CX4">
        <v>7</v>
      </c>
      <c r="CY4">
        <v>8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191</v>
      </c>
      <c r="C5" s="1"/>
    </row>
    <row r="6" spans="2:3" x14ac:dyDescent="0.25">
      <c r="B6" s="1"/>
      <c r="C6" s="2"/>
    </row>
    <row r="7" spans="2:3" x14ac:dyDescent="0.25">
      <c r="B7" s="5" t="s">
        <v>200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E9" sqref="E9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2" t="s">
        <v>52</v>
      </c>
      <c r="B2" s="1">
        <v>37</v>
      </c>
      <c r="J2" s="19"/>
    </row>
    <row r="3" spans="1:10" ht="18" customHeight="1" x14ac:dyDescent="0.25">
      <c r="A3" s="42" t="s">
        <v>36</v>
      </c>
      <c r="B3" s="45" t="s">
        <v>243</v>
      </c>
      <c r="E3" s="42"/>
      <c r="F3" s="42"/>
      <c r="H3" s="10" t="s">
        <v>180</v>
      </c>
      <c r="I3" s="19"/>
      <c r="J3" s="19"/>
    </row>
    <row r="4" spans="1:10" ht="18" customHeight="1" x14ac:dyDescent="0.25">
      <c r="A4" s="42" t="s">
        <v>17</v>
      </c>
      <c r="B4" s="1">
        <v>6</v>
      </c>
      <c r="F4" s="46"/>
      <c r="H4" s="10"/>
      <c r="I4" s="19"/>
      <c r="J4" s="19"/>
    </row>
    <row r="5" spans="1:10" ht="18" customHeight="1" x14ac:dyDescent="0.25">
      <c r="A5" s="42" t="s">
        <v>19</v>
      </c>
      <c r="B5" s="1">
        <v>8</v>
      </c>
      <c r="F5" s="43"/>
      <c r="H5" s="10" t="s">
        <v>69</v>
      </c>
    </row>
    <row r="6" spans="1:10" ht="18" customHeight="1" x14ac:dyDescent="0.25">
      <c r="A6" s="42" t="s">
        <v>199</v>
      </c>
      <c r="E6" s="1"/>
      <c r="F6" s="43"/>
      <c r="H6" s="10" t="s">
        <v>181</v>
      </c>
      <c r="I6" s="19"/>
      <c r="J6" s="19"/>
    </row>
    <row r="7" spans="1:10" ht="18" customHeight="1" x14ac:dyDescent="0.25">
      <c r="B7" s="1" t="s">
        <v>53</v>
      </c>
      <c r="C7" s="1" t="s">
        <v>54</v>
      </c>
      <c r="D7" s="1" t="s">
        <v>54</v>
      </c>
      <c r="E7" s="43"/>
      <c r="F7" s="43"/>
      <c r="H7" s="10"/>
      <c r="I7" s="19"/>
      <c r="J7" s="19"/>
    </row>
    <row r="8" spans="1:10" ht="18" customHeight="1" x14ac:dyDescent="0.25">
      <c r="B8" s="1" t="s">
        <v>55</v>
      </c>
      <c r="C8" s="1" t="s">
        <v>56</v>
      </c>
      <c r="D8" s="1" t="s">
        <v>57</v>
      </c>
      <c r="E8" s="43" t="s">
        <v>244</v>
      </c>
      <c r="F8" s="43"/>
      <c r="H8" s="10" t="s">
        <v>74</v>
      </c>
      <c r="I8" s="19"/>
      <c r="J8" s="19"/>
    </row>
    <row r="9" spans="1:10" ht="18" customHeight="1" x14ac:dyDescent="0.25">
      <c r="A9" s="10" t="s">
        <v>58</v>
      </c>
      <c r="B9" s="47">
        <v>70</v>
      </c>
      <c r="C9" s="47">
        <v>60</v>
      </c>
      <c r="D9" s="47">
        <v>55</v>
      </c>
      <c r="E9" s="64">
        <f>B9-D9</f>
        <v>15</v>
      </c>
      <c r="J9" s="19"/>
    </row>
    <row r="10" spans="1:10" ht="18" customHeight="1" x14ac:dyDescent="0.25">
      <c r="A10" s="10"/>
      <c r="B10" s="43"/>
      <c r="C10" s="43"/>
      <c r="D10" s="43"/>
      <c r="E10" s="43"/>
      <c r="F10" s="43"/>
      <c r="G10" s="43"/>
      <c r="H10" s="10" t="s">
        <v>70</v>
      </c>
      <c r="J10" s="19"/>
    </row>
    <row r="11" spans="1:10" ht="18" customHeight="1" x14ac:dyDescent="0.25">
      <c r="A11" s="41" t="s">
        <v>59</v>
      </c>
      <c r="B11" s="47"/>
      <c r="C11" s="43"/>
      <c r="D11" s="43"/>
      <c r="E11" s="43"/>
      <c r="F11" s="43"/>
      <c r="G11" s="43"/>
      <c r="H11" s="10" t="s">
        <v>71</v>
      </c>
    </row>
    <row r="12" spans="1:10" ht="18" customHeight="1" x14ac:dyDescent="0.25">
      <c r="A12" s="41" t="s">
        <v>60</v>
      </c>
      <c r="B12" s="47"/>
      <c r="C12" s="43"/>
      <c r="D12" s="43"/>
      <c r="E12" s="44"/>
      <c r="F12" s="44"/>
      <c r="G12" s="44"/>
      <c r="H12" s="10"/>
      <c r="I12" s="1"/>
    </row>
    <row r="13" spans="1:10" ht="18" customHeight="1" x14ac:dyDescent="0.25">
      <c r="A13" s="41"/>
      <c r="B13" s="20">
        <v>0</v>
      </c>
      <c r="C13" s="44"/>
      <c r="D13" s="44"/>
      <c r="E13" s="44"/>
      <c r="F13" s="44"/>
      <c r="G13" s="44"/>
      <c r="H13" s="10" t="s">
        <v>73</v>
      </c>
      <c r="I13" s="47"/>
    </row>
    <row r="14" spans="1:10" ht="18" customHeight="1" x14ac:dyDescent="0.25">
      <c r="A14" s="10" t="s">
        <v>61</v>
      </c>
      <c r="B14" s="20" t="s">
        <v>62</v>
      </c>
      <c r="C14" s="20" t="s">
        <v>63</v>
      </c>
      <c r="D14" s="44"/>
      <c r="E14" s="20"/>
      <c r="F14" s="20"/>
      <c r="G14" s="44"/>
      <c r="H14" s="10" t="s">
        <v>72</v>
      </c>
      <c r="I14" s="47"/>
    </row>
    <row r="15" spans="1:10" ht="18" customHeight="1" x14ac:dyDescent="0.25">
      <c r="A15" s="40" t="s">
        <v>64</v>
      </c>
      <c r="B15" s="47"/>
      <c r="C15" s="47"/>
      <c r="D15" s="20"/>
      <c r="E15" s="20"/>
      <c r="F15" s="20"/>
      <c r="G15" s="44"/>
      <c r="H15" s="10"/>
    </row>
    <row r="16" spans="1:10" ht="18" customHeight="1" x14ac:dyDescent="0.25">
      <c r="A16" s="40" t="s">
        <v>65</v>
      </c>
      <c r="B16" s="47"/>
      <c r="C16" s="47"/>
      <c r="D16" s="20"/>
      <c r="E16" s="20"/>
      <c r="F16" s="20"/>
      <c r="G16" s="44"/>
      <c r="I16" s="63" t="s">
        <v>226</v>
      </c>
    </row>
    <row r="17" spans="1:9" ht="18" customHeight="1" x14ac:dyDescent="0.25">
      <c r="A17" s="40" t="s">
        <v>66</v>
      </c>
      <c r="B17" s="47"/>
      <c r="C17" s="47"/>
      <c r="D17" s="20"/>
      <c r="E17" s="20"/>
      <c r="F17" s="20"/>
      <c r="G17" s="44"/>
      <c r="H17" s="10" t="s">
        <v>196</v>
      </c>
      <c r="I17" s="47"/>
    </row>
    <row r="18" spans="1:9" ht="18" customHeight="1" x14ac:dyDescent="0.25">
      <c r="A18" s="40" t="s">
        <v>67</v>
      </c>
      <c r="B18" s="47"/>
      <c r="C18" s="47"/>
      <c r="D18" s="20"/>
      <c r="G18" s="44"/>
      <c r="H18" s="10" t="s">
        <v>197</v>
      </c>
      <c r="I18" s="47"/>
    </row>
    <row r="19" spans="1:9" ht="18" customHeight="1" x14ac:dyDescent="0.25">
      <c r="A19" s="40" t="s">
        <v>68</v>
      </c>
      <c r="B19" s="47"/>
      <c r="C19" s="47"/>
      <c r="H19" s="10" t="s">
        <v>198</v>
      </c>
      <c r="I19" s="47"/>
    </row>
    <row r="20" spans="1:9" ht="18" customHeight="1" x14ac:dyDescent="0.25">
      <c r="C20" s="20"/>
      <c r="H20" s="10" t="s">
        <v>23</v>
      </c>
      <c r="I20" s="47"/>
    </row>
    <row r="21" spans="1:9" ht="18" customHeight="1" x14ac:dyDescent="0.25">
      <c r="C21" s="1"/>
    </row>
    <row r="22" spans="1:9" ht="18" customHeight="1" x14ac:dyDescent="0.25">
      <c r="A22" s="1"/>
      <c r="C22" s="1"/>
      <c r="G22" s="19"/>
    </row>
    <row r="23" spans="1:9" ht="18" customHeight="1" x14ac:dyDescent="0.25">
      <c r="A23" s="10"/>
    </row>
    <row r="27" spans="1:9" ht="18" customHeight="1" x14ac:dyDescent="0.25">
      <c r="I27" s="1"/>
    </row>
    <row r="29" spans="1:9" ht="18" customHeight="1" x14ac:dyDescent="0.25">
      <c r="A29" s="10"/>
    </row>
    <row r="31" spans="1:9" ht="18" customHeight="1" x14ac:dyDescent="0.25">
      <c r="E31" s="19"/>
      <c r="F31" s="19"/>
    </row>
    <row r="32" spans="1:9" ht="18" customHeight="1" x14ac:dyDescent="0.25">
      <c r="B32" s="21" t="s">
        <v>8</v>
      </c>
      <c r="C32" s="19"/>
      <c r="D32" s="19"/>
      <c r="E32" s="19"/>
      <c r="F32" s="19"/>
    </row>
    <row r="33" spans="1:9" ht="18" customHeight="1" x14ac:dyDescent="0.25">
      <c r="B33" t="s">
        <v>8</v>
      </c>
      <c r="C33" s="19"/>
      <c r="D33" s="19"/>
    </row>
    <row r="35" spans="1:9" ht="18" customHeight="1" x14ac:dyDescent="0.25">
      <c r="B35" s="4"/>
    </row>
    <row r="37" spans="1:9" ht="18" customHeight="1" x14ac:dyDescent="0.25">
      <c r="B37" s="4"/>
      <c r="C37" s="1"/>
      <c r="H37" s="19"/>
    </row>
    <row r="38" spans="1:9" ht="18" customHeight="1" x14ac:dyDescent="0.25">
      <c r="B38" s="4"/>
      <c r="C38" s="1"/>
      <c r="H38" s="19"/>
    </row>
    <row r="40" spans="1:9" ht="18" customHeight="1" x14ac:dyDescent="0.25">
      <c r="B40" s="4"/>
    </row>
    <row r="41" spans="1:9" ht="18" customHeight="1" x14ac:dyDescent="0.25">
      <c r="H41" s="19"/>
    </row>
    <row r="42" spans="1:9" ht="18" customHeight="1" x14ac:dyDescent="0.25">
      <c r="A42" s="7"/>
      <c r="H42" s="19"/>
      <c r="I42" s="19"/>
    </row>
    <row r="43" spans="1:9" ht="18" customHeight="1" x14ac:dyDescent="0.25">
      <c r="H43" s="19"/>
      <c r="I43" s="19"/>
    </row>
    <row r="47" spans="1:9" ht="18" customHeight="1" x14ac:dyDescent="0.25">
      <c r="I47" s="19"/>
    </row>
    <row r="49" spans="10:10" ht="18" customHeight="1" x14ac:dyDescent="0.25">
      <c r="J49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30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1" name="chkUSignalReceived">
          <controlPr autoLine="0" r:id="rId30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1" name="chkUSignalReceived"/>
      </mc:Fallback>
    </mc:AlternateContent>
    <mc:AlternateContent xmlns:mc="http://schemas.openxmlformats.org/markup-compatibility/2006">
      <mc:Choice Requires="x14">
        <control shapeId="23553" r:id="rId32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2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70"/>
  <sheetViews>
    <sheetView tabSelected="1" topLeftCell="A27" workbookViewId="0">
      <selection activeCell="I50" sqref="I50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5" t="s">
        <v>52</v>
      </c>
      <c r="C3" s="19">
        <v>37</v>
      </c>
    </row>
    <row r="4" spans="2:9" ht="18.75" x14ac:dyDescent="0.3">
      <c r="I4" s="48"/>
    </row>
    <row r="5" spans="2:9" x14ac:dyDescent="0.25">
      <c r="B5" s="3" t="s">
        <v>133</v>
      </c>
      <c r="C5" s="29">
        <v>500</v>
      </c>
      <c r="F5" t="s">
        <v>95</v>
      </c>
      <c r="G5" s="55">
        <v>100000</v>
      </c>
      <c r="H5" s="25" t="s">
        <v>96</v>
      </c>
    </row>
    <row r="6" spans="2:9" x14ac:dyDescent="0.25">
      <c r="B6" s="5" t="s">
        <v>17</v>
      </c>
      <c r="C6" s="29">
        <v>500</v>
      </c>
      <c r="F6" t="s">
        <v>99</v>
      </c>
      <c r="G6" s="55">
        <v>60</v>
      </c>
      <c r="H6" t="s">
        <v>98</v>
      </c>
    </row>
    <row r="7" spans="2:9" x14ac:dyDescent="0.25">
      <c r="B7" s="5" t="s">
        <v>19</v>
      </c>
      <c r="C7" s="29">
        <v>300</v>
      </c>
      <c r="F7" t="s">
        <v>97</v>
      </c>
      <c r="G7" s="55">
        <f>(Volume*MaxSpaceVelocity)*(1/60)*(61.7)/(2350*0.395)</f>
        <v>3774471.3893128242</v>
      </c>
      <c r="H7" t="s">
        <v>98</v>
      </c>
    </row>
    <row r="8" spans="2:9" x14ac:dyDescent="0.25">
      <c r="B8" s="25" t="s">
        <v>187</v>
      </c>
      <c r="C8" s="29">
        <f>(3.14*(SubDiameter/2)^2)*(SubLength)*(1/12)^3</f>
        <v>34071.180555555555</v>
      </c>
      <c r="D8" s="30"/>
      <c r="F8" t="s">
        <v>100</v>
      </c>
      <c r="G8" s="55" t="str">
        <f>IF(G7&gt;MaxHertz,"60",G7)</f>
        <v>60</v>
      </c>
      <c r="H8" t="s">
        <v>98</v>
      </c>
    </row>
    <row r="9" spans="2:9" x14ac:dyDescent="0.25">
      <c r="B9" s="25" t="s">
        <v>188</v>
      </c>
      <c r="C9" s="29">
        <f>Volume*28.317</f>
        <v>964793.61979166663</v>
      </c>
      <c r="D9" s="30"/>
    </row>
    <row r="10" spans="2:9" x14ac:dyDescent="0.25">
      <c r="C10" s="1"/>
    </row>
    <row r="12" spans="2:9" x14ac:dyDescent="0.25">
      <c r="B12" s="90" t="s">
        <v>75</v>
      </c>
      <c r="C12" s="65"/>
      <c r="D12" s="91"/>
      <c r="E12" s="65" t="s">
        <v>76</v>
      </c>
      <c r="F12" s="65"/>
      <c r="G12" s="66" t="s">
        <v>91</v>
      </c>
      <c r="H12" s="66" t="s">
        <v>92</v>
      </c>
      <c r="I12" s="94">
        <v>1E-3</v>
      </c>
    </row>
    <row r="13" spans="2:9" x14ac:dyDescent="0.25">
      <c r="B13" s="67" t="s">
        <v>77</v>
      </c>
      <c r="C13" s="68"/>
      <c r="D13" s="69"/>
      <c r="E13" s="68" t="s">
        <v>78</v>
      </c>
      <c r="F13" s="68"/>
      <c r="G13" s="68"/>
      <c r="H13" s="70" t="s">
        <v>93</v>
      </c>
      <c r="I13" s="95">
        <v>3.0000000000000001E-3</v>
      </c>
    </row>
    <row r="14" spans="2:9" x14ac:dyDescent="0.25">
      <c r="B14" s="67" t="s">
        <v>79</v>
      </c>
      <c r="C14" s="68"/>
      <c r="D14" s="71"/>
      <c r="E14" s="68"/>
      <c r="F14" s="68"/>
      <c r="G14" s="68"/>
      <c r="H14" s="70" t="s">
        <v>94</v>
      </c>
      <c r="I14" s="95">
        <v>3.0000000000000001E-3</v>
      </c>
    </row>
    <row r="15" spans="2:9" x14ac:dyDescent="0.25">
      <c r="B15" s="72" t="s">
        <v>80</v>
      </c>
      <c r="C15" s="73" t="s">
        <v>81</v>
      </c>
      <c r="D15" s="73" t="s">
        <v>82</v>
      </c>
      <c r="E15" s="73" t="s">
        <v>83</v>
      </c>
      <c r="F15" s="68"/>
      <c r="G15" s="73" t="s">
        <v>84</v>
      </c>
      <c r="H15" s="73"/>
      <c r="I15" s="74"/>
    </row>
    <row r="16" spans="2:9" x14ac:dyDescent="0.25">
      <c r="B16" s="75" t="s">
        <v>85</v>
      </c>
      <c r="C16" s="76" t="s">
        <v>86</v>
      </c>
      <c r="D16" s="76" t="s">
        <v>87</v>
      </c>
      <c r="E16" s="76" t="s">
        <v>86</v>
      </c>
      <c r="F16" s="76" t="s">
        <v>88</v>
      </c>
      <c r="G16" s="73" t="s">
        <v>89</v>
      </c>
      <c r="H16" s="73" t="s">
        <v>86</v>
      </c>
      <c r="I16" s="74" t="s">
        <v>90</v>
      </c>
    </row>
    <row r="17" spans="2:9" x14ac:dyDescent="0.25">
      <c r="B17" s="77">
        <f>0.25*$G$8</f>
        <v>15</v>
      </c>
      <c r="C17" s="78">
        <f>(2350/61.7)*B17*0.395</f>
        <v>225.66855753646678</v>
      </c>
      <c r="D17" s="71">
        <v>0.25</v>
      </c>
      <c r="E17" s="78">
        <f t="shared" ref="E17:E26" si="0">C17-(34.4764881*D17-4.325744048*D17^2+0.369475446*D17^3-0.01733631*D17^4+0.000339472*D17^5)</f>
        <v>217.31408884906833</v>
      </c>
      <c r="F17" s="79">
        <f t="shared" ref="F17:F27" si="1">(E17*60)/Volume</f>
        <v>0.38269426296172238</v>
      </c>
      <c r="G17" s="92">
        <v>20000</v>
      </c>
      <c r="H17" s="80">
        <f t="shared" ref="H17:H27" si="2">G17*Volume/60</f>
        <v>11357060.185185185</v>
      </c>
      <c r="I17" s="81">
        <f t="shared" ref="I17:I27" si="3">G17^2*P0a+G17*P0b+P0c</f>
        <v>400060.00300000003</v>
      </c>
    </row>
    <row r="18" spans="2:9" x14ac:dyDescent="0.25">
      <c r="B18" s="77">
        <f>0.4*$G$8</f>
        <v>24</v>
      </c>
      <c r="C18" s="78">
        <f t="shared" ref="C18:C27" si="4">(2350/61.7)*B18*0.395</f>
        <v>361.06969205834679</v>
      </c>
      <c r="D18" s="71">
        <v>0.3</v>
      </c>
      <c r="E18" s="78">
        <f t="shared" si="0"/>
        <v>351.10622635481883</v>
      </c>
      <c r="F18" s="79">
        <f t="shared" si="1"/>
        <v>0.61830477364700831</v>
      </c>
      <c r="G18" s="92">
        <v>35000</v>
      </c>
      <c r="H18" s="80">
        <f t="shared" si="2"/>
        <v>19874855.324074075</v>
      </c>
      <c r="I18" s="81">
        <f t="shared" si="3"/>
        <v>1225105.003</v>
      </c>
    </row>
    <row r="19" spans="2:9" x14ac:dyDescent="0.25">
      <c r="B19" s="77">
        <f>0.5*$G$8</f>
        <v>30</v>
      </c>
      <c r="C19" s="78">
        <f t="shared" si="4"/>
        <v>451.33711507293356</v>
      </c>
      <c r="D19" s="71"/>
      <c r="E19" s="78">
        <f t="shared" si="0"/>
        <v>451.33711507293356</v>
      </c>
      <c r="F19" s="79">
        <f t="shared" si="1"/>
        <v>0.79481328391952022</v>
      </c>
      <c r="G19" s="92">
        <v>50000</v>
      </c>
      <c r="H19" s="80">
        <f t="shared" si="2"/>
        <v>28392650.462962963</v>
      </c>
      <c r="I19" s="81">
        <f t="shared" si="3"/>
        <v>2500150.003</v>
      </c>
    </row>
    <row r="20" spans="2:9" x14ac:dyDescent="0.25">
      <c r="B20" s="77">
        <f>0.6*$G$8</f>
        <v>36</v>
      </c>
      <c r="C20" s="78">
        <f t="shared" si="4"/>
        <v>541.60453808752015</v>
      </c>
      <c r="D20" s="71"/>
      <c r="E20" s="78">
        <f t="shared" si="0"/>
        <v>541.60453808752015</v>
      </c>
      <c r="F20" s="79">
        <f t="shared" si="1"/>
        <v>0.95377594070342409</v>
      </c>
      <c r="G20" s="92">
        <v>60000</v>
      </c>
      <c r="H20" s="80">
        <f t="shared" si="2"/>
        <v>34071180.555555552</v>
      </c>
      <c r="I20" s="81">
        <f t="shared" si="3"/>
        <v>3600180.003</v>
      </c>
    </row>
    <row r="21" spans="2:9" x14ac:dyDescent="0.25">
      <c r="B21" s="77">
        <f>0.7*$G$8</f>
        <v>42</v>
      </c>
      <c r="C21" s="78">
        <f t="shared" si="4"/>
        <v>631.87196110210698</v>
      </c>
      <c r="D21" s="71"/>
      <c r="E21" s="78">
        <f t="shared" si="0"/>
        <v>631.87196110210698</v>
      </c>
      <c r="F21" s="79">
        <f t="shared" si="1"/>
        <v>1.1127385974873283</v>
      </c>
      <c r="G21" s="92">
        <v>70000</v>
      </c>
      <c r="H21" s="80">
        <f t="shared" si="2"/>
        <v>39749710.648148149</v>
      </c>
      <c r="I21" s="81">
        <f t="shared" si="3"/>
        <v>4900210.0029999996</v>
      </c>
    </row>
    <row r="22" spans="2:9" x14ac:dyDescent="0.25">
      <c r="B22" s="77">
        <f>0.75*$G$8</f>
        <v>45</v>
      </c>
      <c r="C22" s="78">
        <f t="shared" si="4"/>
        <v>677.00567260940034</v>
      </c>
      <c r="D22" s="71"/>
      <c r="E22" s="78">
        <f t="shared" si="0"/>
        <v>677.00567260940034</v>
      </c>
      <c r="F22" s="79">
        <f t="shared" si="1"/>
        <v>1.1922199258792803</v>
      </c>
      <c r="G22" s="92">
        <v>75000</v>
      </c>
      <c r="H22" s="80">
        <f t="shared" si="2"/>
        <v>42588975.69444444</v>
      </c>
      <c r="I22" s="81">
        <f t="shared" si="3"/>
        <v>5625225.0029999996</v>
      </c>
    </row>
    <row r="23" spans="2:9" x14ac:dyDescent="0.25">
      <c r="B23" s="77">
        <f>0.8*$G$8</f>
        <v>48</v>
      </c>
      <c r="C23" s="78">
        <f t="shared" si="4"/>
        <v>722.13938411669358</v>
      </c>
      <c r="D23" s="71"/>
      <c r="E23" s="78">
        <f t="shared" si="0"/>
        <v>722.13938411669358</v>
      </c>
      <c r="F23" s="79">
        <f t="shared" si="1"/>
        <v>1.271701254271232</v>
      </c>
      <c r="G23" s="92">
        <v>80000</v>
      </c>
      <c r="H23" s="80">
        <f t="shared" si="2"/>
        <v>45428240.740740739</v>
      </c>
      <c r="I23" s="81">
        <f t="shared" si="3"/>
        <v>6400240.0029999996</v>
      </c>
    </row>
    <row r="24" spans="2:9" x14ac:dyDescent="0.25">
      <c r="B24" s="77">
        <f>0.85*$G$8</f>
        <v>51</v>
      </c>
      <c r="C24" s="78">
        <f t="shared" si="4"/>
        <v>767.27309562398705</v>
      </c>
      <c r="D24" s="71"/>
      <c r="E24" s="78">
        <f t="shared" si="0"/>
        <v>767.27309562398705</v>
      </c>
      <c r="F24" s="79">
        <f t="shared" si="1"/>
        <v>1.3511825826631845</v>
      </c>
      <c r="G24" s="92">
        <v>85000</v>
      </c>
      <c r="H24" s="80">
        <f t="shared" si="2"/>
        <v>48267505.787037037</v>
      </c>
      <c r="I24" s="81">
        <f t="shared" si="3"/>
        <v>7225255.0029999996</v>
      </c>
    </row>
    <row r="25" spans="2:9" x14ac:dyDescent="0.25">
      <c r="B25" s="77">
        <f>0.9*$G$8</f>
        <v>54</v>
      </c>
      <c r="C25" s="78">
        <f t="shared" si="4"/>
        <v>812.4068071312804</v>
      </c>
      <c r="D25" s="71"/>
      <c r="E25" s="78">
        <f t="shared" si="0"/>
        <v>812.4068071312804</v>
      </c>
      <c r="F25" s="79">
        <f t="shared" si="1"/>
        <v>1.4306639110551365</v>
      </c>
      <c r="G25" s="92">
        <v>90000</v>
      </c>
      <c r="H25" s="80">
        <f t="shared" si="2"/>
        <v>51106770.833333336</v>
      </c>
      <c r="I25" s="81">
        <f t="shared" si="3"/>
        <v>8100270.0029999996</v>
      </c>
    </row>
    <row r="26" spans="2:9" x14ac:dyDescent="0.25">
      <c r="B26" s="77">
        <f>0.95*$G$8</f>
        <v>57</v>
      </c>
      <c r="C26" s="78">
        <f t="shared" si="4"/>
        <v>857.54051863857376</v>
      </c>
      <c r="D26" s="71"/>
      <c r="E26" s="78">
        <f t="shared" si="0"/>
        <v>857.54051863857376</v>
      </c>
      <c r="F26" s="79">
        <f t="shared" si="1"/>
        <v>1.5101452394470884</v>
      </c>
      <c r="G26" s="92">
        <v>95000</v>
      </c>
      <c r="H26" s="80">
        <f t="shared" si="2"/>
        <v>53946035.879629627</v>
      </c>
      <c r="I26" s="81">
        <f t="shared" si="3"/>
        <v>9025285.0030000005</v>
      </c>
    </row>
    <row r="27" spans="2:9" x14ac:dyDescent="0.25">
      <c r="B27" s="82">
        <f>1*$G$8</f>
        <v>60</v>
      </c>
      <c r="C27" s="83">
        <f t="shared" si="4"/>
        <v>902.67423014586711</v>
      </c>
      <c r="D27" s="84"/>
      <c r="E27" s="83">
        <f>C27-(34.4764881*D27-4.325744048*D27^2+0.369475446*D27^3-0.01733631*D27^4+0.000339472*D27^5)</f>
        <v>902.67423014586711</v>
      </c>
      <c r="F27" s="85">
        <f t="shared" si="1"/>
        <v>1.5896265678390404</v>
      </c>
      <c r="G27" s="93">
        <v>100000</v>
      </c>
      <c r="H27" s="86">
        <f t="shared" si="2"/>
        <v>56785300.925925925</v>
      </c>
      <c r="I27" s="87">
        <f t="shared" si="3"/>
        <v>10000300.003</v>
      </c>
    </row>
    <row r="29" spans="2:9" x14ac:dyDescent="0.25">
      <c r="B29" s="24"/>
      <c r="C29" s="24"/>
      <c r="D29" s="24"/>
      <c r="E29" s="24"/>
      <c r="F29" s="24"/>
      <c r="I29" t="s">
        <v>8</v>
      </c>
    </row>
    <row r="31" spans="2:9" x14ac:dyDescent="0.25">
      <c r="B31" s="90" t="s">
        <v>75</v>
      </c>
      <c r="C31" s="65"/>
      <c r="D31" s="91"/>
      <c r="E31" s="65" t="s">
        <v>76</v>
      </c>
      <c r="F31" s="65"/>
      <c r="G31" s="66" t="s">
        <v>91</v>
      </c>
      <c r="H31" s="66" t="s">
        <v>92</v>
      </c>
      <c r="I31" s="94"/>
    </row>
    <row r="32" spans="2:9" x14ac:dyDescent="0.25">
      <c r="B32" s="67" t="s">
        <v>77</v>
      </c>
      <c r="C32" s="68"/>
      <c r="D32" s="69"/>
      <c r="E32" s="68" t="s">
        <v>78</v>
      </c>
      <c r="F32" s="68"/>
      <c r="G32" s="68"/>
      <c r="H32" s="70" t="s">
        <v>93</v>
      </c>
      <c r="I32" s="94"/>
    </row>
    <row r="33" spans="2:9" x14ac:dyDescent="0.25">
      <c r="B33" s="67" t="s">
        <v>79</v>
      </c>
      <c r="C33" s="68"/>
      <c r="D33" s="71"/>
      <c r="E33" s="68"/>
      <c r="F33" s="68"/>
      <c r="G33" s="68"/>
      <c r="H33" s="70" t="s">
        <v>94</v>
      </c>
      <c r="I33" s="94"/>
    </row>
    <row r="34" spans="2:9" x14ac:dyDescent="0.25">
      <c r="B34" s="72" t="s">
        <v>80</v>
      </c>
      <c r="C34" s="73" t="s">
        <v>81</v>
      </c>
      <c r="D34" s="73" t="s">
        <v>82</v>
      </c>
      <c r="E34" s="73" t="s">
        <v>83</v>
      </c>
      <c r="F34" s="88"/>
      <c r="G34" s="73" t="s">
        <v>84</v>
      </c>
      <c r="H34" s="73"/>
      <c r="I34" s="74"/>
    </row>
    <row r="35" spans="2:9" x14ac:dyDescent="0.25">
      <c r="B35" s="89" t="s">
        <v>85</v>
      </c>
      <c r="C35" s="73" t="s">
        <v>86</v>
      </c>
      <c r="D35" s="73" t="s">
        <v>87</v>
      </c>
      <c r="E35" s="73" t="s">
        <v>86</v>
      </c>
      <c r="F35" s="73" t="s">
        <v>88</v>
      </c>
      <c r="G35" s="73" t="s">
        <v>89</v>
      </c>
      <c r="H35" s="73" t="s">
        <v>86</v>
      </c>
      <c r="I35" s="74" t="s">
        <v>90</v>
      </c>
    </row>
    <row r="36" spans="2:9" x14ac:dyDescent="0.25">
      <c r="B36" s="77">
        <f>0.25*$G$8</f>
        <v>15</v>
      </c>
      <c r="C36" s="78">
        <f>(2350/61.7)*B36*0.395</f>
        <v>225.66855753646678</v>
      </c>
      <c r="D36" s="71"/>
      <c r="E36" s="78">
        <f t="shared" ref="E36:E46" si="5">C36-(34.4764881*D36-4.325744048*D36^2+0.369475446*D36^3-0.01733631*D36^4+0.000339472*D36^5)</f>
        <v>225.66855753646678</v>
      </c>
      <c r="F36" s="79">
        <f t="shared" ref="F36:F46" si="6">(E36*60)/Volume</f>
        <v>0.39740664195976011</v>
      </c>
      <c r="G36" s="71">
        <v>20000</v>
      </c>
      <c r="H36" s="80">
        <f t="shared" ref="H36:H46" si="7">G36*Volume/60</f>
        <v>11357060.185185185</v>
      </c>
      <c r="I36" s="81">
        <f t="shared" ref="I36:I46" si="8">G36^2*P1a+G36*P1b+P1c</f>
        <v>0</v>
      </c>
    </row>
    <row r="37" spans="2:9" x14ac:dyDescent="0.25">
      <c r="B37" s="77">
        <f>0.4*$G$8</f>
        <v>24</v>
      </c>
      <c r="C37" s="78">
        <f t="shared" ref="C37:C45" si="9">(2350/61.7)*B37*0.395</f>
        <v>361.06969205834679</v>
      </c>
      <c r="D37" s="71"/>
      <c r="E37" s="78">
        <f t="shared" si="5"/>
        <v>361.06969205834679</v>
      </c>
      <c r="F37" s="79">
        <f t="shared" si="6"/>
        <v>0.63585062713561602</v>
      </c>
      <c r="G37" s="71">
        <v>35000</v>
      </c>
      <c r="H37" s="80">
        <f t="shared" si="7"/>
        <v>19874855.324074075</v>
      </c>
      <c r="I37" s="81">
        <f t="shared" si="8"/>
        <v>0</v>
      </c>
    </row>
    <row r="38" spans="2:9" x14ac:dyDescent="0.25">
      <c r="B38" s="77">
        <f>0.5*$G$8</f>
        <v>30</v>
      </c>
      <c r="C38" s="78">
        <f t="shared" si="9"/>
        <v>451.33711507293356</v>
      </c>
      <c r="D38" s="71"/>
      <c r="E38" s="78">
        <f t="shared" si="5"/>
        <v>451.33711507293356</v>
      </c>
      <c r="F38" s="79">
        <f t="shared" si="6"/>
        <v>0.79481328391952022</v>
      </c>
      <c r="G38" s="71">
        <v>50000</v>
      </c>
      <c r="H38" s="80">
        <f t="shared" si="7"/>
        <v>28392650.462962963</v>
      </c>
      <c r="I38" s="81">
        <f t="shared" si="8"/>
        <v>0</v>
      </c>
    </row>
    <row r="39" spans="2:9" x14ac:dyDescent="0.25">
      <c r="B39" s="77">
        <f>0.6*$G$8</f>
        <v>36</v>
      </c>
      <c r="C39" s="78">
        <f t="shared" si="9"/>
        <v>541.60453808752015</v>
      </c>
      <c r="D39" s="71"/>
      <c r="E39" s="78">
        <f t="shared" si="5"/>
        <v>541.60453808752015</v>
      </c>
      <c r="F39" s="79">
        <f t="shared" si="6"/>
        <v>0.95377594070342409</v>
      </c>
      <c r="G39" s="71">
        <v>60000</v>
      </c>
      <c r="H39" s="80">
        <f t="shared" si="7"/>
        <v>34071180.555555552</v>
      </c>
      <c r="I39" s="81">
        <f t="shared" si="8"/>
        <v>0</v>
      </c>
    </row>
    <row r="40" spans="2:9" x14ac:dyDescent="0.25">
      <c r="B40" s="77">
        <f>0.7*$G$8</f>
        <v>42</v>
      </c>
      <c r="C40" s="78">
        <f t="shared" si="9"/>
        <v>631.87196110210698</v>
      </c>
      <c r="D40" s="71"/>
      <c r="E40" s="78">
        <f t="shared" si="5"/>
        <v>631.87196110210698</v>
      </c>
      <c r="F40" s="79">
        <f t="shared" si="6"/>
        <v>1.1127385974873283</v>
      </c>
      <c r="G40" s="71">
        <v>70000</v>
      </c>
      <c r="H40" s="80">
        <f t="shared" si="7"/>
        <v>39749710.648148149</v>
      </c>
      <c r="I40" s="81">
        <f t="shared" si="8"/>
        <v>0</v>
      </c>
    </row>
    <row r="41" spans="2:9" x14ac:dyDescent="0.25">
      <c r="B41" s="77">
        <f>0.75*$G$8</f>
        <v>45</v>
      </c>
      <c r="C41" s="78">
        <f t="shared" si="9"/>
        <v>677.00567260940034</v>
      </c>
      <c r="D41" s="71"/>
      <c r="E41" s="78">
        <f t="shared" si="5"/>
        <v>677.00567260940034</v>
      </c>
      <c r="F41" s="79">
        <f t="shared" si="6"/>
        <v>1.1922199258792803</v>
      </c>
      <c r="G41" s="71">
        <v>75000</v>
      </c>
      <c r="H41" s="80">
        <f t="shared" si="7"/>
        <v>42588975.69444444</v>
      </c>
      <c r="I41" s="81">
        <f t="shared" si="8"/>
        <v>0</v>
      </c>
    </row>
    <row r="42" spans="2:9" x14ac:dyDescent="0.25">
      <c r="B42" s="77">
        <f>0.8*$G$8</f>
        <v>48</v>
      </c>
      <c r="C42" s="78">
        <f t="shared" si="9"/>
        <v>722.13938411669358</v>
      </c>
      <c r="D42" s="71"/>
      <c r="E42" s="78">
        <f t="shared" si="5"/>
        <v>722.13938411669358</v>
      </c>
      <c r="F42" s="79">
        <f t="shared" si="6"/>
        <v>1.271701254271232</v>
      </c>
      <c r="G42" s="71">
        <v>80000</v>
      </c>
      <c r="H42" s="80">
        <f t="shared" si="7"/>
        <v>45428240.740740739</v>
      </c>
      <c r="I42" s="81">
        <f t="shared" si="8"/>
        <v>0</v>
      </c>
    </row>
    <row r="43" spans="2:9" x14ac:dyDescent="0.25">
      <c r="B43" s="77">
        <f>0.85*$G$8</f>
        <v>51</v>
      </c>
      <c r="C43" s="78">
        <f t="shared" si="9"/>
        <v>767.27309562398705</v>
      </c>
      <c r="D43" s="71"/>
      <c r="E43" s="78">
        <f t="shared" si="5"/>
        <v>767.27309562398705</v>
      </c>
      <c r="F43" s="79">
        <f t="shared" si="6"/>
        <v>1.3511825826631845</v>
      </c>
      <c r="G43" s="71">
        <v>85000</v>
      </c>
      <c r="H43" s="80">
        <f t="shared" si="7"/>
        <v>48267505.787037037</v>
      </c>
      <c r="I43" s="81">
        <f t="shared" si="8"/>
        <v>0</v>
      </c>
    </row>
    <row r="44" spans="2:9" x14ac:dyDescent="0.25">
      <c r="B44" s="77">
        <f>0.9*$G$8</f>
        <v>54</v>
      </c>
      <c r="C44" s="78">
        <f t="shared" si="9"/>
        <v>812.4068071312804</v>
      </c>
      <c r="D44" s="71"/>
      <c r="E44" s="78">
        <f t="shared" si="5"/>
        <v>812.4068071312804</v>
      </c>
      <c r="F44" s="79">
        <f t="shared" si="6"/>
        <v>1.4306639110551365</v>
      </c>
      <c r="G44" s="71">
        <v>90000</v>
      </c>
      <c r="H44" s="80">
        <f t="shared" si="7"/>
        <v>51106770.833333336</v>
      </c>
      <c r="I44" s="81">
        <f t="shared" si="8"/>
        <v>0</v>
      </c>
    </row>
    <row r="45" spans="2:9" x14ac:dyDescent="0.25">
      <c r="B45" s="77">
        <f>0.95*$G$8</f>
        <v>57</v>
      </c>
      <c r="C45" s="78">
        <f t="shared" si="9"/>
        <v>857.54051863857376</v>
      </c>
      <c r="D45" s="71"/>
      <c r="E45" s="78">
        <f t="shared" si="5"/>
        <v>857.54051863857376</v>
      </c>
      <c r="F45" s="79">
        <f t="shared" si="6"/>
        <v>1.5101452394470884</v>
      </c>
      <c r="G45" s="71">
        <v>95000</v>
      </c>
      <c r="H45" s="80">
        <f t="shared" si="7"/>
        <v>53946035.879629627</v>
      </c>
      <c r="I45" s="81">
        <f t="shared" si="8"/>
        <v>0</v>
      </c>
    </row>
    <row r="46" spans="2:9" x14ac:dyDescent="0.25">
      <c r="B46" s="82">
        <f>1*$G$8</f>
        <v>60</v>
      </c>
      <c r="C46" s="83">
        <f>(2350/61.7)*B46*0.395</f>
        <v>902.67423014586711</v>
      </c>
      <c r="D46" s="84"/>
      <c r="E46" s="83">
        <f t="shared" si="5"/>
        <v>902.67423014586711</v>
      </c>
      <c r="F46" s="85">
        <f t="shared" si="6"/>
        <v>1.5896265678390404</v>
      </c>
      <c r="G46" s="84">
        <v>100000</v>
      </c>
      <c r="H46" s="86">
        <f t="shared" si="7"/>
        <v>56785300.925925925</v>
      </c>
      <c r="I46" s="87">
        <f t="shared" si="8"/>
        <v>0</v>
      </c>
    </row>
    <row r="48" spans="2:9" x14ac:dyDescent="0.25">
      <c r="C48" s="24"/>
      <c r="D48" s="24"/>
      <c r="E48" s="24"/>
      <c r="F48" s="24"/>
    </row>
    <row r="50" spans="2:9" x14ac:dyDescent="0.25">
      <c r="B50" s="90" t="s">
        <v>75</v>
      </c>
      <c r="C50" s="65"/>
      <c r="D50" s="91"/>
      <c r="E50" s="65" t="s">
        <v>76</v>
      </c>
      <c r="F50" s="65"/>
      <c r="G50" s="66" t="s">
        <v>91</v>
      </c>
      <c r="H50" s="66" t="s">
        <v>92</v>
      </c>
      <c r="I50" s="94"/>
    </row>
    <row r="51" spans="2:9" x14ac:dyDescent="0.25">
      <c r="B51" s="67" t="s">
        <v>77</v>
      </c>
      <c r="C51" s="68"/>
      <c r="D51" s="69"/>
      <c r="E51" s="68" t="s">
        <v>78</v>
      </c>
      <c r="F51" s="68"/>
      <c r="G51" s="68"/>
      <c r="H51" s="70" t="s">
        <v>93</v>
      </c>
      <c r="I51" s="95"/>
    </row>
    <row r="52" spans="2:9" x14ac:dyDescent="0.25">
      <c r="B52" s="67" t="s">
        <v>79</v>
      </c>
      <c r="C52" s="68"/>
      <c r="D52" s="71"/>
      <c r="E52" s="68"/>
      <c r="F52" s="68"/>
      <c r="G52" s="68"/>
      <c r="H52" s="70" t="s">
        <v>94</v>
      </c>
      <c r="I52" s="95"/>
    </row>
    <row r="53" spans="2:9" x14ac:dyDescent="0.25">
      <c r="B53" s="72" t="s">
        <v>80</v>
      </c>
      <c r="C53" s="73" t="s">
        <v>81</v>
      </c>
      <c r="D53" s="73" t="s">
        <v>82</v>
      </c>
      <c r="E53" s="73" t="s">
        <v>83</v>
      </c>
      <c r="F53" s="88"/>
      <c r="G53" s="73" t="s">
        <v>84</v>
      </c>
      <c r="H53" s="73"/>
      <c r="I53" s="74"/>
    </row>
    <row r="54" spans="2:9" x14ac:dyDescent="0.25">
      <c r="B54" s="89" t="s">
        <v>85</v>
      </c>
      <c r="C54" s="73" t="s">
        <v>86</v>
      </c>
      <c r="D54" s="73" t="s">
        <v>87</v>
      </c>
      <c r="E54" s="73" t="s">
        <v>86</v>
      </c>
      <c r="F54" s="73" t="s">
        <v>88</v>
      </c>
      <c r="G54" s="73" t="s">
        <v>89</v>
      </c>
      <c r="H54" s="73" t="s">
        <v>86</v>
      </c>
      <c r="I54" s="74" t="s">
        <v>90</v>
      </c>
    </row>
    <row r="55" spans="2:9" x14ac:dyDescent="0.25">
      <c r="B55" s="77">
        <f>0.25*$G$8</f>
        <v>15</v>
      </c>
      <c r="C55" s="78">
        <f>(2350/61.7)*B55*0.395</f>
        <v>225.66855753646678</v>
      </c>
      <c r="D55" s="71"/>
      <c r="E55" s="78">
        <f t="shared" ref="E55:E65" si="10">C55-(34.4764881*D55-4.325744048*D55^2+0.369475446*D55^3-0.01733631*D55^4+0.000339472*D55^5)</f>
        <v>225.66855753646678</v>
      </c>
      <c r="F55" s="78">
        <f t="shared" ref="F55:F65" si="11">(E55*60)/Volume</f>
        <v>0.39740664195976011</v>
      </c>
      <c r="G55" s="71">
        <v>20000</v>
      </c>
      <c r="H55" s="80">
        <f t="shared" ref="H55:H65" si="12">G55*Volume/60</f>
        <v>11357060.185185185</v>
      </c>
      <c r="I55" s="81">
        <f t="shared" ref="I55:I65" si="13">G55^2*P2a+G55*P2b+P2c</f>
        <v>0</v>
      </c>
    </row>
    <row r="56" spans="2:9" x14ac:dyDescent="0.25">
      <c r="B56" s="77">
        <f>0.4*$G$8</f>
        <v>24</v>
      </c>
      <c r="C56" s="78">
        <f t="shared" ref="C56:C65" si="14">(2350/61.7)*B56*0.395</f>
        <v>361.06969205834679</v>
      </c>
      <c r="D56" s="71"/>
      <c r="E56" s="78">
        <f t="shared" si="10"/>
        <v>361.06969205834679</v>
      </c>
      <c r="F56" s="78">
        <f t="shared" si="11"/>
        <v>0.63585062713561602</v>
      </c>
      <c r="G56" s="71">
        <v>35000</v>
      </c>
      <c r="H56" s="80">
        <f t="shared" si="12"/>
        <v>19874855.324074075</v>
      </c>
      <c r="I56" s="81">
        <f t="shared" si="13"/>
        <v>0</v>
      </c>
    </row>
    <row r="57" spans="2:9" x14ac:dyDescent="0.25">
      <c r="B57" s="77">
        <f>0.5*$G$8</f>
        <v>30</v>
      </c>
      <c r="C57" s="78">
        <f t="shared" si="14"/>
        <v>451.33711507293356</v>
      </c>
      <c r="D57" s="71"/>
      <c r="E57" s="78">
        <f t="shared" si="10"/>
        <v>451.33711507293356</v>
      </c>
      <c r="F57" s="78">
        <f t="shared" si="11"/>
        <v>0.79481328391952022</v>
      </c>
      <c r="G57" s="71">
        <v>50000</v>
      </c>
      <c r="H57" s="80">
        <f t="shared" si="12"/>
        <v>28392650.462962963</v>
      </c>
      <c r="I57" s="81">
        <f t="shared" si="13"/>
        <v>0</v>
      </c>
    </row>
    <row r="58" spans="2:9" x14ac:dyDescent="0.25">
      <c r="B58" s="77">
        <f>0.6*$G$8</f>
        <v>36</v>
      </c>
      <c r="C58" s="78">
        <f t="shared" si="14"/>
        <v>541.60453808752015</v>
      </c>
      <c r="D58" s="71"/>
      <c r="E58" s="78">
        <f t="shared" si="10"/>
        <v>541.60453808752015</v>
      </c>
      <c r="F58" s="78">
        <f t="shared" si="11"/>
        <v>0.95377594070342409</v>
      </c>
      <c r="G58" s="71">
        <v>60000</v>
      </c>
      <c r="H58" s="80">
        <f t="shared" si="12"/>
        <v>34071180.555555552</v>
      </c>
      <c r="I58" s="81">
        <f t="shared" si="13"/>
        <v>0</v>
      </c>
    </row>
    <row r="59" spans="2:9" x14ac:dyDescent="0.25">
      <c r="B59" s="77">
        <f>0.7*$G$8</f>
        <v>42</v>
      </c>
      <c r="C59" s="78">
        <f t="shared" si="14"/>
        <v>631.87196110210698</v>
      </c>
      <c r="D59" s="71"/>
      <c r="E59" s="78">
        <f t="shared" si="10"/>
        <v>631.87196110210698</v>
      </c>
      <c r="F59" s="78">
        <f t="shared" si="11"/>
        <v>1.1127385974873283</v>
      </c>
      <c r="G59" s="71">
        <v>70000</v>
      </c>
      <c r="H59" s="80">
        <f t="shared" si="12"/>
        <v>39749710.648148149</v>
      </c>
      <c r="I59" s="81">
        <f t="shared" si="13"/>
        <v>0</v>
      </c>
    </row>
    <row r="60" spans="2:9" x14ac:dyDescent="0.25">
      <c r="B60" s="77">
        <f>0.75*$G$8</f>
        <v>45</v>
      </c>
      <c r="C60" s="78">
        <f t="shared" si="14"/>
        <v>677.00567260940034</v>
      </c>
      <c r="D60" s="71"/>
      <c r="E60" s="78">
        <f t="shared" si="10"/>
        <v>677.00567260940034</v>
      </c>
      <c r="F60" s="78">
        <f t="shared" si="11"/>
        <v>1.1922199258792803</v>
      </c>
      <c r="G60" s="71">
        <v>75000</v>
      </c>
      <c r="H60" s="80">
        <f t="shared" si="12"/>
        <v>42588975.69444444</v>
      </c>
      <c r="I60" s="81">
        <f t="shared" si="13"/>
        <v>0</v>
      </c>
    </row>
    <row r="61" spans="2:9" x14ac:dyDescent="0.25">
      <c r="B61" s="77">
        <f>0.8*$G$8</f>
        <v>48</v>
      </c>
      <c r="C61" s="78">
        <f t="shared" si="14"/>
        <v>722.13938411669358</v>
      </c>
      <c r="D61" s="71"/>
      <c r="E61" s="78">
        <f t="shared" si="10"/>
        <v>722.13938411669358</v>
      </c>
      <c r="F61" s="78">
        <f t="shared" si="11"/>
        <v>1.271701254271232</v>
      </c>
      <c r="G61" s="71">
        <v>80000</v>
      </c>
      <c r="H61" s="80">
        <f t="shared" si="12"/>
        <v>45428240.740740739</v>
      </c>
      <c r="I61" s="81">
        <f t="shared" si="13"/>
        <v>0</v>
      </c>
    </row>
    <row r="62" spans="2:9" x14ac:dyDescent="0.25">
      <c r="B62" s="77">
        <f>0.85*$G$8</f>
        <v>51</v>
      </c>
      <c r="C62" s="78">
        <f t="shared" si="14"/>
        <v>767.27309562398705</v>
      </c>
      <c r="D62" s="71"/>
      <c r="E62" s="78">
        <f t="shared" si="10"/>
        <v>767.27309562398705</v>
      </c>
      <c r="F62" s="78">
        <f t="shared" si="11"/>
        <v>1.3511825826631845</v>
      </c>
      <c r="G62" s="71">
        <v>85000</v>
      </c>
      <c r="H62" s="80">
        <f t="shared" si="12"/>
        <v>48267505.787037037</v>
      </c>
      <c r="I62" s="81">
        <f t="shared" si="13"/>
        <v>0</v>
      </c>
    </row>
    <row r="63" spans="2:9" x14ac:dyDescent="0.25">
      <c r="B63" s="77">
        <f>0.9*$G$8</f>
        <v>54</v>
      </c>
      <c r="C63" s="78">
        <f t="shared" si="14"/>
        <v>812.4068071312804</v>
      </c>
      <c r="D63" s="71"/>
      <c r="E63" s="78">
        <f t="shared" si="10"/>
        <v>812.4068071312804</v>
      </c>
      <c r="F63" s="78">
        <f t="shared" si="11"/>
        <v>1.4306639110551365</v>
      </c>
      <c r="G63" s="71">
        <v>90000</v>
      </c>
      <c r="H63" s="80">
        <f t="shared" si="12"/>
        <v>51106770.833333336</v>
      </c>
      <c r="I63" s="81">
        <f t="shared" si="13"/>
        <v>0</v>
      </c>
    </row>
    <row r="64" spans="2:9" x14ac:dyDescent="0.25">
      <c r="B64" s="77">
        <f>0.95*$G$8</f>
        <v>57</v>
      </c>
      <c r="C64" s="78">
        <f t="shared" si="14"/>
        <v>857.54051863857376</v>
      </c>
      <c r="D64" s="71"/>
      <c r="E64" s="78">
        <f t="shared" si="10"/>
        <v>857.54051863857376</v>
      </c>
      <c r="F64" s="78">
        <f t="shared" si="11"/>
        <v>1.5101452394470884</v>
      </c>
      <c r="G64" s="71">
        <v>95000</v>
      </c>
      <c r="H64" s="80">
        <f t="shared" si="12"/>
        <v>53946035.879629627</v>
      </c>
      <c r="I64" s="81">
        <f t="shared" si="13"/>
        <v>0</v>
      </c>
    </row>
    <row r="65" spans="2:9" x14ac:dyDescent="0.25">
      <c r="B65" s="82">
        <f>1*$G$8</f>
        <v>60</v>
      </c>
      <c r="C65" s="83">
        <f t="shared" si="14"/>
        <v>902.67423014586711</v>
      </c>
      <c r="D65" s="84"/>
      <c r="E65" s="83">
        <f t="shared" si="10"/>
        <v>902.67423014586711</v>
      </c>
      <c r="F65" s="83">
        <f t="shared" si="11"/>
        <v>1.5896265678390404</v>
      </c>
      <c r="G65" s="84">
        <v>100000</v>
      </c>
      <c r="H65" s="86">
        <f t="shared" si="12"/>
        <v>56785300.925925925</v>
      </c>
      <c r="I65" s="87">
        <f t="shared" si="13"/>
        <v>0</v>
      </c>
    </row>
    <row r="67" spans="2:9" x14ac:dyDescent="0.25">
      <c r="F67" s="27"/>
    </row>
    <row r="68" spans="2:9" x14ac:dyDescent="0.25">
      <c r="B68" s="26"/>
      <c r="C68" s="25"/>
      <c r="D68" s="25"/>
      <c r="F68" s="19"/>
    </row>
    <row r="69" spans="2:9" x14ac:dyDescent="0.25">
      <c r="B69" s="26"/>
      <c r="C69" s="25"/>
      <c r="D69" s="25"/>
      <c r="E69" s="23"/>
      <c r="F69" s="19"/>
    </row>
    <row r="70" spans="2:9" x14ac:dyDescent="0.25">
      <c r="C70" s="28"/>
      <c r="D70" s="24"/>
      <c r="F70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2019-05-12T18:26:38Z</dcterms:modified>
</cp:coreProperties>
</file>