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19080" yWindow="-120" windowWidth="19440" windowHeight="1515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 localSheetId="11">Quality!$D$17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Quality!$C$5:$C$8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Quality!$C$5:$C$7</definedName>
    <definedName name="engine" localSheetId="8">DPF!$F$51:$F$54</definedName>
    <definedName name="engine" localSheetId="5">Engine!$B$5:$B$8</definedName>
    <definedName name="InletCells" localSheetId="11">Quality!$D$20:$F$24</definedName>
    <definedName name="manufacturer" localSheetId="6">Manufacturer!$B$3:$B$4</definedName>
    <definedName name="Mass0" localSheetId="11">Quality!$E$12</definedName>
    <definedName name="Mass1" localSheetId="11">Quality!$F$12</definedName>
    <definedName name="Mass2" localSheetId="11">Quality!$G$12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<sst xmlns="http://schemas.openxmlformats.org/spreadsheetml/2006/main" count="480" uniqueCount="274">
  <si>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</si>
  <si>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</si>
  <si>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</si>
  <si>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</si>
  <si>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</si>
  <si>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</si>
  <si>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</si>
  <si>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</si>
  <si>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</si>
  <si>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</si>
  <si>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</si>
  <si>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</si>
  <si>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</si>
  <si>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</si>
  <si>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</si>
  <si>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</si>
  <si>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</si>
  <si>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</si>
  <si>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</si>
  <si>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</si>
  <si>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</si>
  <si>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</si>
  <si>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</si>
  <si>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</si>
  <si>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</si>
  <si>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</si>
  <si>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</si>
  <si>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</si>
  <si>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</si>
  <si>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</si>
  <si>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</si>
  <si>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</si>
  <si>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</si>
  <si>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</si>
  <si>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</si>
  <si>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</si>
  <si>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</si>
  <si>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</si>
  <si>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</si>
  <si>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</si>
  <si>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</si>
  <si>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</si>
  <si>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</si>
  <si>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</si>
  <si>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</si>
  <si>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</si>
  <si>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</si>
  <si>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</si>
  <si>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</si>
  <si>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</si>
  <si>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</si>
  <si>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</si>
  <si>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</si>
  <si>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</si>
  <si>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</si>
  <si>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</si>
  <si>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</si>
  <si>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</si>
  <si>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</si>
  <si>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</si>
  <si>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</si>
  <si>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</si>
  <si>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</si>
  <si>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</si>
  <si>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</si>
  <si>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</si>
  <si>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</si>
  <si>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</si>
  <si>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</si>
  <si>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</si>
  <si>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</si>
  <si>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</si>
  <si>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</si>
  <si>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</si>
  <si>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</si>
  <si>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</si>
  <si>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</si>
  <si>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</si>
  <si>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</si>
  <si>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</si>
  <si>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</si>
  <si>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</si>
  <si>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</si>
  <si>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</si>
  <si>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</si>
  <si>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</si>
  <si>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</si>
  <si>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</si>
  <si>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</si>
  <si>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</si>
  <si>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</si>
  <si>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</si>
  <si>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</si>
  <si>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</si>
  <si>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</si>
  <si>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</si>
  <si>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</si>
  <si>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</si>
  <si>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</si>
  <si>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</si>
  <si>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</si>
  <si>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</si>
  <si>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</si>
  <si>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</si>
  <si>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</si>
  <si>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</si>
  <si>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</si>
  <si>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</si>
  <si>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</si>
  <si>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</si>
  <si>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</si>
  <si>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</si>
  <si>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</si>
  <si>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</si>
  <si>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</si>
  <si>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</si>
  <si>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</si>
  <si>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</si>
  <si>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</si>
  <si>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</si>
  <si>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</si>
  <si>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</si>
  <si>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</si>
  <si>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</si>
  <si>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</si>
  <si>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</si>
  <si>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</si>
  <si>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</si>
  <si>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</si>
  <si>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</si>
  <si>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</si>
  <si>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</si>
  <si>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</si>
  <si>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</si>
  <si>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</si>
  <si>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</si>
  <si>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</si>
  <si>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</si>
  <si>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</si>
  <si>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</si>
  <si>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</si>
  <si>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</si>
  <si>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</si>
  <si>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</si>
  <si>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</si>
  <si>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</si>
  <si>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</si>
  <si>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</si>
  <si>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</si>
  <si>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</si>
  <si>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</si>
  <si>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</si>
  <si>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</si>
  <si>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</si>
  <si>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</si>
  <si>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</si>
  <si>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</si>
  <si>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</si>
  <si>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</si>
  <si>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</si>
  <si>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</si>
  <si>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</si>
  <si>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</si>
  <si>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</si>
  <si>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</si>
  <si>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</si>
  <si>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</si>
  <si>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</si>
  <si>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</si>
  <si>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</si>
  <si>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</si>
  <si>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</si>
  <si>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</si>
  <si>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</si>
  <si>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</si>
  <si>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</si>
  <si>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</si>
  <si>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</si>
  <si>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</si>
  <si>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</si>
  <si>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</si>
  <si>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</si>
  <si>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</si>
  <si>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</si>
  <si>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</si>
  <si>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</si>
  <si>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</si>
  <si>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</si>
  <si>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</si>
  <si>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</si>
  <si>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</si>
  <si>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</si>
  <si>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</si>
  <si>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</si>
  <si>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</si>
  <si>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</si>
  <si>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</si>
  <si>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</si>
  <si>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</si>
  <si>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</si>
  <si>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</si>
  <si>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</si>
  <si>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</si>
  <si>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</si>
  <si>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</si>
  <si>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</si>
  <si>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</si>
  <si>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</si>
  <si>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</si>
  <si>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</si>
  <si>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</si>
  <si>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</si>
  <si>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</si>
  <si>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</si>
  <si>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</si>
  <si>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</si>
  <si>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</si>
  <si>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</si>
  <si>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</si>
  <si>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</si>
  <si>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</si>
  <si>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333</t>
  </si>
  <si>
    <t>122</t>
  </si>
  <si>
    <t>444</t>
  </si>
  <si>
    <t>s2</t>
  </si>
  <si>
    <t>m2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</si>
  <si>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</si>
  <si>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</si>
  <si>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</si>
  <si>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</si>
  <si>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</si>
  <si>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</si>
  <si>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</si>
  <si>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</si>
  <si>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</si>
  <si>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</si>
  <si>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</si>
  <si>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</si>
  <si>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</si>
  <si>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</si>
  <si>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</si>
  <si>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</si>
  <si>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</si>
  <si>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</si>
  <si>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</si>
  <si>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</si>
  <si>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</si>
  <si>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</si>
  <si>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</si>
  <si>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</si>
  <si>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</si>
  <si>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</si>
  <si>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</si>
  <si>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</si>
  <si>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</si>
  <si>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</si>
  <si>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</si>
  <si>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</si>
  <si>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</si>
  <si>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</si>
  <si>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</si>
  <si>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</si>
  <si>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</si>
  <si>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</si>
  <si>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</si>
  <si>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</si>
  <si>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</si>
  <si>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</si>
  <si>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</si>
  <si>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</si>
  <si>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</si>
  <si>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</si>
  <si>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Report Generated: C:\Clients\GitHub\DP\Excel\Report2.xlsm</t>
  </si>
  <si>
    <t>122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</si>
</sst>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0" fontId="0" fillId="3" borderId="1" xfId="0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31750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12700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146050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165100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31750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10</xdr:row>
          <xdr:rowOff>95250</xdr:rowOff>
        </xdr:from>
        <xdr:to>
          <xdr:col>10</xdr:col>
          <xdr:colOff>203200</xdr:colOff>
          <xdr:row>12</xdr:row>
          <xdr:rowOff>127000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2762250</xdr:colOff>
          <xdr:row>2</xdr:row>
          <xdr:rowOff>317500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2</xdr:col>
          <xdr:colOff>50800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298450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4</xdr:col>
          <xdr:colOff>31750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2</xdr:col>
          <xdr:colOff>19050</xdr:colOff>
          <xdr:row>3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4</xdr:col>
          <xdr:colOff>31750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679450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0</xdr:colOff>
          <xdr:row>3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679450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133350</xdr:colOff>
          <xdr:row>3</xdr:row>
          <xdr:rowOff>69850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81</xdr:row>
          <xdr:rowOff>184150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241300</xdr:colOff>
          <xdr:row>8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241300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241300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241300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241300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241300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241300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241300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165100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43</xdr:row>
          <xdr:rowOff>12700</xdr:rowOff>
        </xdr:from>
        <xdr:to>
          <xdr:col>3</xdr:col>
          <xdr:colOff>361950</xdr:colOff>
          <xdr:row>43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57150</xdr:rowOff>
        </xdr:from>
        <xdr:to>
          <xdr:col>3</xdr:col>
          <xdr:colOff>336550</xdr:colOff>
          <xdr:row>14</xdr:row>
          <xdr:rowOff>31750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14</xdr:row>
          <xdr:rowOff>165100</xdr:rowOff>
        </xdr:from>
        <xdr:to>
          <xdr:col>3</xdr:col>
          <xdr:colOff>336550</xdr:colOff>
          <xdr:row>15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45</xdr:row>
          <xdr:rowOff>38100</xdr:rowOff>
        </xdr:from>
        <xdr:to>
          <xdr:col>3</xdr:col>
          <xdr:colOff>355600</xdr:colOff>
          <xdr:row>46</xdr:row>
          <xdr:rowOff>12700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27</xdr:row>
          <xdr:rowOff>165100</xdr:rowOff>
        </xdr:from>
        <xdr:to>
          <xdr:col>7</xdr:col>
          <xdr:colOff>19050</xdr:colOff>
          <xdr:row>29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29</xdr:row>
          <xdr:rowOff>165100</xdr:rowOff>
        </xdr:from>
        <xdr:to>
          <xdr:col>7</xdr:col>
          <xdr:colOff>19050</xdr:colOff>
          <xdr:row>31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31</xdr:row>
          <xdr:rowOff>12700</xdr:rowOff>
        </xdr:from>
        <xdr:to>
          <xdr:col>7</xdr:col>
          <xdr:colOff>0</xdr:colOff>
          <xdr:row>32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34</xdr:row>
          <xdr:rowOff>12700</xdr:rowOff>
        </xdr:from>
        <xdr:to>
          <xdr:col>7</xdr:col>
          <xdr:colOff>0</xdr:colOff>
          <xdr:row>35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38</xdr:row>
          <xdr:rowOff>0</xdr:rowOff>
        </xdr:from>
        <xdr:to>
          <xdr:col>7</xdr:col>
          <xdr:colOff>38100</xdr:colOff>
          <xdr:row>39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40</xdr:row>
          <xdr:rowOff>0</xdr:rowOff>
        </xdr:from>
        <xdr:to>
          <xdr:col>7</xdr:col>
          <xdr:colOff>38100</xdr:colOff>
          <xdr:row>41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590550</xdr:colOff>
          <xdr:row>5</xdr:row>
          <xdr:rowOff>101600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4.5" x14ac:dyDescent="0.35"/>
  <cols>
    <col min="2" max="2" width="4.1796875" customWidth="1"/>
  </cols>
  <sheetData>
    <row r="3" spans="2:11" x14ac:dyDescent="0.3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3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3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3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3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3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3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3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3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3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3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3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50800</xdr:colOff>
                <xdr:row>10</xdr:row>
                <xdr:rowOff>95250</xdr:rowOff>
              </from>
              <to>
                <xdr:col>10</xdr:col>
                <xdr:colOff>203200</xdr:colOff>
                <xdr:row>12</xdr:row>
                <xdr:rowOff>139700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4.1796875" customWidth="1"/>
  </cols>
  <sheetData>
    <row r="1" spans="1:6" ht="30" customHeight="1" x14ac:dyDescent="0.35">
      <c r="A1" s="24"/>
      <c r="C1" s="17"/>
    </row>
    <row r="2" spans="1:6" ht="30" customHeight="1" x14ac:dyDescent="0.35">
      <c r="B2" s="20" t="s">
        <v>91</v>
      </c>
      <c r="C2" s="21"/>
    </row>
    <row r="3" spans="1:6" ht="30" customHeight="1" x14ac:dyDescent="0.35">
      <c r="B3" s="20" t="s">
        <v>92</v>
      </c>
      <c r="C3" s="25"/>
      <c r="F3" s="90"/>
    </row>
    <row r="4" spans="1:6" ht="30" customHeight="1" x14ac:dyDescent="0.35">
      <c r="B4" s="20" t="s">
        <v>93</v>
      </c>
      <c r="C4" s="23"/>
      <c r="F4" s="91"/>
    </row>
    <row r="5" spans="1:6" ht="30" customHeight="1" x14ac:dyDescent="0.35">
      <c r="B5" s="20" t="s">
        <v>94</v>
      </c>
      <c r="C5" s="23"/>
    </row>
    <row r="6" spans="1:6" ht="30" customHeight="1" x14ac:dyDescent="0.35">
      <c r="B6" s="20" t="s">
        <v>95</v>
      </c>
      <c r="C6" s="23"/>
    </row>
    <row r="7" spans="1:6" ht="30" customHeight="1" x14ac:dyDescent="0.35">
      <c r="B7" s="20" t="s">
        <v>96</v>
      </c>
      <c r="C7" s="23"/>
    </row>
    <row r="8" spans="1:6" ht="30" customHeight="1" x14ac:dyDescent="0.35">
      <c r="B8" s="20" t="s">
        <v>97</v>
      </c>
      <c r="C8" s="23"/>
    </row>
    <row r="9" spans="1:6" ht="30" customHeight="1" x14ac:dyDescent="0.35">
      <c r="B9" s="20" t="s">
        <v>98</v>
      </c>
      <c r="C9" s="23"/>
    </row>
    <row r="10" spans="1:6" ht="30" customHeight="1" x14ac:dyDescent="0.35">
      <c r="B10" s="20" t="s">
        <v>99</v>
      </c>
      <c r="C10" s="23"/>
    </row>
    <row r="11" spans="1:6" ht="30" customHeight="1" x14ac:dyDescent="0.3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2762250</xdr:colOff>
                <xdr:row>2</xdr:row>
                <xdr:rowOff>317500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35"/>
  <cols>
    <col min="1" max="1" width="30.81640625" bestFit="1" customWidth="1"/>
    <col min="2" max="2" width="45.54296875" style="18" customWidth="1"/>
    <col min="4" max="4" width="26.54296875" customWidth="1"/>
  </cols>
  <sheetData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70</v>
      </c>
      <c r="B3" s="25">
        <v>28</v>
      </c>
    </row>
    <row r="4" spans="1:4" ht="30" customHeight="1" x14ac:dyDescent="0.35">
      <c r="A4" s="7" t="s">
        <v>72</v>
      </c>
      <c r="B4" s="22"/>
      <c r="D4" s="91"/>
    </row>
    <row r="5" spans="1:4" ht="30" customHeight="1" x14ac:dyDescent="0.35">
      <c r="A5" s="7" t="s">
        <v>71</v>
      </c>
      <c r="B5" s="23"/>
    </row>
    <row r="6" spans="1:4" ht="30" customHeight="1" x14ac:dyDescent="0.35">
      <c r="A6" s="7" t="s">
        <v>6</v>
      </c>
      <c r="B6" s="23"/>
    </row>
    <row r="7" spans="1:4" ht="30" customHeight="1" x14ac:dyDescent="0.35">
      <c r="A7" s="7" t="s">
        <v>69</v>
      </c>
      <c r="B7" s="23"/>
    </row>
    <row r="8" spans="1:4" ht="30" customHeight="1" x14ac:dyDescent="0.35">
      <c r="A8" s="7" t="s">
        <v>7</v>
      </c>
      <c r="B8" s="23"/>
    </row>
    <row r="9" spans="1:4" ht="30" customHeight="1" x14ac:dyDescent="0.35">
      <c r="A9" s="7" t="s">
        <v>8</v>
      </c>
      <c r="B9" s="23"/>
    </row>
    <row r="10" spans="1:4" ht="30" customHeight="1" x14ac:dyDescent="0.35">
      <c r="A10" s="7" t="s">
        <v>9</v>
      </c>
      <c r="B10" s="23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35"/>
  <cols>
    <col min="1" max="1" width="30.81640625" style="7" bestFit="1" customWidth="1"/>
    <col min="2" max="2" width="46" style="18" customWidth="1"/>
    <col min="4" max="4" width="35.54296875" customWidth="1"/>
  </cols>
  <sheetData>
    <row r="1" spans="1:7" ht="30" customHeight="1" x14ac:dyDescent="0.35">
      <c r="B1" s="17"/>
    </row>
    <row r="2" spans="1:7" ht="30" customHeight="1" x14ac:dyDescent="0.35">
      <c r="A2" s="7" t="s">
        <v>78</v>
      </c>
      <c r="B2" s="21"/>
    </row>
    <row r="3" spans="1:7" ht="30" customHeight="1" x14ac:dyDescent="0.3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35">
      <c r="A4" s="7" t="s">
        <v>90</v>
      </c>
      <c r="B4" s="22"/>
    </row>
    <row r="5" spans="1:7" ht="30" customHeight="1" x14ac:dyDescent="0.35">
      <c r="A5" s="7" t="s">
        <v>11</v>
      </c>
      <c r="B5" s="23"/>
    </row>
    <row r="6" spans="1:7" ht="30" customHeight="1" x14ac:dyDescent="0.35">
      <c r="A6" s="7" t="s">
        <v>12</v>
      </c>
      <c r="B6" s="23"/>
    </row>
    <row r="7" spans="1:7" ht="30" customHeight="1" x14ac:dyDescent="0.35">
      <c r="A7" s="7" t="s">
        <v>6</v>
      </c>
      <c r="B7" s="23"/>
    </row>
    <row r="8" spans="1:7" ht="30" customHeight="1" x14ac:dyDescent="0.35">
      <c r="A8" s="7" t="s">
        <v>69</v>
      </c>
      <c r="B8" s="23"/>
    </row>
    <row r="9" spans="1:7" ht="30" customHeight="1" x14ac:dyDescent="0.35">
      <c r="A9" s="7" t="s">
        <v>7</v>
      </c>
      <c r="B9" s="23"/>
    </row>
    <row r="10" spans="1:7" ht="30" customHeight="1" x14ac:dyDescent="0.35">
      <c r="A10" s="7" t="s">
        <v>8</v>
      </c>
      <c r="B10" s="23"/>
    </row>
    <row r="11" spans="1:7" ht="30" customHeight="1" x14ac:dyDescent="0.35">
      <c r="A11" s="7" t="s">
        <v>9</v>
      </c>
      <c r="B11" s="23"/>
    </row>
    <row r="12" spans="1:7" ht="30" customHeight="1" x14ac:dyDescent="0.35">
      <c r="A12" s="7" t="s">
        <v>87</v>
      </c>
      <c r="B12" s="27"/>
    </row>
    <row r="13" spans="1:7" ht="30" customHeight="1" x14ac:dyDescent="0.35">
      <c r="A13" s="7" t="s">
        <v>88</v>
      </c>
      <c r="B13" s="23"/>
    </row>
    <row r="14" spans="1:7" ht="30" customHeight="1" x14ac:dyDescent="0.3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4" max="4" width="20.17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3"/>
      <c r="D3" s="91"/>
    </row>
    <row r="4" spans="1:4" ht="30" customHeight="1" x14ac:dyDescent="0.35">
      <c r="A4" s="7" t="s">
        <v>73</v>
      </c>
      <c r="B4" s="25">
        <v>28</v>
      </c>
    </row>
    <row r="5" spans="1:4" ht="30" customHeight="1" x14ac:dyDescent="0.35">
      <c r="A5" s="7" t="s">
        <v>25</v>
      </c>
      <c r="B5" s="22"/>
    </row>
    <row r="6" spans="1:4" ht="30" customHeight="1" x14ac:dyDescent="0.35">
      <c r="A6" s="7" t="s">
        <v>74</v>
      </c>
      <c r="B6" s="23"/>
    </row>
    <row r="7" spans="1:4" ht="30" customHeight="1" x14ac:dyDescent="0.35">
      <c r="A7" s="7" t="s">
        <v>75</v>
      </c>
      <c r="B7" s="23"/>
    </row>
    <row r="8" spans="1:4" ht="30" customHeight="1" x14ac:dyDescent="0.35">
      <c r="A8" s="7" t="s">
        <v>28</v>
      </c>
      <c r="B8" s="23"/>
    </row>
    <row r="9" spans="1:4" ht="30" customHeight="1" x14ac:dyDescent="0.35">
      <c r="A9" s="7" t="s">
        <v>29</v>
      </c>
      <c r="B9" s="23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  <col min="3" max="3" width="6.54296875" customWidth="1"/>
    <col min="4" max="4" width="11.542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5"/>
      <c r="D3" s="91"/>
    </row>
    <row r="4" spans="1:4" ht="30" customHeight="1" x14ac:dyDescent="0.35">
      <c r="A4" s="7" t="s">
        <v>79</v>
      </c>
      <c r="B4" s="25"/>
    </row>
    <row r="5" spans="1:4" ht="30" customHeight="1" x14ac:dyDescent="0.35">
      <c r="A5" s="7" t="s">
        <v>80</v>
      </c>
      <c r="B5" s="22"/>
    </row>
    <row r="6" spans="1:4" ht="30" customHeight="1" x14ac:dyDescent="0.35">
      <c r="A6" s="7" t="s">
        <v>74</v>
      </c>
      <c r="B6" s="23" t="s">
        <v>224</v>
      </c>
    </row>
    <row r="7" spans="1:4" ht="30" customHeight="1" x14ac:dyDescent="0.35">
      <c r="A7" s="7" t="s">
        <v>28</v>
      </c>
      <c r="B7" s="23" t="s">
        <v>225</v>
      </c>
    </row>
    <row r="8" spans="1:4" ht="30" customHeight="1" x14ac:dyDescent="0.35">
      <c r="A8" s="7" t="s">
        <v>29</v>
      </c>
      <c r="B8" s="92">
        <v>2017</v>
      </c>
    </row>
    <row r="9" spans="1:4" ht="30" customHeight="1" x14ac:dyDescent="0.35">
      <c r="A9" s="7"/>
      <c r="B9" s="17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3</xdr:row>
                <xdr:rowOff>12700</xdr:rowOff>
              </from>
              <to>
                <xdr:col>1</xdr:col>
                <xdr:colOff>1543050</xdr:colOff>
                <xdr:row>3</xdr:row>
                <xdr:rowOff>374650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2"/>
    </row>
    <row r="4" spans="1:2" ht="30" customHeight="1" x14ac:dyDescent="0.35">
      <c r="A4" s="7" t="s">
        <v>42</v>
      </c>
      <c r="B4" s="23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5">
        <v>28</v>
      </c>
    </row>
    <row r="4" spans="1:2" ht="30" customHeight="1" x14ac:dyDescent="0.35">
      <c r="A4" s="9" t="s">
        <v>82</v>
      </c>
      <c r="B4" s="22"/>
    </row>
    <row r="5" spans="1:2" ht="30" customHeight="1" x14ac:dyDescent="0.35">
      <c r="A5" s="7" t="s">
        <v>83</v>
      </c>
      <c r="B5" s="23"/>
    </row>
    <row r="6" spans="1:2" ht="30" customHeight="1" x14ac:dyDescent="0.35">
      <c r="A6" s="7" t="s">
        <v>42</v>
      </c>
      <c r="B6" s="23"/>
    </row>
    <row r="7" spans="1:2" ht="30" customHeight="1" x14ac:dyDescent="0.35">
      <c r="A7" s="7" t="s">
        <v>84</v>
      </c>
      <c r="B7" s="23"/>
    </row>
    <row r="8" spans="1:2" ht="30" customHeight="1" x14ac:dyDescent="0.35">
      <c r="A8" s="7" t="s">
        <v>85</v>
      </c>
      <c r="B8" s="23"/>
    </row>
    <row r="9" spans="1:2" ht="30" customHeight="1" x14ac:dyDescent="0.35">
      <c r="A9" s="7" t="s">
        <v>40</v>
      </c>
      <c r="B9" s="23"/>
    </row>
    <row r="10" spans="1:2" ht="30" customHeight="1" x14ac:dyDescent="0.35">
      <c r="A10" s="7" t="s">
        <v>86</v>
      </c>
      <c r="B10" s="23"/>
    </row>
    <row r="11" spans="1:2" ht="30" customHeight="1" x14ac:dyDescent="0.35">
      <c r="A11" s="7" t="s">
        <v>44</v>
      </c>
      <c r="B11" s="23"/>
    </row>
    <row r="12" spans="1:2" ht="30" customHeight="1" x14ac:dyDescent="0.35">
      <c r="A12" s="7" t="s">
        <v>45</v>
      </c>
      <c r="B12" s="26"/>
    </row>
    <row r="13" spans="1:2" ht="30" customHeight="1" x14ac:dyDescent="0.35">
      <c r="A13" s="7" t="s">
        <v>46</v>
      </c>
      <c r="B13" s="26"/>
    </row>
    <row r="14" spans="1:2" ht="30" customHeight="1" x14ac:dyDescent="0.3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63500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BW7"/>
  <sheetViews>
    <sheetView workbookViewId="0">
      <selection sqref="A1:XFD1048576"/>
    </sheetView>
  </sheetViews>
  <sheetFormatPr defaultRowHeight="14.5" x14ac:dyDescent="0.35"/>
  <sheetData>
    <row r="1" spans="1:75" x14ac:dyDescent="0.3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187</v>
      </c>
      <c r="V1" t="s">
        <v>188</v>
      </c>
      <c r="W1" t="s">
        <v>8</v>
      </c>
      <c r="X1" t="s">
        <v>168</v>
      </c>
      <c r="Y1" t="s">
        <v>68</v>
      </c>
      <c r="Z1" t="s">
        <v>189</v>
      </c>
      <c r="AA1" t="s">
        <v>70</v>
      </c>
      <c r="AB1" t="s">
        <v>190</v>
      </c>
      <c r="AC1" t="s">
        <v>69</v>
      </c>
      <c r="AD1" t="s">
        <v>7</v>
      </c>
      <c r="AE1" t="s">
        <v>9</v>
      </c>
      <c r="AF1" t="s">
        <v>188</v>
      </c>
      <c r="AG1" t="s">
        <v>8</v>
      </c>
      <c r="AH1" t="s">
        <v>191</v>
      </c>
      <c r="AI1" t="s">
        <v>182</v>
      </c>
      <c r="AJ1" t="s">
        <v>192</v>
      </c>
      <c r="AK1" t="s">
        <v>193</v>
      </c>
      <c r="AL1" t="s">
        <v>194</v>
      </c>
      <c r="AM1" t="s">
        <v>42</v>
      </c>
      <c r="AN1" t="s">
        <v>28</v>
      </c>
      <c r="AO1" t="s">
        <v>29</v>
      </c>
      <c r="AP1" t="s">
        <v>195</v>
      </c>
      <c r="AQ1" t="s">
        <v>182</v>
      </c>
      <c r="AR1" t="s">
        <v>194</v>
      </c>
      <c r="AS1" t="s">
        <v>42</v>
      </c>
      <c r="AT1" t="s">
        <v>192</v>
      </c>
      <c r="AU1" t="s">
        <v>28</v>
      </c>
      <c r="AV1" t="s">
        <v>29</v>
      </c>
      <c r="AW1" t="s">
        <v>196</v>
      </c>
      <c r="AX1" t="s">
        <v>182</v>
      </c>
      <c r="AY1" t="s">
        <v>197</v>
      </c>
      <c r="AZ1" t="s">
        <v>198</v>
      </c>
      <c r="BA1" t="s">
        <v>199</v>
      </c>
      <c r="BB1" t="s">
        <v>42</v>
      </c>
      <c r="BC1" t="s">
        <v>200</v>
      </c>
      <c r="BD1" t="s">
        <v>201</v>
      </c>
      <c r="BE1" t="s">
        <v>202</v>
      </c>
      <c r="BF1" t="s">
        <v>203</v>
      </c>
      <c r="BG1" t="s">
        <v>192</v>
      </c>
      <c r="BH1" t="s">
        <v>204</v>
      </c>
      <c r="BI1" t="s">
        <v>205</v>
      </c>
      <c r="BJ1" t="s">
        <v>206</v>
      </c>
      <c r="BK1" t="s">
        <v>207</v>
      </c>
      <c r="BL1" t="s">
        <v>208</v>
      </c>
      <c r="BM1" t="s">
        <v>226</v>
      </c>
      <c r="BN1" t="s">
        <v>227</v>
      </c>
      <c r="BO1" t="s">
        <v>228</v>
      </c>
      <c r="BP1" t="s">
        <v>229</v>
      </c>
      <c r="BQ1" t="s">
        <v>230</v>
      </c>
      <c r="BR1" t="s">
        <v>231</v>
      </c>
      <c r="BS1" t="s">
        <v>232</v>
      </c>
      <c r="BT1" t="s">
        <v>233</v>
      </c>
      <c r="BU1" t="s">
        <v>234</v>
      </c>
      <c r="BV1" t="s">
        <v>235</v>
      </c>
      <c r="BW1" t="s">
        <v>236</v>
      </c>
    </row>
    <row r="2" spans="1:75" x14ac:dyDescent="0.35">
      <c r="A2">
        <v>2</v>
      </c>
      <c r="B2">
        <v>79</v>
      </c>
      <c r="C2">
        <v>1</v>
      </c>
      <c r="D2" t="b">
        <v>1</v>
      </c>
      <c r="E2" t="b">
        <v>1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>
        <v>43433.019609722222</v>
      </c>
      <c r="P2">
        <v>8</v>
      </c>
      <c r="Q2" t="s">
        <v>214</v>
      </c>
      <c r="R2" t="s">
        <v>215</v>
      </c>
      <c r="T2" t="s">
        <v>216</v>
      </c>
      <c r="U2" t="s">
        <v>217</v>
      </c>
      <c r="V2">
        <v>2</v>
      </c>
      <c r="W2" t="s">
        <v>209</v>
      </c>
      <c r="X2">
        <v>67</v>
      </c>
      <c r="Y2" t="b">
        <v>1</v>
      </c>
      <c r="Z2">
        <v>1</v>
      </c>
      <c r="AA2" t="s">
        <v>215</v>
      </c>
      <c r="AB2" t="s">
        <v>215</v>
      </c>
      <c r="AD2" t="s">
        <v>216</v>
      </c>
      <c r="AE2" t="s">
        <v>217</v>
      </c>
      <c r="AF2">
        <v>2</v>
      </c>
      <c r="AG2" t="s">
        <v>209</v>
      </c>
      <c r="AH2">
        <v>2</v>
      </c>
      <c r="AI2">
        <v>8</v>
      </c>
      <c r="AJ2" t="s">
        <v>218</v>
      </c>
      <c r="AK2" t="s">
        <v>210</v>
      </c>
      <c r="AL2">
        <v>4</v>
      </c>
      <c r="AM2" t="s">
        <v>219</v>
      </c>
      <c r="AN2" t="s">
        <v>220</v>
      </c>
      <c r="AO2">
        <v>2018</v>
      </c>
      <c r="AW2">
        <v>4</v>
      </c>
      <c r="AX2">
        <v>8</v>
      </c>
      <c r="AY2">
        <v>1</v>
      </c>
      <c r="AZ2" t="s">
        <v>211</v>
      </c>
      <c r="BA2">
        <v>1</v>
      </c>
      <c r="BB2" t="s">
        <v>212</v>
      </c>
      <c r="BC2">
        <v>1</v>
      </c>
      <c r="BD2" t="s">
        <v>213</v>
      </c>
      <c r="BE2">
        <v>0</v>
      </c>
      <c r="BF2" t="s">
        <v>221</v>
      </c>
      <c r="BG2" t="s">
        <v>222</v>
      </c>
      <c r="BH2" t="s">
        <v>223</v>
      </c>
      <c r="BI2">
        <v>12</v>
      </c>
      <c r="BJ2">
        <v>11</v>
      </c>
      <c r="BK2">
        <v>14</v>
      </c>
      <c r="BL2">
        <v>15</v>
      </c>
    </row>
    <row r="3" spans="1:75" x14ac:dyDescent="0.35">
      <c r="A3" t="s">
        <v>167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253</v>
      </c>
      <c r="S3" t="s">
        <v>254</v>
      </c>
      <c r="T3" t="s">
        <v>255</v>
      </c>
      <c r="U3" t="s">
        <v>256</v>
      </c>
      <c r="V3" t="s">
        <v>257</v>
      </c>
      <c r="W3" t="s">
        <v>258</v>
      </c>
      <c r="X3" t="s">
        <v>259</v>
      </c>
      <c r="Y3" t="s">
        <v>260</v>
      </c>
      <c r="Z3" t="s">
        <v>261</v>
      </c>
      <c r="AA3" t="s">
        <v>262</v>
      </c>
      <c r="AB3" t="s">
        <v>263</v>
      </c>
      <c r="AC3" t="s">
        <v>264</v>
      </c>
      <c r="AD3" t="s">
        <v>265</v>
      </c>
      <c r="AE3" t="s">
        <v>266</v>
      </c>
      <c r="AF3" t="s">
        <v>267</v>
      </c>
      <c r="AG3" t="s">
        <v>268</v>
      </c>
      <c r="AH3" t="s">
        <v>269</v>
      </c>
      <c r="AI3" t="s">
        <v>270</v>
      </c>
      <c r="AJ3" t="s">
        <v>271</v>
      </c>
    </row>
    <row r="5" spans="1:75" x14ac:dyDescent="0.35">
      <c r="A5" t="s">
        <v>167</v>
      </c>
      <c r="B5" t="s">
        <v>237</v>
      </c>
      <c r="C5" t="s">
        <v>238</v>
      </c>
      <c r="D5" t="s">
        <v>239</v>
      </c>
      <c r="E5" t="s">
        <v>240</v>
      </c>
      <c r="F5" t="s">
        <v>241</v>
      </c>
      <c r="G5" t="s">
        <v>242</v>
      </c>
      <c r="H5" t="s">
        <v>243</v>
      </c>
      <c r="I5" t="s">
        <v>244</v>
      </c>
      <c r="J5" t="s">
        <v>245</v>
      </c>
      <c r="K5" t="s">
        <v>246</v>
      </c>
      <c r="L5" t="s">
        <v>247</v>
      </c>
      <c r="M5" t="s">
        <v>248</v>
      </c>
      <c r="N5" t="s">
        <v>249</v>
      </c>
      <c r="O5" t="s">
        <v>250</v>
      </c>
      <c r="P5" t="s">
        <v>251</v>
      </c>
      <c r="Q5" t="s">
        <v>252</v>
      </c>
      <c r="R5" t="s">
        <v>253</v>
      </c>
      <c r="S5" t="s">
        <v>254</v>
      </c>
      <c r="T5" t="s">
        <v>255</v>
      </c>
      <c r="U5" t="s">
        <v>256</v>
      </c>
      <c r="V5" t="s">
        <v>257</v>
      </c>
      <c r="W5" t="s">
        <v>258</v>
      </c>
      <c r="X5" t="s">
        <v>259</v>
      </c>
      <c r="Y5" t="s">
        <v>260</v>
      </c>
      <c r="Z5" t="s">
        <v>261</v>
      </c>
      <c r="AA5" t="s">
        <v>262</v>
      </c>
      <c r="AB5" t="s">
        <v>263</v>
      </c>
      <c r="AC5" t="s">
        <v>264</v>
      </c>
      <c r="AD5" t="s">
        <v>265</v>
      </c>
      <c r="AE5" t="s">
        <v>266</v>
      </c>
      <c r="AF5" t="s">
        <v>267</v>
      </c>
      <c r="AG5" t="s">
        <v>268</v>
      </c>
      <c r="AH5" t="s">
        <v>269</v>
      </c>
      <c r="AI5" t="s">
        <v>270</v>
      </c>
      <c r="AJ5" t="s">
        <v>271</v>
      </c>
    </row>
    <row r="7" spans="1:75" x14ac:dyDescent="0.35">
      <c r="A7" t="s">
        <v>167</v>
      </c>
      <c r="B7" t="s">
        <v>237</v>
      </c>
      <c r="C7" t="s">
        <v>238</v>
      </c>
      <c r="D7" t="s">
        <v>239</v>
      </c>
      <c r="E7" t="s">
        <v>240</v>
      </c>
      <c r="F7" t="s">
        <v>241</v>
      </c>
      <c r="G7" t="s">
        <v>242</v>
      </c>
      <c r="H7" t="s">
        <v>243</v>
      </c>
      <c r="I7" t="s">
        <v>244</v>
      </c>
      <c r="J7" t="s">
        <v>245</v>
      </c>
      <c r="K7" t="s">
        <v>246</v>
      </c>
      <c r="L7" t="s">
        <v>247</v>
      </c>
      <c r="M7" t="s">
        <v>248</v>
      </c>
      <c r="N7" t="s">
        <v>249</v>
      </c>
      <c r="O7" t="s">
        <v>250</v>
      </c>
      <c r="P7" t="s">
        <v>251</v>
      </c>
      <c r="Q7" t="s">
        <v>252</v>
      </c>
      <c r="R7" t="s">
        <v>253</v>
      </c>
      <c r="S7" t="s">
        <v>254</v>
      </c>
      <c r="T7" t="s">
        <v>255</v>
      </c>
      <c r="U7" t="s">
        <v>256</v>
      </c>
      <c r="V7" t="s">
        <v>257</v>
      </c>
      <c r="W7" t="s">
        <v>258</v>
      </c>
      <c r="X7" t="s">
        <v>259</v>
      </c>
      <c r="Y7" t="s">
        <v>260</v>
      </c>
      <c r="Z7" t="s">
        <v>261</v>
      </c>
      <c r="AA7" t="s">
        <v>262</v>
      </c>
      <c r="AB7" t="s">
        <v>263</v>
      </c>
      <c r="AC7" t="s">
        <v>264</v>
      </c>
      <c r="AD7" t="s">
        <v>265</v>
      </c>
      <c r="AE7" t="s">
        <v>266</v>
      </c>
      <c r="AF7" t="s">
        <v>267</v>
      </c>
      <c r="AG7" t="s">
        <v>268</v>
      </c>
      <c r="AH7" t="s">
        <v>269</v>
      </c>
      <c r="AI7" t="s">
        <v>270</v>
      </c>
      <c r="AJ7" t="s">
        <v>271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workbookViewId="0">
      <selection activeCell="D8" sqref="D8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272</v>
      </c>
    </row>
    <row r="2" spans="1:3" x14ac:dyDescent="0.35">
      <c r="B2" t="s">
        <v>165</v>
      </c>
    </row>
    <row r="3" spans="1:3" ht="18" x14ac:dyDescent="0.4">
      <c r="B3" s="1" t="s">
        <v>101</v>
      </c>
      <c r="C3" s="2"/>
    </row>
    <row r="4" spans="1:3" x14ac:dyDescent="0.35">
      <c r="B4" s="2"/>
      <c r="C4" s="2"/>
    </row>
    <row r="5" spans="1:3" x14ac:dyDescent="0.35">
      <c r="B5" s="3"/>
      <c r="C5" s="3"/>
    </row>
    <row r="6" spans="1:3" x14ac:dyDescent="0.35">
      <c r="B6" s="3"/>
      <c r="C6" s="4"/>
    </row>
    <row r="7" spans="1:3" x14ac:dyDescent="0.35">
      <c r="B7" s="2"/>
      <c r="C7" s="2"/>
    </row>
    <row r="8" spans="1:3" x14ac:dyDescent="0.35">
      <c r="B8" s="7"/>
      <c r="C8" s="8"/>
    </row>
    <row r="9" spans="1:3" x14ac:dyDescent="0.35">
      <c r="B9" s="5"/>
      <c r="C9" s="8"/>
    </row>
    <row r="10" spans="1:3" x14ac:dyDescent="0.35">
      <c r="B10" s="7"/>
      <c r="C10" s="10"/>
    </row>
    <row r="11" spans="1:3" x14ac:dyDescent="0.35">
      <c r="B11" s="7"/>
      <c r="C11" s="8"/>
    </row>
    <row r="12" spans="1:3" x14ac:dyDescent="0.35">
      <c r="B12" s="7"/>
      <c r="C12" s="8"/>
    </row>
    <row r="13" spans="1:3" x14ac:dyDescent="0.35">
      <c r="B13" s="7"/>
      <c r="C13" s="8"/>
    </row>
    <row r="14" spans="1:3" x14ac:dyDescent="0.35">
      <c r="B14" s="7"/>
      <c r="C14" s="8"/>
    </row>
    <row r="15" spans="1:3" x14ac:dyDescent="0.35">
      <c r="B15" s="7"/>
      <c r="C15" s="8"/>
    </row>
    <row r="16" spans="1:3" x14ac:dyDescent="0.35">
      <c r="B16" s="7"/>
      <c r="C16" s="8"/>
    </row>
    <row r="17" spans="2:8" x14ac:dyDescent="0.35">
      <c r="B17" s="7"/>
      <c r="C17" s="8"/>
    </row>
    <row r="18" spans="2:8" ht="16" customHeight="1" x14ac:dyDescent="0.35">
      <c r="B18" s="7"/>
      <c r="C18" s="8"/>
    </row>
    <row r="19" spans="2:8" x14ac:dyDescent="0.35">
      <c r="B19" s="2"/>
      <c r="C19" s="2"/>
      <c r="D19" s="2"/>
      <c r="E19" s="2"/>
      <c r="F19" s="2"/>
    </row>
    <row r="20" spans="2:8" x14ac:dyDescent="0.35">
      <c r="B20" s="2"/>
      <c r="C20" s="2"/>
      <c r="D20" s="44"/>
      <c r="E20" s="44"/>
      <c r="F20" s="2"/>
    </row>
    <row r="21" spans="2:8" x14ac:dyDescent="0.35">
      <c r="B21" s="2"/>
      <c r="C21" s="2"/>
      <c r="D21" s="44"/>
      <c r="E21" s="44"/>
      <c r="F21" s="2"/>
    </row>
    <row r="22" spans="2:8" x14ac:dyDescent="0.35">
      <c r="B22" s="47"/>
      <c r="C22" s="2"/>
      <c r="D22" s="44"/>
      <c r="E22" s="44"/>
      <c r="F22" s="2"/>
    </row>
    <row r="23" spans="2:8" x14ac:dyDescent="0.35">
      <c r="B23" s="2"/>
      <c r="C23" s="2"/>
      <c r="D23" s="44"/>
      <c r="E23" s="44"/>
      <c r="F23" s="2"/>
    </row>
    <row r="24" spans="2:8" x14ac:dyDescent="0.35">
      <c r="B24" s="2"/>
      <c r="C24" s="2"/>
      <c r="D24" s="44"/>
      <c r="E24" s="44"/>
      <c r="F24" s="2"/>
    </row>
    <row r="25" spans="2:8" x14ac:dyDescent="0.35">
      <c r="B25" s="2"/>
      <c r="C25" s="48"/>
      <c r="D25" s="44"/>
      <c r="E25" s="44"/>
      <c r="F25" s="2"/>
    </row>
    <row r="26" spans="2:8" x14ac:dyDescent="0.35">
      <c r="B26" s="2"/>
      <c r="C26" s="2"/>
      <c r="D26" s="44"/>
      <c r="E26" s="44"/>
      <c r="F26" s="2"/>
    </row>
    <row r="27" spans="2:8" x14ac:dyDescent="0.35">
      <c r="B27" s="2"/>
      <c r="C27" s="2"/>
      <c r="D27" s="2"/>
      <c r="E27" s="2"/>
      <c r="F27" s="2"/>
    </row>
    <row r="28" spans="2:8" x14ac:dyDescent="0.35">
      <c r="B28" s="2"/>
      <c r="C28" s="49"/>
      <c r="D28" s="2"/>
      <c r="E28" s="2"/>
      <c r="F28" s="2"/>
      <c r="G28" s="44"/>
    </row>
    <row r="29" spans="2:8" x14ac:dyDescent="0.35">
      <c r="B29" s="2"/>
      <c r="C29" s="49"/>
      <c r="D29" s="2"/>
      <c r="E29" s="2"/>
      <c r="F29" s="2"/>
      <c r="G29" s="44"/>
    </row>
    <row r="30" spans="2:8" x14ac:dyDescent="0.35">
      <c r="B30" s="2"/>
      <c r="C30" s="49"/>
      <c r="D30" s="8"/>
      <c r="E30" s="2"/>
      <c r="F30" s="2"/>
      <c r="G30" s="2"/>
      <c r="H30" s="44"/>
    </row>
    <row r="31" spans="2:8" x14ac:dyDescent="0.35">
      <c r="B31" s="2"/>
      <c r="C31" s="49"/>
      <c r="D31" s="8"/>
      <c r="E31" s="2"/>
      <c r="F31" s="2"/>
      <c r="G31" s="2"/>
      <c r="H31" s="44"/>
    </row>
    <row r="32" spans="2:8" x14ac:dyDescent="0.35">
      <c r="B32" s="2"/>
      <c r="C32" s="49"/>
      <c r="D32" s="2"/>
      <c r="E32" s="2"/>
      <c r="F32" s="2"/>
      <c r="G32" s="44"/>
    </row>
    <row r="33" spans="2:9" x14ac:dyDescent="0.35">
      <c r="B33" s="2"/>
      <c r="C33" s="49"/>
      <c r="D33" s="2"/>
      <c r="E33" s="2"/>
      <c r="F33" s="2"/>
      <c r="G33" s="44"/>
    </row>
    <row r="34" spans="2:9" x14ac:dyDescent="0.35">
      <c r="B34" s="2"/>
      <c r="C34" s="49"/>
      <c r="D34" s="2"/>
      <c r="E34" s="2"/>
      <c r="F34" s="2"/>
      <c r="G34" s="44"/>
    </row>
    <row r="35" spans="2:9" x14ac:dyDescent="0.3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51"/>
  <sheetViews>
    <sheetView workbookViewId="0">
      <selection activeCell="C12" sqref="C12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5" t="s">
        <v>81</v>
      </c>
      <c r="C5" s="8" t="s">
        <v>273</v>
      </c>
    </row>
    <row r="6" spans="2:9" x14ac:dyDescent="0.35">
      <c r="B6" s="7" t="s">
        <v>45</v>
      </c>
      <c r="C6" s="8">
        <v>11</v>
      </c>
    </row>
    <row r="7" spans="2:9" x14ac:dyDescent="0.35">
      <c r="B7" s="7" t="s">
        <v>47</v>
      </c>
      <c r="C7" s="8">
        <v>15</v>
      </c>
    </row>
    <row r="8" spans="2:9" x14ac:dyDescent="0.35">
      <c r="B8" s="7"/>
      <c r="C8" s="8"/>
    </row>
    <row r="9" spans="2:9" x14ac:dyDescent="0.35">
      <c r="B9" s="2"/>
      <c r="C9" s="2"/>
    </row>
    <row r="10" spans="2:9" x14ac:dyDescent="0.35">
      <c r="B10" s="30"/>
      <c r="C10" s="30"/>
      <c r="D10" s="30"/>
      <c r="E10" s="31" t="s">
        <v>102</v>
      </c>
      <c r="F10" s="31" t="s">
        <v>103</v>
      </c>
      <c r="G10" s="8" t="s">
        <v>103</v>
      </c>
    </row>
    <row r="11" spans="2:9" x14ac:dyDescent="0.35">
      <c r="B11" s="33"/>
      <c r="C11" s="33"/>
      <c r="D11" s="33"/>
      <c r="E11" s="34" t="s">
        <v>104</v>
      </c>
      <c r="F11" s="34" t="s">
        <v>105</v>
      </c>
      <c r="G11" s="8" t="s">
        <v>106</v>
      </c>
    </row>
    <row r="12" spans="2:9" x14ac:dyDescent="0.35">
      <c r="B12" s="33" t="s">
        <v>107</v>
      </c>
      <c r="C12" s="2"/>
      <c r="D12" s="31" t="s">
        <v>108</v>
      </c>
      <c r="E12" s="36">
        <v>45.9</v>
      </c>
      <c r="F12" s="37">
        <v>45.24</v>
      </c>
      <c r="G12" s="38"/>
    </row>
    <row r="13" spans="2:9" x14ac:dyDescent="0.35">
      <c r="B13" s="6"/>
      <c r="C13" s="2"/>
      <c r="D13" s="41"/>
      <c r="E13" s="42"/>
      <c r="F13" s="42"/>
      <c r="G13" s="42"/>
    </row>
    <row r="14" spans="2:9" x14ac:dyDescent="0.35">
      <c r="B14" s="6" t="s">
        <v>109</v>
      </c>
      <c r="C14" s="2"/>
      <c r="D14" s="42"/>
      <c r="E14" s="42"/>
      <c r="F14" s="42"/>
      <c r="G14" s="42"/>
      <c r="H14" s="32"/>
      <c r="I14" s="32"/>
    </row>
    <row r="15" spans="2:9" x14ac:dyDescent="0.35">
      <c r="B15" s="6"/>
      <c r="C15" s="2"/>
      <c r="D15" s="42"/>
      <c r="E15" s="42"/>
      <c r="F15" s="42"/>
      <c r="G15" s="42"/>
      <c r="H15" s="35"/>
      <c r="I15" s="35"/>
    </row>
    <row r="16" spans="2:9" x14ac:dyDescent="0.35">
      <c r="B16" s="6" t="s">
        <v>110</v>
      </c>
      <c r="C16" s="2"/>
      <c r="D16" s="43"/>
      <c r="E16" s="42"/>
      <c r="F16" s="42"/>
      <c r="G16" s="42"/>
      <c r="H16" s="39"/>
      <c r="I16" s="40"/>
    </row>
    <row r="17" spans="2:9" x14ac:dyDescent="0.35">
      <c r="B17" s="6" t="s">
        <v>111</v>
      </c>
      <c r="C17" s="2"/>
      <c r="D17" s="41"/>
      <c r="E17" s="43"/>
      <c r="F17" s="43"/>
      <c r="G17" s="43"/>
      <c r="H17" s="42"/>
      <c r="I17" s="42"/>
    </row>
    <row r="18" spans="2:9" x14ac:dyDescent="0.35">
      <c r="B18" s="6"/>
      <c r="C18" s="2"/>
      <c r="D18" s="41"/>
      <c r="E18" s="43"/>
      <c r="F18" s="43"/>
      <c r="G18" s="43"/>
    </row>
    <row r="19" spans="2:9" x14ac:dyDescent="0.35">
      <c r="B19" s="44" t="s">
        <v>112</v>
      </c>
      <c r="C19" s="2"/>
      <c r="D19" s="41" t="s">
        <v>113</v>
      </c>
      <c r="E19" s="41" t="s">
        <v>114</v>
      </c>
      <c r="F19" s="43"/>
      <c r="G19" s="43"/>
    </row>
    <row r="20" spans="2:9" x14ac:dyDescent="0.35">
      <c r="B20" s="44"/>
      <c r="C20" s="2" t="s">
        <v>115</v>
      </c>
      <c r="D20" s="45">
        <v>10.125</v>
      </c>
      <c r="E20" s="45">
        <v>10.5</v>
      </c>
      <c r="F20" s="41"/>
      <c r="G20" s="43"/>
    </row>
    <row r="21" spans="2:9" x14ac:dyDescent="0.35">
      <c r="B21" s="2"/>
      <c r="C21" s="2" t="s">
        <v>116</v>
      </c>
      <c r="D21" s="45">
        <v>10.25</v>
      </c>
      <c r="E21" s="45">
        <v>10.5</v>
      </c>
      <c r="F21" s="41"/>
      <c r="G21" s="43"/>
    </row>
    <row r="22" spans="2:9" x14ac:dyDescent="0.35">
      <c r="B22" s="2"/>
      <c r="C22" s="2" t="s">
        <v>117</v>
      </c>
      <c r="D22" s="45">
        <v>10.125</v>
      </c>
      <c r="E22" s="45">
        <v>10.5</v>
      </c>
      <c r="F22" s="41"/>
      <c r="G22" s="43"/>
    </row>
    <row r="23" spans="2:9" x14ac:dyDescent="0.35">
      <c r="B23" s="2"/>
      <c r="C23" s="2" t="s">
        <v>118</v>
      </c>
      <c r="D23" s="45">
        <v>10.125</v>
      </c>
      <c r="E23" s="45">
        <v>10.5</v>
      </c>
      <c r="F23" s="41"/>
      <c r="G23" s="43"/>
    </row>
    <row r="24" spans="2:9" x14ac:dyDescent="0.35">
      <c r="B24" s="2"/>
      <c r="C24" s="2" t="s">
        <v>119</v>
      </c>
      <c r="D24" s="45">
        <v>10.125</v>
      </c>
      <c r="E24" s="45">
        <v>10.5</v>
      </c>
      <c r="F24" s="2"/>
      <c r="G24" s="43"/>
    </row>
    <row r="25" spans="2:9" x14ac:dyDescent="0.35">
      <c r="B25" s="2"/>
      <c r="C25" s="2"/>
      <c r="D25" s="46"/>
      <c r="E25" s="2"/>
      <c r="F25" s="2"/>
      <c r="G25" s="2"/>
    </row>
    <row r="26" spans="2:9" x14ac:dyDescent="0.35">
      <c r="B26" s="2" t="s">
        <v>120</v>
      </c>
      <c r="C26" s="2"/>
      <c r="D26" s="8"/>
      <c r="E26" s="2"/>
      <c r="F26" s="2"/>
      <c r="G26" s="2"/>
    </row>
    <row r="27" spans="2:9" x14ac:dyDescent="0.35">
      <c r="B27" s="8" t="s">
        <v>121</v>
      </c>
      <c r="C27" s="2"/>
      <c r="D27" s="8"/>
      <c r="E27" s="2"/>
      <c r="F27" s="2"/>
      <c r="G27" s="2"/>
    </row>
    <row r="28" spans="2:9" x14ac:dyDescent="0.35">
      <c r="B28" s="47" t="s">
        <v>122</v>
      </c>
      <c r="C28" s="2" t="s">
        <v>18</v>
      </c>
      <c r="D28" s="8" t="s">
        <v>18</v>
      </c>
      <c r="E28" s="44"/>
      <c r="F28" s="44"/>
      <c r="G28" s="2"/>
    </row>
    <row r="29" spans="2:9" x14ac:dyDescent="0.35">
      <c r="B29" s="2"/>
      <c r="C29" s="2" t="s">
        <v>123</v>
      </c>
      <c r="D29" s="44"/>
      <c r="E29" s="44"/>
      <c r="F29" s="2"/>
      <c r="G29" s="2"/>
      <c r="H29" s="2"/>
    </row>
    <row r="30" spans="2:9" x14ac:dyDescent="0.35">
      <c r="B30" s="2"/>
      <c r="C30" s="2"/>
      <c r="D30" s="44"/>
      <c r="E30" s="44"/>
      <c r="F30" s="2"/>
      <c r="H30" s="2"/>
    </row>
    <row r="31" spans="2:9" x14ac:dyDescent="0.35">
      <c r="B31" s="2"/>
      <c r="C31" s="2" t="s">
        <v>124</v>
      </c>
      <c r="D31" s="2"/>
      <c r="E31" s="2"/>
      <c r="F31" s="2"/>
      <c r="H31" s="8"/>
    </row>
    <row r="32" spans="2:9" x14ac:dyDescent="0.35">
      <c r="B32" s="2"/>
      <c r="C32" s="2" t="s">
        <v>125</v>
      </c>
      <c r="D32" s="44"/>
      <c r="E32" s="44"/>
      <c r="F32" s="2"/>
    </row>
    <row r="33" spans="2:8" x14ac:dyDescent="0.35">
      <c r="B33" s="2"/>
      <c r="C33" s="2"/>
      <c r="D33" s="44"/>
      <c r="E33" s="44"/>
      <c r="F33" s="2"/>
    </row>
    <row r="34" spans="2:8" x14ac:dyDescent="0.35">
      <c r="B34" s="47" t="s">
        <v>126</v>
      </c>
      <c r="C34" s="2"/>
      <c r="D34" s="44"/>
      <c r="E34" s="44"/>
      <c r="F34" s="2"/>
    </row>
    <row r="35" spans="2:8" x14ac:dyDescent="0.35">
      <c r="B35" s="2"/>
      <c r="C35" s="2" t="s">
        <v>134</v>
      </c>
      <c r="D35" s="44"/>
      <c r="E35" s="44"/>
      <c r="F35" s="2"/>
    </row>
    <row r="36" spans="2:8" x14ac:dyDescent="0.35">
      <c r="B36" s="2"/>
      <c r="C36" s="2" t="s">
        <v>125</v>
      </c>
      <c r="D36" s="44"/>
      <c r="E36" s="44"/>
      <c r="F36" s="2"/>
    </row>
    <row r="37" spans="2:8" x14ac:dyDescent="0.35">
      <c r="B37" s="2"/>
      <c r="C37" s="48" t="s">
        <v>18</v>
      </c>
      <c r="D37" s="44"/>
      <c r="E37" s="44"/>
      <c r="F37" s="2"/>
    </row>
    <row r="38" spans="2:8" x14ac:dyDescent="0.35">
      <c r="B38" s="2" t="s">
        <v>127</v>
      </c>
      <c r="C38" s="2" t="s">
        <v>18</v>
      </c>
      <c r="D38" s="44"/>
      <c r="E38" s="44"/>
      <c r="F38" s="2"/>
    </row>
    <row r="39" spans="2:8" x14ac:dyDescent="0.35">
      <c r="B39" s="2"/>
      <c r="C39" s="2" t="s">
        <v>128</v>
      </c>
      <c r="D39" s="2"/>
      <c r="E39" s="2"/>
      <c r="F39" s="2"/>
    </row>
    <row r="40" spans="2:8" x14ac:dyDescent="0.35">
      <c r="B40" s="2"/>
      <c r="C40" s="49"/>
      <c r="D40" s="2"/>
      <c r="E40" s="2"/>
      <c r="F40" s="2"/>
    </row>
    <row r="41" spans="2:8" x14ac:dyDescent="0.35">
      <c r="B41" s="2"/>
      <c r="C41" s="49" t="s">
        <v>129</v>
      </c>
      <c r="D41" s="2"/>
      <c r="E41" s="2"/>
      <c r="F41" s="2"/>
      <c r="G41" s="44"/>
    </row>
    <row r="42" spans="2:8" x14ac:dyDescent="0.35">
      <c r="B42" s="2"/>
      <c r="C42" s="49"/>
      <c r="D42" s="8"/>
      <c r="E42" s="2"/>
      <c r="F42" s="2"/>
      <c r="G42" s="44"/>
    </row>
    <row r="43" spans="2:8" x14ac:dyDescent="0.35">
      <c r="B43" s="2" t="s">
        <v>130</v>
      </c>
      <c r="C43" s="49"/>
      <c r="D43" s="8"/>
      <c r="E43" s="2"/>
      <c r="F43" s="2"/>
      <c r="G43" s="2"/>
    </row>
    <row r="44" spans="2:8" x14ac:dyDescent="0.35">
      <c r="B44" s="2"/>
      <c r="C44" s="49" t="s">
        <v>133</v>
      </c>
      <c r="D44" s="2"/>
      <c r="E44" s="2"/>
      <c r="F44" s="2"/>
      <c r="G44" s="2"/>
    </row>
    <row r="45" spans="2:8" x14ac:dyDescent="0.35">
      <c r="B45" s="2"/>
      <c r="C45" s="49"/>
      <c r="D45" s="2"/>
      <c r="E45" s="2"/>
      <c r="F45" s="2"/>
      <c r="G45" s="44"/>
    </row>
    <row r="46" spans="2:8" x14ac:dyDescent="0.35">
      <c r="B46" s="2"/>
      <c r="C46" s="49" t="s">
        <v>131</v>
      </c>
      <c r="D46" s="2"/>
      <c r="E46" s="2"/>
      <c r="F46" s="2"/>
      <c r="G46" s="44"/>
      <c r="H46" s="44"/>
    </row>
    <row r="47" spans="2:8" x14ac:dyDescent="0.35">
      <c r="B47" s="11"/>
      <c r="C47" s="2"/>
      <c r="D47" s="2"/>
      <c r="E47" s="2"/>
      <c r="F47" s="2"/>
      <c r="G47" s="44"/>
      <c r="H47" s="44"/>
    </row>
    <row r="48" spans="2:8" x14ac:dyDescent="0.35">
      <c r="G48" s="2"/>
    </row>
    <row r="51" spans="8:9" x14ac:dyDescent="0.35">
      <c r="H51" s="44"/>
      <c r="I5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43</xdr:row>
                <xdr:rowOff>12700</xdr:rowOff>
              </from>
              <to>
                <xdr:col>3</xdr:col>
                <xdr:colOff>361950</xdr:colOff>
                <xdr:row>43</xdr:row>
                <xdr:rowOff>177800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165100</xdr:colOff>
                <xdr:row>13</xdr:row>
                <xdr:rowOff>57150</xdr:rowOff>
              </from>
              <to>
                <xdr:col>3</xdr:col>
                <xdr:colOff>336550</xdr:colOff>
                <xdr:row>14</xdr:row>
                <xdr:rowOff>38100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165100</xdr:colOff>
                <xdr:row>14</xdr:row>
                <xdr:rowOff>165100</xdr:rowOff>
              </from>
              <to>
                <xdr:col>3</xdr:col>
                <xdr:colOff>336550</xdr:colOff>
                <xdr:row>15</xdr:row>
                <xdr:rowOff>146050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184150</xdr:colOff>
                <xdr:row>45</xdr:row>
                <xdr:rowOff>38100</xdr:rowOff>
              </from>
              <to>
                <xdr:col>3</xdr:col>
                <xdr:colOff>355600</xdr:colOff>
                <xdr:row>46</xdr:row>
                <xdr:rowOff>19050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3</xdr:col>
                <xdr:colOff>31750</xdr:colOff>
                <xdr:row>27</xdr:row>
                <xdr:rowOff>165100</xdr:rowOff>
              </from>
              <to>
                <xdr:col>6</xdr:col>
                <xdr:colOff>565150</xdr:colOff>
                <xdr:row>29</xdr:row>
                <xdr:rowOff>19050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3</xdr:col>
                <xdr:colOff>31750</xdr:colOff>
                <xdr:row>29</xdr:row>
                <xdr:rowOff>165100</xdr:rowOff>
              </from>
              <to>
                <xdr:col>6</xdr:col>
                <xdr:colOff>565150</xdr:colOff>
                <xdr:row>31</xdr:row>
                <xdr:rowOff>19050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3</xdr:col>
                <xdr:colOff>12700</xdr:colOff>
                <xdr:row>31</xdr:row>
                <xdr:rowOff>12700</xdr:rowOff>
              </from>
              <to>
                <xdr:col>6</xdr:col>
                <xdr:colOff>546100</xdr:colOff>
                <xdr:row>32</xdr:row>
                <xdr:rowOff>44450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3</xdr:col>
                <xdr:colOff>12700</xdr:colOff>
                <xdr:row>34</xdr:row>
                <xdr:rowOff>12700</xdr:rowOff>
              </from>
              <to>
                <xdr:col>6</xdr:col>
                <xdr:colOff>546100</xdr:colOff>
                <xdr:row>35</xdr:row>
                <xdr:rowOff>50800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3</xdr:col>
                <xdr:colOff>50800</xdr:colOff>
                <xdr:row>38</xdr:row>
                <xdr:rowOff>0</xdr:rowOff>
              </from>
              <to>
                <xdr:col>6</xdr:col>
                <xdr:colOff>584200</xdr:colOff>
                <xdr:row>39</xdr:row>
                <xdr:rowOff>38100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3</xdr:col>
                <xdr:colOff>50800</xdr:colOff>
                <xdr:row>40</xdr:row>
                <xdr:rowOff>0</xdr:rowOff>
              </from>
              <to>
                <xdr:col>6</xdr:col>
                <xdr:colOff>584200</xdr:colOff>
                <xdr:row>41</xdr:row>
                <xdr:rowOff>31750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autoPict="0" r:id="rId26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3"/>
  <sheetViews>
    <sheetView workbookViewId="0">
      <selection activeCell="D36" sqref="D3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5" t="s">
        <v>213</v>
      </c>
      <c r="C5" s="78" t="s">
        <v>273</v>
      </c>
    </row>
    <row r="6" spans="2:9" x14ac:dyDescent="0.35">
      <c r="B6" s="7" t="s">
        <v>45</v>
      </c>
      <c r="C6" s="78">
        <v>11</v>
      </c>
    </row>
    <row r="7" spans="2:9" x14ac:dyDescent="0.35">
      <c r="B7" s="7" t="s">
        <v>47</v>
      </c>
      <c r="C7" s="78">
        <v>15</v>
      </c>
    </row>
    <row r="8" spans="2:9" x14ac:dyDescent="0.35">
      <c r="B8" t="s">
        <v>158</v>
      </c>
      <c r="C8" s="45"/>
      <c r="D8" s="72" t="s">
        <v>159</v>
      </c>
      <c r="G8" s="72" t="s">
        <v>157</v>
      </c>
      <c r="H8" s="78">
        <f>(3.14*(SubDiameter/2)^2)*(SubLength)*(1/12)^3</f>
        <v>0.82452256944444446</v>
      </c>
      <c r="I8" s="80" t="s">
        <v>152</v>
      </c>
    </row>
    <row r="9" spans="2:9" x14ac:dyDescent="0.35">
      <c r="B9" t="s">
        <v>162</v>
      </c>
      <c r="C9" s="45"/>
      <c r="D9" t="s">
        <v>161</v>
      </c>
      <c r="G9" s="72"/>
      <c r="H9" s="78">
        <f>Volume*28.317</f>
        <v>23.348005598958334</v>
      </c>
      <c r="I9" s="80" t="s">
        <v>164</v>
      </c>
    </row>
    <row r="10" spans="2:9" x14ac:dyDescent="0.35">
      <c r="B10" s="7"/>
      <c r="C10" s="8"/>
      <c r="G10" t="s">
        <v>160</v>
      </c>
      <c r="H10" s="78">
        <f>(Volume*MaxSpaceVelocity)*(1/60)*(61.7)/(2350*0.395)</f>
        <v>0</v>
      </c>
      <c r="I10" t="s">
        <v>161</v>
      </c>
    </row>
    <row r="11" spans="2:9" x14ac:dyDescent="0.35">
      <c r="G11" t="s">
        <v>163</v>
      </c>
      <c r="H11" s="79">
        <f>IF(H10&gt;MaxHertz,"60",H10)</f>
        <v>0</v>
      </c>
      <c r="I11" t="s">
        <v>161</v>
      </c>
    </row>
    <row r="12" spans="2:9" x14ac:dyDescent="0.35">
      <c r="B12" s="50" t="s">
        <v>135</v>
      </c>
      <c r="C12" s="51"/>
      <c r="D12" s="52" t="str">
        <f>B5</f>
        <v>DPF</v>
      </c>
      <c r="E12" s="53"/>
      <c r="F12" s="53"/>
    </row>
    <row r="13" spans="2:9" x14ac:dyDescent="0.35">
      <c r="B13" s="54"/>
      <c r="C13" s="54"/>
      <c r="D13" s="54"/>
      <c r="E13" s="54"/>
      <c r="F13" s="54"/>
    </row>
    <row r="14" spans="2:9" x14ac:dyDescent="0.35">
      <c r="B14" s="55" t="s">
        <v>136</v>
      </c>
      <c r="D14" s="38"/>
      <c r="E14" t="s">
        <v>137</v>
      </c>
    </row>
    <row r="15" spans="2:9" x14ac:dyDescent="0.35">
      <c r="B15" s="55" t="s">
        <v>138</v>
      </c>
      <c r="D15" s="38"/>
      <c r="E15" t="s">
        <v>139</v>
      </c>
    </row>
    <row r="16" spans="2:9" x14ac:dyDescent="0.35">
      <c r="B16" s="55" t="s">
        <v>140</v>
      </c>
      <c r="D16" s="45"/>
    </row>
    <row r="17" spans="2:9" x14ac:dyDescent="0.35">
      <c r="B17" s="56" t="s">
        <v>141</v>
      </c>
      <c r="C17" s="57" t="s">
        <v>142</v>
      </c>
      <c r="D17" s="58" t="s">
        <v>143</v>
      </c>
      <c r="E17" s="58" t="s">
        <v>144</v>
      </c>
      <c r="G17" s="59" t="s">
        <v>145</v>
      </c>
      <c r="H17" s="58"/>
      <c r="I17" s="58"/>
    </row>
    <row r="18" spans="2:9" x14ac:dyDescent="0.35">
      <c r="B18" s="60" t="s">
        <v>146</v>
      </c>
      <c r="C18" s="60" t="s">
        <v>147</v>
      </c>
      <c r="D18" s="60" t="s">
        <v>148</v>
      </c>
      <c r="E18" s="60" t="s">
        <v>147</v>
      </c>
      <c r="F18" s="60" t="s">
        <v>149</v>
      </c>
      <c r="G18" s="59" t="s">
        <v>150</v>
      </c>
      <c r="H18" s="58" t="s">
        <v>147</v>
      </c>
      <c r="I18" s="58" t="s">
        <v>151</v>
      </c>
    </row>
    <row r="19" spans="2:9" x14ac:dyDescent="0.35">
      <c r="B19" s="61">
        <f>0.25*$H$11</f>
        <v>0</v>
      </c>
      <c r="C19" s="62">
        <f>(2350/61.7)*B19*0.395</f>
        <v>0</v>
      </c>
      <c r="D19" s="45">
        <v>0</v>
      </c>
      <c r="E19" s="62">
        <f t="shared" ref="E19:E28" si="0">C19-(34.4764881*D19-4.325744048*D19^2+0.369475446*D19^3-0.01733631*D19^4+0.000339472*D19^5)</f>
        <v>0</v>
      </c>
      <c r="F19" s="63">
        <f t="shared" ref="F19:F29" si="1">(E19*60)/Volume</f>
        <v>0</v>
      </c>
      <c r="G19" s="45">
        <v>0</v>
      </c>
      <c r="H19" s="64">
        <f t="shared" ref="H19:H29" si="2">G19*Volume/60</f>
        <v>0</v>
      </c>
      <c r="I19" s="65">
        <f t="shared" ref="I19:I29" si="3">G19^2*P0a+G19*P0b+P0c</f>
        <v>0</v>
      </c>
    </row>
    <row r="20" spans="2:9" x14ac:dyDescent="0.35">
      <c r="B20" s="61">
        <f>0.4*$H$11</f>
        <v>0</v>
      </c>
      <c r="C20" s="62">
        <f t="shared" ref="C20:C29" si="4">(2350/61.7)*B20*0.395</f>
        <v>0</v>
      </c>
      <c r="D20" s="45">
        <v>0</v>
      </c>
      <c r="E20" s="62">
        <f t="shared" si="0"/>
        <v>0</v>
      </c>
      <c r="F20" s="63">
        <f t="shared" si="1"/>
        <v>0</v>
      </c>
      <c r="G20" s="45">
        <v>0</v>
      </c>
      <c r="H20" s="64">
        <f t="shared" si="2"/>
        <v>0</v>
      </c>
      <c r="I20" s="65">
        <f t="shared" si="3"/>
        <v>0</v>
      </c>
    </row>
    <row r="21" spans="2:9" x14ac:dyDescent="0.35">
      <c r="B21" s="61">
        <f>0.5*$H$11</f>
        <v>0</v>
      </c>
      <c r="C21" s="62">
        <f t="shared" si="4"/>
        <v>0</v>
      </c>
      <c r="D21" s="45">
        <v>0</v>
      </c>
      <c r="E21" s="62">
        <f t="shared" si="0"/>
        <v>0</v>
      </c>
      <c r="F21" s="63">
        <f t="shared" si="1"/>
        <v>0</v>
      </c>
      <c r="G21" s="45">
        <v>0</v>
      </c>
      <c r="H21" s="64">
        <f t="shared" si="2"/>
        <v>0</v>
      </c>
      <c r="I21" s="65">
        <f t="shared" si="3"/>
        <v>0</v>
      </c>
    </row>
    <row r="22" spans="2:9" x14ac:dyDescent="0.35">
      <c r="B22" s="61">
        <f>0.6*$H$11</f>
        <v>0</v>
      </c>
      <c r="C22" s="62">
        <f t="shared" si="4"/>
        <v>0</v>
      </c>
      <c r="D22" s="45">
        <v>0</v>
      </c>
      <c r="E22" s="62">
        <f t="shared" si="0"/>
        <v>0</v>
      </c>
      <c r="F22" s="63">
        <f t="shared" si="1"/>
        <v>0</v>
      </c>
      <c r="G22" s="45">
        <v>0</v>
      </c>
      <c r="H22" s="64">
        <f t="shared" si="2"/>
        <v>0</v>
      </c>
      <c r="I22" s="65">
        <f t="shared" si="3"/>
        <v>0</v>
      </c>
    </row>
    <row r="23" spans="2:9" x14ac:dyDescent="0.35">
      <c r="B23" s="61">
        <f>0.7*$H$11</f>
        <v>0</v>
      </c>
      <c r="C23" s="62">
        <f t="shared" si="4"/>
        <v>0</v>
      </c>
      <c r="D23" s="45">
        <v>0</v>
      </c>
      <c r="E23" s="62">
        <f t="shared" si="0"/>
        <v>0</v>
      </c>
      <c r="F23" s="63">
        <f t="shared" si="1"/>
        <v>0</v>
      </c>
      <c r="G23" s="45">
        <v>0</v>
      </c>
      <c r="H23" s="64">
        <f t="shared" si="2"/>
        <v>0</v>
      </c>
      <c r="I23" s="65">
        <f t="shared" si="3"/>
        <v>0</v>
      </c>
    </row>
    <row r="24" spans="2:9" x14ac:dyDescent="0.35">
      <c r="B24" s="61">
        <f>0.75*$H$11</f>
        <v>0</v>
      </c>
      <c r="C24" s="62">
        <f t="shared" si="4"/>
        <v>0</v>
      </c>
      <c r="D24" s="45">
        <v>0</v>
      </c>
      <c r="E24" s="62">
        <f t="shared" si="0"/>
        <v>0</v>
      </c>
      <c r="F24" s="63">
        <f t="shared" si="1"/>
        <v>0</v>
      </c>
      <c r="G24" s="45">
        <v>0</v>
      </c>
      <c r="H24" s="64">
        <f t="shared" si="2"/>
        <v>0</v>
      </c>
      <c r="I24" s="65">
        <f t="shared" si="3"/>
        <v>0</v>
      </c>
    </row>
    <row r="25" spans="2:9" x14ac:dyDescent="0.35">
      <c r="B25" s="61">
        <f>0.8*$H$11</f>
        <v>0</v>
      </c>
      <c r="C25" s="62">
        <f t="shared" si="4"/>
        <v>0</v>
      </c>
      <c r="D25" s="45">
        <v>0</v>
      </c>
      <c r="E25" s="62">
        <f t="shared" si="0"/>
        <v>0</v>
      </c>
      <c r="F25" s="63">
        <f t="shared" si="1"/>
        <v>0</v>
      </c>
      <c r="G25" s="45">
        <v>0</v>
      </c>
      <c r="H25" s="64">
        <f t="shared" si="2"/>
        <v>0</v>
      </c>
      <c r="I25" s="65">
        <f t="shared" si="3"/>
        <v>0</v>
      </c>
    </row>
    <row r="26" spans="2:9" x14ac:dyDescent="0.35">
      <c r="B26" s="61">
        <f>0.85*$H$11</f>
        <v>0</v>
      </c>
      <c r="C26" s="62">
        <f t="shared" si="4"/>
        <v>0</v>
      </c>
      <c r="D26" s="45">
        <v>0</v>
      </c>
      <c r="E26" s="62">
        <f t="shared" si="0"/>
        <v>0</v>
      </c>
      <c r="F26" s="63">
        <f t="shared" si="1"/>
        <v>0</v>
      </c>
      <c r="G26" s="45">
        <v>0</v>
      </c>
      <c r="H26" s="64">
        <f t="shared" si="2"/>
        <v>0</v>
      </c>
      <c r="I26" s="65">
        <f t="shared" si="3"/>
        <v>0</v>
      </c>
    </row>
    <row r="27" spans="2:9" x14ac:dyDescent="0.35">
      <c r="B27" s="61">
        <f>0.9*$H$11</f>
        <v>0</v>
      </c>
      <c r="C27" s="62">
        <f t="shared" si="4"/>
        <v>0</v>
      </c>
      <c r="D27" s="45">
        <v>0</v>
      </c>
      <c r="E27" s="62">
        <f t="shared" si="0"/>
        <v>0</v>
      </c>
      <c r="F27" s="63">
        <f t="shared" si="1"/>
        <v>0</v>
      </c>
      <c r="G27" s="45">
        <v>0</v>
      </c>
      <c r="H27" s="64">
        <f t="shared" si="2"/>
        <v>0</v>
      </c>
      <c r="I27" s="65">
        <f t="shared" si="3"/>
        <v>0</v>
      </c>
    </row>
    <row r="28" spans="2:9" x14ac:dyDescent="0.35">
      <c r="B28" s="61">
        <f>0.95*$H$11</f>
        <v>0</v>
      </c>
      <c r="C28" s="62">
        <f t="shared" si="4"/>
        <v>0</v>
      </c>
      <c r="D28" s="45">
        <v>0</v>
      </c>
      <c r="E28" s="62">
        <f t="shared" si="0"/>
        <v>0</v>
      </c>
      <c r="F28" s="63">
        <f t="shared" si="1"/>
        <v>0</v>
      </c>
      <c r="G28" s="45">
        <v>0</v>
      </c>
      <c r="H28" s="64">
        <f t="shared" si="2"/>
        <v>0</v>
      </c>
      <c r="I28" s="65">
        <f t="shared" si="3"/>
        <v>0</v>
      </c>
    </row>
    <row r="29" spans="2:9" x14ac:dyDescent="0.35">
      <c r="B29" s="61">
        <f>1*$H$11</f>
        <v>0</v>
      </c>
      <c r="C29" s="62">
        <f t="shared" si="4"/>
        <v>0</v>
      </c>
      <c r="D29" s="45">
        <v>0</v>
      </c>
      <c r="E29" s="62">
        <f>C29-(34.4764881*D29-4.325744048*D29^2+0.369475446*D29^3-0.01733631*D29^4+0.000339472*D29^5)</f>
        <v>0</v>
      </c>
      <c r="F29" s="63">
        <f t="shared" si="1"/>
        <v>0</v>
      </c>
      <c r="G29" s="45">
        <v>0</v>
      </c>
      <c r="H29" s="64">
        <f t="shared" si="2"/>
        <v>0</v>
      </c>
      <c r="I29" s="65">
        <f t="shared" si="3"/>
        <v>0</v>
      </c>
    </row>
    <row r="30" spans="2:9" x14ac:dyDescent="0.35">
      <c r="B30" s="54"/>
      <c r="D30" s="54"/>
      <c r="E30" s="54"/>
      <c r="F30" s="54"/>
      <c r="G30" s="70" t="s">
        <v>153</v>
      </c>
    </row>
    <row r="31" spans="2:9" x14ac:dyDescent="0.35">
      <c r="C31" s="67"/>
      <c r="G31" s="70" t="s">
        <v>154</v>
      </c>
      <c r="H31" s="71"/>
    </row>
    <row r="32" spans="2:9" x14ac:dyDescent="0.35">
      <c r="B32" s="68"/>
      <c r="C32" s="68"/>
      <c r="D32" s="68"/>
      <c r="E32" s="68"/>
      <c r="F32" s="68"/>
      <c r="G32" s="70" t="s">
        <v>155</v>
      </c>
      <c r="H32" s="71"/>
    </row>
    <row r="33" spans="2:9" x14ac:dyDescent="0.35">
      <c r="B33" s="69"/>
      <c r="C33" s="69"/>
      <c r="D33" s="69"/>
      <c r="E33" s="69"/>
      <c r="F33" s="69"/>
      <c r="G33" s="70" t="s">
        <v>156</v>
      </c>
      <c r="H33" s="38"/>
    </row>
    <row r="34" spans="2:9" x14ac:dyDescent="0.35">
      <c r="B34" s="69"/>
      <c r="C34" s="69"/>
      <c r="D34" s="69"/>
      <c r="E34" s="69"/>
      <c r="F34" s="69"/>
      <c r="I34" t="s">
        <v>18</v>
      </c>
    </row>
    <row r="36" spans="2:9" x14ac:dyDescent="0.35">
      <c r="B36" s="55" t="s">
        <v>135</v>
      </c>
      <c r="D36" s="52" t="e">
        <f>#REF!</f>
        <v>#REF!</v>
      </c>
    </row>
    <row r="38" spans="2:9" x14ac:dyDescent="0.35">
      <c r="B38" s="55" t="s">
        <v>136</v>
      </c>
      <c r="D38" s="38"/>
      <c r="E38" t="s">
        <v>137</v>
      </c>
    </row>
    <row r="39" spans="2:9" x14ac:dyDescent="0.35">
      <c r="B39" s="55" t="s">
        <v>138</v>
      </c>
      <c r="D39" s="38"/>
      <c r="E39" t="s">
        <v>139</v>
      </c>
      <c r="I39" s="67"/>
    </row>
    <row r="40" spans="2:9" x14ac:dyDescent="0.35">
      <c r="B40" s="55" t="s">
        <v>140</v>
      </c>
      <c r="D40" s="45"/>
    </row>
    <row r="41" spans="2:9" x14ac:dyDescent="0.35">
      <c r="B41" s="56" t="s">
        <v>141</v>
      </c>
      <c r="C41" s="57" t="s">
        <v>142</v>
      </c>
      <c r="D41" s="58" t="s">
        <v>143</v>
      </c>
      <c r="E41" s="58" t="s">
        <v>144</v>
      </c>
      <c r="F41" s="72"/>
      <c r="G41" s="59" t="s">
        <v>145</v>
      </c>
      <c r="H41" s="58"/>
      <c r="I41" s="58"/>
    </row>
    <row r="42" spans="2:9" x14ac:dyDescent="0.35">
      <c r="B42" s="58" t="s">
        <v>146</v>
      </c>
      <c r="C42" s="58" t="s">
        <v>147</v>
      </c>
      <c r="D42" s="58" t="s">
        <v>148</v>
      </c>
      <c r="E42" s="58" t="s">
        <v>147</v>
      </c>
      <c r="F42" s="58" t="s">
        <v>149</v>
      </c>
      <c r="G42" s="59" t="s">
        <v>150</v>
      </c>
      <c r="H42" s="58" t="s">
        <v>147</v>
      </c>
      <c r="I42" s="58" t="s">
        <v>151</v>
      </c>
    </row>
    <row r="43" spans="2:9" x14ac:dyDescent="0.35">
      <c r="B43" s="61">
        <f>0.25*$H$11</f>
        <v>0</v>
      </c>
      <c r="C43" s="62">
        <f>(2350/61.7)*B43*0.395</f>
        <v>0</v>
      </c>
      <c r="D43" s="45">
        <v>0</v>
      </c>
      <c r="E43" s="62">
        <f t="shared" ref="E43:E53" si="5">C43-(34.4764881*D43-4.325744048*D43^2+0.369475446*D43^3-0.01733631*D43^4+0.000339472*D43^5)</f>
        <v>0</v>
      </c>
      <c r="F43" s="63">
        <f t="shared" ref="F43:F53" si="6">(E43*60)/Volume</f>
        <v>0</v>
      </c>
      <c r="G43" s="45">
        <v>0</v>
      </c>
      <c r="H43" s="64">
        <f t="shared" ref="H43:H53" si="7">G43*Volume/60</f>
        <v>0</v>
      </c>
      <c r="I43" s="65">
        <f t="shared" ref="I43:I53" si="8">G43^2*P1a+G43*P1b+P1c</f>
        <v>0</v>
      </c>
    </row>
    <row r="44" spans="2:9" x14ac:dyDescent="0.35">
      <c r="B44" s="61">
        <f>0.4*$H$11</f>
        <v>0</v>
      </c>
      <c r="C44" s="62">
        <f t="shared" ref="C44:C52" si="9">(2350/61.7)*B44*0.395</f>
        <v>0</v>
      </c>
      <c r="D44" s="45">
        <v>0</v>
      </c>
      <c r="E44" s="62">
        <f t="shared" si="5"/>
        <v>0</v>
      </c>
      <c r="F44" s="63">
        <f t="shared" si="6"/>
        <v>0</v>
      </c>
      <c r="G44" s="45">
        <v>0</v>
      </c>
      <c r="H44" s="64">
        <f t="shared" si="7"/>
        <v>0</v>
      </c>
      <c r="I44" s="65">
        <f t="shared" si="8"/>
        <v>0</v>
      </c>
    </row>
    <row r="45" spans="2:9" x14ac:dyDescent="0.35">
      <c r="B45" s="61">
        <f>0.5*$H$11</f>
        <v>0</v>
      </c>
      <c r="C45" s="62">
        <f t="shared" si="9"/>
        <v>0</v>
      </c>
      <c r="D45" s="45">
        <v>0</v>
      </c>
      <c r="E45" s="62">
        <f t="shared" si="5"/>
        <v>0</v>
      </c>
      <c r="F45" s="63">
        <f t="shared" si="6"/>
        <v>0</v>
      </c>
      <c r="G45" s="45">
        <v>0</v>
      </c>
      <c r="H45" s="64">
        <f t="shared" si="7"/>
        <v>0</v>
      </c>
      <c r="I45" s="65">
        <f t="shared" si="8"/>
        <v>0</v>
      </c>
    </row>
    <row r="46" spans="2:9" x14ac:dyDescent="0.35">
      <c r="B46" s="61">
        <f>0.6*$H$11</f>
        <v>0</v>
      </c>
      <c r="C46" s="62">
        <f t="shared" si="9"/>
        <v>0</v>
      </c>
      <c r="D46" s="45">
        <v>0</v>
      </c>
      <c r="E46" s="62">
        <f t="shared" si="5"/>
        <v>0</v>
      </c>
      <c r="F46" s="63">
        <f t="shared" si="6"/>
        <v>0</v>
      </c>
      <c r="G46" s="45">
        <v>0</v>
      </c>
      <c r="H46" s="64">
        <f t="shared" si="7"/>
        <v>0</v>
      </c>
      <c r="I46" s="65">
        <f t="shared" si="8"/>
        <v>0</v>
      </c>
    </row>
    <row r="47" spans="2:9" x14ac:dyDescent="0.35">
      <c r="B47" s="61">
        <f>0.7*$H$11</f>
        <v>0</v>
      </c>
      <c r="C47" s="62">
        <f t="shared" si="9"/>
        <v>0</v>
      </c>
      <c r="D47" s="45">
        <v>0</v>
      </c>
      <c r="E47" s="62">
        <f t="shared" si="5"/>
        <v>0</v>
      </c>
      <c r="F47" s="63">
        <f t="shared" si="6"/>
        <v>0</v>
      </c>
      <c r="G47" s="45">
        <v>0</v>
      </c>
      <c r="H47" s="64">
        <f t="shared" si="7"/>
        <v>0</v>
      </c>
      <c r="I47" s="65">
        <f t="shared" si="8"/>
        <v>0</v>
      </c>
    </row>
    <row r="48" spans="2:9" x14ac:dyDescent="0.35">
      <c r="B48" s="61">
        <f>0.75*$H$11</f>
        <v>0</v>
      </c>
      <c r="C48" s="62">
        <f t="shared" si="9"/>
        <v>0</v>
      </c>
      <c r="D48" s="45">
        <v>0</v>
      </c>
      <c r="E48" s="62">
        <f t="shared" si="5"/>
        <v>0</v>
      </c>
      <c r="F48" s="63">
        <f t="shared" si="6"/>
        <v>0</v>
      </c>
      <c r="G48" s="45">
        <v>0</v>
      </c>
      <c r="H48" s="64">
        <f t="shared" si="7"/>
        <v>0</v>
      </c>
      <c r="I48" s="65">
        <f t="shared" si="8"/>
        <v>0</v>
      </c>
    </row>
    <row r="49" spans="2:9" x14ac:dyDescent="0.35">
      <c r="B49" s="61">
        <f>0.8*$H$11</f>
        <v>0</v>
      </c>
      <c r="C49" s="62">
        <f t="shared" si="9"/>
        <v>0</v>
      </c>
      <c r="D49" s="45">
        <v>0</v>
      </c>
      <c r="E49" s="62">
        <f t="shared" si="5"/>
        <v>0</v>
      </c>
      <c r="F49" s="63">
        <f t="shared" si="6"/>
        <v>0</v>
      </c>
      <c r="G49" s="45">
        <v>0</v>
      </c>
      <c r="H49" s="64">
        <f t="shared" si="7"/>
        <v>0</v>
      </c>
      <c r="I49" s="65">
        <f t="shared" si="8"/>
        <v>0</v>
      </c>
    </row>
    <row r="50" spans="2:9" x14ac:dyDescent="0.35">
      <c r="B50" s="61">
        <f>0.85*$H$11</f>
        <v>0</v>
      </c>
      <c r="C50" s="62">
        <f t="shared" si="9"/>
        <v>0</v>
      </c>
      <c r="D50" s="45">
        <v>0</v>
      </c>
      <c r="E50" s="62">
        <f t="shared" si="5"/>
        <v>0</v>
      </c>
      <c r="F50" s="63">
        <f t="shared" si="6"/>
        <v>0</v>
      </c>
      <c r="G50" s="45">
        <v>0</v>
      </c>
      <c r="H50" s="64">
        <f t="shared" si="7"/>
        <v>0</v>
      </c>
      <c r="I50" s="65">
        <f t="shared" si="8"/>
        <v>0</v>
      </c>
    </row>
    <row r="51" spans="2:9" x14ac:dyDescent="0.35">
      <c r="B51" s="61">
        <f>0.9*$H$11</f>
        <v>0</v>
      </c>
      <c r="C51" s="62">
        <f t="shared" si="9"/>
        <v>0</v>
      </c>
      <c r="D51" s="45">
        <v>0</v>
      </c>
      <c r="E51" s="62">
        <f t="shared" si="5"/>
        <v>0</v>
      </c>
      <c r="F51" s="63">
        <f t="shared" si="6"/>
        <v>0</v>
      </c>
      <c r="G51" s="45">
        <v>0</v>
      </c>
      <c r="H51" s="64">
        <f t="shared" si="7"/>
        <v>0</v>
      </c>
      <c r="I51" s="65">
        <f t="shared" si="8"/>
        <v>0</v>
      </c>
    </row>
    <row r="52" spans="2:9" x14ac:dyDescent="0.35">
      <c r="B52" s="61">
        <f>0.95*$H$11</f>
        <v>0</v>
      </c>
      <c r="C52" s="62">
        <f t="shared" si="9"/>
        <v>0</v>
      </c>
      <c r="D52" s="45">
        <v>0</v>
      </c>
      <c r="E52" s="62">
        <f t="shared" si="5"/>
        <v>0</v>
      </c>
      <c r="F52" s="63">
        <f t="shared" si="6"/>
        <v>0</v>
      </c>
      <c r="G52" s="45">
        <v>0</v>
      </c>
      <c r="H52" s="64">
        <f t="shared" si="7"/>
        <v>0</v>
      </c>
      <c r="I52" s="65">
        <f t="shared" si="8"/>
        <v>0</v>
      </c>
    </row>
    <row r="53" spans="2:9" x14ac:dyDescent="0.35">
      <c r="B53" s="61">
        <f>1*$H$11</f>
        <v>0</v>
      </c>
      <c r="C53" s="62">
        <f>(2350/61.7)*B53*0.395</f>
        <v>0</v>
      </c>
      <c r="D53" s="45">
        <v>0</v>
      </c>
      <c r="E53" s="62">
        <f t="shared" si="5"/>
        <v>0</v>
      </c>
      <c r="F53" s="63">
        <f t="shared" si="6"/>
        <v>0</v>
      </c>
      <c r="G53" s="45">
        <v>0</v>
      </c>
      <c r="H53" s="64">
        <f t="shared" si="7"/>
        <v>0</v>
      </c>
      <c r="I53" s="65">
        <f t="shared" si="8"/>
        <v>0</v>
      </c>
    </row>
    <row r="54" spans="2:9" x14ac:dyDescent="0.35">
      <c r="G54" s="70" t="s">
        <v>153</v>
      </c>
    </row>
    <row r="55" spans="2:9" x14ac:dyDescent="0.35">
      <c r="B55" s="73"/>
      <c r="C55" s="73"/>
      <c r="D55" s="73"/>
      <c r="G55" s="70" t="s">
        <v>154</v>
      </c>
      <c r="H55" s="71"/>
    </row>
    <row r="56" spans="2:9" x14ac:dyDescent="0.35">
      <c r="B56" s="2"/>
      <c r="C56" s="73"/>
      <c r="D56" s="73"/>
      <c r="E56" s="72"/>
      <c r="F56" s="72"/>
      <c r="G56" s="70" t="s">
        <v>155</v>
      </c>
      <c r="H56" s="71"/>
    </row>
    <row r="57" spans="2:9" x14ac:dyDescent="0.35">
      <c r="B57" s="74"/>
      <c r="C57" s="73"/>
      <c r="D57" s="73"/>
      <c r="E57" s="72"/>
      <c r="F57" s="72"/>
      <c r="G57" s="70" t="s">
        <v>156</v>
      </c>
      <c r="H57" s="71"/>
    </row>
    <row r="58" spans="2:9" x14ac:dyDescent="0.35">
      <c r="B58" s="74"/>
      <c r="C58" s="73"/>
      <c r="D58" s="73"/>
      <c r="E58" s="73"/>
      <c r="F58" s="73"/>
    </row>
    <row r="59" spans="2:9" x14ac:dyDescent="0.35">
      <c r="B59" s="2"/>
      <c r="C59" s="73"/>
      <c r="D59" s="73"/>
      <c r="E59" s="73"/>
      <c r="F59" s="73"/>
    </row>
    <row r="61" spans="2:9" x14ac:dyDescent="0.35">
      <c r="B61" s="55" t="s">
        <v>135</v>
      </c>
      <c r="D61" s="52" t="str">
        <f>B6</f>
        <v>Substrate Diameter(inch)</v>
      </c>
    </row>
    <row r="63" spans="2:9" x14ac:dyDescent="0.35">
      <c r="B63" s="55" t="s">
        <v>136</v>
      </c>
      <c r="D63" s="38"/>
      <c r="E63" t="s">
        <v>137</v>
      </c>
      <c r="H63" s="54"/>
      <c r="I63" s="54"/>
    </row>
    <row r="64" spans="2:9" x14ac:dyDescent="0.35">
      <c r="B64" s="55" t="s">
        <v>138</v>
      </c>
      <c r="D64" s="38"/>
      <c r="E64" t="s">
        <v>139</v>
      </c>
      <c r="H64" s="54"/>
      <c r="I64" s="54"/>
    </row>
    <row r="65" spans="2:9" x14ac:dyDescent="0.35">
      <c r="B65" s="55" t="s">
        <v>140</v>
      </c>
      <c r="D65" s="45"/>
      <c r="H65" s="75"/>
      <c r="I65" s="75"/>
    </row>
    <row r="66" spans="2:9" x14ac:dyDescent="0.35">
      <c r="B66" s="56" t="s">
        <v>141</v>
      </c>
      <c r="C66" s="57" t="s">
        <v>142</v>
      </c>
      <c r="D66" s="58" t="s">
        <v>143</v>
      </c>
      <c r="E66" s="58" t="s">
        <v>144</v>
      </c>
      <c r="F66" s="72"/>
      <c r="G66" s="59" t="s">
        <v>145</v>
      </c>
      <c r="H66" s="58"/>
      <c r="I66" s="58"/>
    </row>
    <row r="67" spans="2:9" x14ac:dyDescent="0.35">
      <c r="B67" s="58" t="s">
        <v>146</v>
      </c>
      <c r="C67" s="58" t="s">
        <v>147</v>
      </c>
      <c r="D67" s="58" t="s">
        <v>148</v>
      </c>
      <c r="E67" s="58" t="s">
        <v>147</v>
      </c>
      <c r="F67" s="58" t="s">
        <v>149</v>
      </c>
      <c r="G67" s="59" t="s">
        <v>150</v>
      </c>
      <c r="H67" s="58" t="s">
        <v>147</v>
      </c>
      <c r="I67" s="58" t="s">
        <v>151</v>
      </c>
    </row>
    <row r="68" spans="2:9" x14ac:dyDescent="0.35">
      <c r="B68" s="61">
        <f>0.25*$H$11</f>
        <v>0</v>
      </c>
      <c r="C68" s="62">
        <f>(2350/61.7)*B68*0.395</f>
        <v>0</v>
      </c>
      <c r="D68" s="45">
        <v>0</v>
      </c>
      <c r="E68" s="62">
        <f t="shared" ref="E68:E78" si="10">C68-(34.4764881*D68-4.325744048*D68^2+0.369475446*D68^3-0.01733631*D68^4+0.000339472*D68^5)</f>
        <v>0</v>
      </c>
      <c r="F68" s="62">
        <f t="shared" ref="F68:F78" si="11">(E68*60)/Volume</f>
        <v>0</v>
      </c>
      <c r="G68" s="45">
        <v>0</v>
      </c>
      <c r="H68" s="64">
        <f t="shared" ref="H68:H78" si="12">G68*Volume/60</f>
        <v>0</v>
      </c>
      <c r="I68" s="65">
        <f t="shared" ref="I68:I78" si="13">G68^2*P2a+G68*P2b+P2c</f>
        <v>0</v>
      </c>
    </row>
    <row r="69" spans="2:9" x14ac:dyDescent="0.35">
      <c r="B69" s="61">
        <f>0.4*$H$11</f>
        <v>0</v>
      </c>
      <c r="C69" s="62">
        <f t="shared" ref="C69:C78" si="14">(2350/61.7)*B69*0.395</f>
        <v>0</v>
      </c>
      <c r="D69" s="45">
        <v>0</v>
      </c>
      <c r="E69" s="62">
        <f t="shared" si="10"/>
        <v>0</v>
      </c>
      <c r="F69" s="62">
        <f t="shared" si="11"/>
        <v>0</v>
      </c>
      <c r="G69" s="45">
        <v>0</v>
      </c>
      <c r="H69" s="64">
        <f t="shared" si="12"/>
        <v>0</v>
      </c>
      <c r="I69" s="65">
        <f t="shared" si="13"/>
        <v>0</v>
      </c>
    </row>
    <row r="70" spans="2:9" x14ac:dyDescent="0.35">
      <c r="B70" s="61">
        <f>0.5*$H$11</f>
        <v>0</v>
      </c>
      <c r="C70" s="62">
        <f t="shared" si="14"/>
        <v>0</v>
      </c>
      <c r="D70" s="45">
        <v>0</v>
      </c>
      <c r="E70" s="62">
        <f t="shared" si="10"/>
        <v>0</v>
      </c>
      <c r="F70" s="62">
        <f t="shared" si="11"/>
        <v>0</v>
      </c>
      <c r="G70" s="45">
        <v>0</v>
      </c>
      <c r="H70" s="64">
        <f t="shared" si="12"/>
        <v>0</v>
      </c>
      <c r="I70" s="65">
        <f t="shared" si="13"/>
        <v>0</v>
      </c>
    </row>
    <row r="71" spans="2:9" x14ac:dyDescent="0.35">
      <c r="B71" s="61">
        <f>0.6*$H$11</f>
        <v>0</v>
      </c>
      <c r="C71" s="62">
        <f t="shared" si="14"/>
        <v>0</v>
      </c>
      <c r="D71" s="45">
        <v>0</v>
      </c>
      <c r="E71" s="62">
        <f t="shared" si="10"/>
        <v>0</v>
      </c>
      <c r="F71" s="62">
        <f t="shared" si="11"/>
        <v>0</v>
      </c>
      <c r="G71" s="45">
        <v>0</v>
      </c>
      <c r="H71" s="64">
        <f t="shared" si="12"/>
        <v>0</v>
      </c>
      <c r="I71" s="65">
        <f t="shared" si="13"/>
        <v>0</v>
      </c>
    </row>
    <row r="72" spans="2:9" x14ac:dyDescent="0.35">
      <c r="B72" s="61">
        <f>0.7*$H$11</f>
        <v>0</v>
      </c>
      <c r="C72" s="62">
        <f t="shared" si="14"/>
        <v>0</v>
      </c>
      <c r="D72" s="45">
        <v>0</v>
      </c>
      <c r="E72" s="62">
        <f t="shared" si="10"/>
        <v>0</v>
      </c>
      <c r="F72" s="62">
        <f t="shared" si="11"/>
        <v>0</v>
      </c>
      <c r="G72" s="45">
        <v>0</v>
      </c>
      <c r="H72" s="64">
        <f t="shared" si="12"/>
        <v>0</v>
      </c>
      <c r="I72" s="65">
        <f t="shared" si="13"/>
        <v>0</v>
      </c>
    </row>
    <row r="73" spans="2:9" x14ac:dyDescent="0.35">
      <c r="B73" s="61">
        <f>0.75*$H$11</f>
        <v>0</v>
      </c>
      <c r="C73" s="62">
        <f t="shared" si="14"/>
        <v>0</v>
      </c>
      <c r="D73" s="45">
        <v>0</v>
      </c>
      <c r="E73" s="62">
        <f t="shared" si="10"/>
        <v>0</v>
      </c>
      <c r="F73" s="62">
        <f t="shared" si="11"/>
        <v>0</v>
      </c>
      <c r="G73" s="45">
        <v>0</v>
      </c>
      <c r="H73" s="64">
        <f t="shared" si="12"/>
        <v>0</v>
      </c>
      <c r="I73" s="65">
        <f t="shared" si="13"/>
        <v>0</v>
      </c>
    </row>
    <row r="74" spans="2:9" x14ac:dyDescent="0.35">
      <c r="B74" s="61">
        <f>0.8*$H$11</f>
        <v>0</v>
      </c>
      <c r="C74" s="62">
        <f t="shared" si="14"/>
        <v>0</v>
      </c>
      <c r="D74" s="45">
        <v>0</v>
      </c>
      <c r="E74" s="62">
        <f t="shared" si="10"/>
        <v>0</v>
      </c>
      <c r="F74" s="62">
        <f t="shared" si="11"/>
        <v>0</v>
      </c>
      <c r="G74" s="45">
        <v>0</v>
      </c>
      <c r="H74" s="64">
        <f t="shared" si="12"/>
        <v>0</v>
      </c>
      <c r="I74" s="65">
        <f t="shared" si="13"/>
        <v>0</v>
      </c>
    </row>
    <row r="75" spans="2:9" x14ac:dyDescent="0.35">
      <c r="B75" s="61">
        <f>0.85*$H$11</f>
        <v>0</v>
      </c>
      <c r="C75" s="62">
        <f t="shared" si="14"/>
        <v>0</v>
      </c>
      <c r="D75" s="45">
        <v>0</v>
      </c>
      <c r="E75" s="62">
        <f t="shared" si="10"/>
        <v>0</v>
      </c>
      <c r="F75" s="62">
        <f t="shared" si="11"/>
        <v>0</v>
      </c>
      <c r="G75" s="45">
        <v>0</v>
      </c>
      <c r="H75" s="64">
        <f t="shared" si="12"/>
        <v>0</v>
      </c>
      <c r="I75" s="65">
        <f t="shared" si="13"/>
        <v>0</v>
      </c>
    </row>
    <row r="76" spans="2:9" x14ac:dyDescent="0.35">
      <c r="B76" s="61">
        <f>0.9*$H$11</f>
        <v>0</v>
      </c>
      <c r="C76" s="62">
        <f t="shared" si="14"/>
        <v>0</v>
      </c>
      <c r="D76" s="45">
        <v>0</v>
      </c>
      <c r="E76" s="62">
        <f t="shared" si="10"/>
        <v>0</v>
      </c>
      <c r="F76" s="62">
        <f t="shared" si="11"/>
        <v>0</v>
      </c>
      <c r="G76" s="45">
        <v>0</v>
      </c>
      <c r="H76" s="64">
        <f t="shared" si="12"/>
        <v>0</v>
      </c>
      <c r="I76" s="65">
        <f t="shared" si="13"/>
        <v>0</v>
      </c>
    </row>
    <row r="77" spans="2:9" x14ac:dyDescent="0.35">
      <c r="B77" s="61">
        <f>0.95*$H$11</f>
        <v>0</v>
      </c>
      <c r="C77" s="62">
        <f t="shared" si="14"/>
        <v>0</v>
      </c>
      <c r="D77" s="45">
        <v>0</v>
      </c>
      <c r="E77" s="62">
        <f t="shared" si="10"/>
        <v>0</v>
      </c>
      <c r="F77" s="62">
        <f t="shared" si="11"/>
        <v>0</v>
      </c>
      <c r="G77" s="45">
        <v>0</v>
      </c>
      <c r="H77" s="64">
        <f t="shared" si="12"/>
        <v>0</v>
      </c>
      <c r="I77" s="65">
        <f t="shared" si="13"/>
        <v>0</v>
      </c>
    </row>
    <row r="78" spans="2:9" x14ac:dyDescent="0.35">
      <c r="B78" s="61">
        <f>1*$H$11</f>
        <v>0</v>
      </c>
      <c r="C78" s="62">
        <f t="shared" si="14"/>
        <v>0</v>
      </c>
      <c r="D78" s="45">
        <v>0</v>
      </c>
      <c r="E78" s="62">
        <f t="shared" si="10"/>
        <v>0</v>
      </c>
      <c r="F78" s="62">
        <f t="shared" si="11"/>
        <v>0</v>
      </c>
      <c r="G78" s="45">
        <v>0</v>
      </c>
      <c r="H78" s="64">
        <f t="shared" si="12"/>
        <v>0</v>
      </c>
      <c r="I78" s="65">
        <f t="shared" si="13"/>
        <v>0</v>
      </c>
    </row>
    <row r="79" spans="2:9" x14ac:dyDescent="0.35">
      <c r="G79" s="70" t="s">
        <v>153</v>
      </c>
    </row>
    <row r="80" spans="2:9" x14ac:dyDescent="0.35">
      <c r="F80" s="76"/>
      <c r="G80" s="70" t="s">
        <v>154</v>
      </c>
      <c r="H80" s="71"/>
    </row>
    <row r="81" spans="2:8" x14ac:dyDescent="0.35">
      <c r="B81" s="74"/>
      <c r="C81" s="72"/>
      <c r="D81" s="72"/>
      <c r="F81" s="66"/>
      <c r="G81" s="70" t="s">
        <v>155</v>
      </c>
      <c r="H81" s="71"/>
    </row>
    <row r="82" spans="2:8" x14ac:dyDescent="0.35">
      <c r="B82" s="74"/>
      <c r="C82" s="72"/>
      <c r="D82" s="72"/>
      <c r="E82" s="67"/>
      <c r="F82" s="66"/>
      <c r="G82" s="70" t="s">
        <v>156</v>
      </c>
      <c r="H82" s="38"/>
    </row>
    <row r="83" spans="2:8" x14ac:dyDescent="0.35">
      <c r="B83" s="2"/>
      <c r="C83" s="77"/>
      <c r="D83" s="73"/>
      <c r="F83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552450</xdr:colOff>
                <xdr:row>5</xdr:row>
                <xdr:rowOff>107950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2019-02-06T22:00:06Z</dcterms:modified>
</cp:coreProperties>
</file>