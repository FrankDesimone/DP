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F4AE2D6-604F-44ED-80FA-0143713A8580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<sst xmlns="http://schemas.openxmlformats.org/spreadsheetml/2006/main" count="438" uniqueCount="255">
  <si>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</si>
  <si>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</si>
  <si>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</si>
  <si>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</si>
  <si>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</si>
  <si>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</si>
  <si>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</si>
  <si>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</si>
  <si>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</si>
  <si>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</si>
  <si>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</si>
  <si>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</si>
  <si>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</si>
  <si>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</si>
  <si>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</si>
  <si>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</si>
  <si>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</si>
  <si>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</si>
  <si>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</si>
  <si>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</si>
  <si>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</si>
  <si>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</si>
  <si>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</si>
  <si>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</si>
  <si>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</si>
  <si>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</si>
  <si>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</si>
  <si>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</si>
  <si>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</si>
  <si>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</si>
  <si>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</si>
  <si>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</si>
  <si>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</si>
  <si>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</si>
  <si>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</si>
  <si>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</si>
  <si>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</si>
  <si>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</si>
  <si>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</si>
  <si>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</si>
  <si>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</si>
  <si>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</si>
  <si>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</si>
  <si>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</si>
  <si>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</si>
  <si>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</si>
  <si>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</si>
  <si>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</si>
  <si>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</si>
  <si>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</si>
  <si>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</si>
  <si>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</si>
  <si>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</si>
  <si>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</si>
  <si>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</si>
  <si>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</si>
  <si>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</si>
  <si>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</si>
  <si>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</si>
  <si>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</si>
  <si>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</si>
  <si>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</si>
  <si>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</si>
  <si>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</si>
  <si>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</si>
  <si>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</si>
  <si>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</si>
  <si>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</si>
  <si>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</si>
  <si>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</si>
  <si>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</si>
  <si>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</si>
  <si>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</si>
  <si>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</si>
  <si>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</si>
  <si>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</si>
  <si>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</si>
  <si>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</si>
  <si>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</si>
  <si>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</si>
  <si>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</si>
  <si>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</si>
  <si>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</si>
  <si>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</si>
  <si>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</si>
  <si>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</si>
  <si>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</si>
  <si>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</si>
  <si>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</si>
  <si>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</si>
  <si>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</si>
  <si>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</si>
  <si>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</si>
  <si>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</si>
  <si>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</si>
  <si>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</si>
  <si>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</si>
  <si>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</si>
  <si>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</si>
  <si>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</si>
  <si>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</si>
  <si>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</si>
  <si>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</si>
  <si>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</si>
  <si>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</si>
  <si>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</si>
  <si>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</si>
  <si>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</si>
  <si>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</si>
  <si>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</si>
  <si>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</si>
  <si>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</si>
  <si>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</si>
  <si>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</si>
  <si>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</si>
  <si>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</si>
  <si>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</si>
  <si>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</si>
  <si>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</si>
  <si>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</si>
  <si>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</si>
  <si>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</si>
  <si>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</si>
  <si>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</si>
  <si>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</si>
  <si>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</si>
  <si>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</si>
  <si>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</si>
  <si>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</si>
  <si>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</si>
  <si>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</si>
  <si>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</si>
  <si>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</si>
  <si>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</si>
  <si>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</si>
  <si>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</si>
  <si>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</si>
  <si>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</si>
  <si>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</si>
  <si>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</si>
  <si>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</si>
  <si>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</si>
  <si>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</si>
  <si>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</si>
  <si>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</si>
  <si>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</si>
  <si>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</si>
  <si>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</si>
  <si>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</si>
  <si>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</si>
  <si>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</si>
  <si>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</si>
  <si>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</si>
  <si>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</si>
  <si>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</si>
  <si>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</si>
  <si>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</si>
  <si>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</si>
  <si>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</si>
  <si>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</si>
  <si>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</si>
  <si>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</si>
  <si>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</si>
  <si>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</si>
  <si>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</si>
  <si>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</si>
  <si>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</si>
  <si>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</si>
  <si>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</si>
  <si>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</si>
  <si>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</si>
  <si>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</si>
  <si>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</si>
  <si>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</si>
  <si>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</si>
  <si>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</si>
  <si>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</si>
  <si>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</si>
  <si>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</si>
  <si>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</si>
  <si>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</si>
  <si>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</si>
  <si>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</si>
  <si>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</si>
  <si>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</si>
  <si>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</si>
  <si>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</si>
  <si>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</si>
  <si>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</si>
  <si>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</si>
  <si>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</si>
  <si>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</si>
  <si>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</si>
  <si>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</si>
  <si>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</si>
  <si>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</si>
  <si>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</si>
  <si>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</si>
  <si>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</si>
  <si>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</si>
  <si>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</si>
  <si>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</si>
  <si>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</si>
  <si>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</si>
  <si>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</si>
  <si>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</si>
  <si>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</si>
  <si>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</si>
  <si>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</si>
  <si>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</si>
  <si>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</si>
  <si>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</si>
  <si>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</si>
  <si>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</si>
  <si>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</si>
  <si>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</si>
  <si>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</si>
  <si>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</si>
  <si>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</si>
  <si>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</si>
  <si>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</si>
  <si>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</si>
  <si>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</si>
  <si>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</si>
  <si>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</si>
  <si>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</si>
  <si>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</si>
  <si>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Peterbilt</t>
  </si>
  <si>
    <t>serial #2</t>
  </si>
  <si>
    <t>v 1.0.3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</si>
  <si>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</si>
  <si>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</si>
  <si>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</si>
  <si>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</si>
  <si>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</si>
  <si>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</si>
  <si>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</si>
  <si>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</si>
  <si>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</si>
  <si>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Truck No.8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</si>
  <si>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</si>
  <si>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</si>
  <si>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</si>
  <si>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</si>
  <si>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</si>
  <si>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</si>
  <si>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</si>
  <si>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</si>
  <si>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</si>
  <si>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AWM-39</t>
  </si>
  <si>
    <t>Contact 1</t>
  </si>
  <si>
    <t>Vehicle Sale / Purchase</t>
  </si>
  <si>
    <t>Non-Road / Off-Road</t>
  </si>
  <si>
    <t>Serial123</t>
  </si>
  <si>
    <t>Modl123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</si>
</sst>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70.emf"/><Relationship Id="rId18" Type="http://schemas.openxmlformats.org/officeDocument/2006/relationships/image" Target="../media/image53.emf"/><Relationship Id="rId3" Type="http://schemas.openxmlformats.org/officeDocument/2006/relationships/image" Target="../media/image68.emf"/><Relationship Id="rId21" Type="http://schemas.openxmlformats.org/officeDocument/2006/relationships/image" Target="../media/image71.emf"/><Relationship Id="rId7" Type="http://schemas.openxmlformats.org/officeDocument/2006/relationships/image" Target="../media/image63.emf"/><Relationship Id="rId12" Type="http://schemas.openxmlformats.org/officeDocument/2006/relationships/image" Target="../media/image58.emf"/><Relationship Id="rId17" Type="http://schemas.openxmlformats.org/officeDocument/2006/relationships/image" Target="../media/image54.emf"/><Relationship Id="rId2" Type="http://schemas.openxmlformats.org/officeDocument/2006/relationships/image" Target="../media/image67.emf"/><Relationship Id="rId16" Type="http://schemas.openxmlformats.org/officeDocument/2006/relationships/image" Target="../media/image55.emf"/><Relationship Id="rId20" Type="http://schemas.openxmlformats.org/officeDocument/2006/relationships/image" Target="../media/image51.emf"/><Relationship Id="rId1" Type="http://schemas.openxmlformats.org/officeDocument/2006/relationships/image" Target="../media/image66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5" Type="http://schemas.openxmlformats.org/officeDocument/2006/relationships/image" Target="../media/image56.emf"/><Relationship Id="rId23" Type="http://schemas.openxmlformats.org/officeDocument/2006/relationships/image" Target="../media/image49.emf"/><Relationship Id="rId10" Type="http://schemas.openxmlformats.org/officeDocument/2006/relationships/image" Target="../media/image60.emf"/><Relationship Id="rId19" Type="http://schemas.openxmlformats.org/officeDocument/2006/relationships/image" Target="../media/image52.emf"/><Relationship Id="rId4" Type="http://schemas.openxmlformats.org/officeDocument/2006/relationships/image" Target="../media/image69.emf"/><Relationship Id="rId9" Type="http://schemas.openxmlformats.org/officeDocument/2006/relationships/image" Target="../media/image61.emf"/><Relationship Id="rId14" Type="http://schemas.openxmlformats.org/officeDocument/2006/relationships/image" Target="../media/image57.emf"/><Relationship Id="rId22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11" Type="http://schemas.openxmlformats.org/officeDocument/2006/relationships/image" Target="../media/image87.emf"/><Relationship Id="rId5" Type="http://schemas.openxmlformats.org/officeDocument/2006/relationships/image" Target="../media/image81.emf"/><Relationship Id="rId10" Type="http://schemas.openxmlformats.org/officeDocument/2006/relationships/image" Target="../media/image86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8.xml"/><Relationship Id="rId47" Type="http://schemas.openxmlformats.org/officeDocument/2006/relationships/control" Target="../activeX/activeX72.xml"/><Relationship Id="rId50" Type="http://schemas.openxmlformats.org/officeDocument/2006/relationships/image" Target="../media/image70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control" Target="../activeX/activeX70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image" Target="../media/image68.emf"/><Relationship Id="rId52" Type="http://schemas.openxmlformats.org/officeDocument/2006/relationships/image" Target="../media/image71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69.xml"/><Relationship Id="rId48" Type="http://schemas.openxmlformats.org/officeDocument/2006/relationships/image" Target="../media/image69.emf"/><Relationship Id="rId8" Type="http://schemas.openxmlformats.org/officeDocument/2006/relationships/control" Target="../activeX/activeX51.xml"/><Relationship Id="rId51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6.xml"/><Relationship Id="rId18" Type="http://schemas.openxmlformats.org/officeDocument/2006/relationships/image" Target="../media/image82.emf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90.xml"/><Relationship Id="rId7" Type="http://schemas.openxmlformats.org/officeDocument/2006/relationships/control" Target="../activeX/activeX82.xml"/><Relationship Id="rId12" Type="http://schemas.openxmlformats.org/officeDocument/2006/relationships/image" Target="../media/image79.emf"/><Relationship Id="rId17" Type="http://schemas.openxmlformats.org/officeDocument/2006/relationships/control" Target="../activeX/activeX88.xml"/><Relationship Id="rId25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5.xml"/><Relationship Id="rId24" Type="http://schemas.openxmlformats.org/officeDocument/2006/relationships/control" Target="../activeX/activeX92.xml"/><Relationship Id="rId5" Type="http://schemas.openxmlformats.org/officeDocument/2006/relationships/image" Target="../media/image77.emf"/><Relationship Id="rId15" Type="http://schemas.openxmlformats.org/officeDocument/2006/relationships/control" Target="../activeX/activeX87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5.xml"/><Relationship Id="rId10" Type="http://schemas.openxmlformats.org/officeDocument/2006/relationships/control" Target="../activeX/activeX84.xml"/><Relationship Id="rId19" Type="http://schemas.openxmlformats.org/officeDocument/2006/relationships/control" Target="../activeX/activeX89.xml"/><Relationship Id="rId31" Type="http://schemas.openxmlformats.org/officeDocument/2006/relationships/image" Target="../media/image87.emf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image" Target="../media/image80.emf"/><Relationship Id="rId22" Type="http://schemas.openxmlformats.org/officeDocument/2006/relationships/image" Target="../media/image84.emf"/><Relationship Id="rId27" Type="http://schemas.openxmlformats.org/officeDocument/2006/relationships/image" Target="../media/image85.emf"/><Relationship Id="rId30" Type="http://schemas.openxmlformats.org/officeDocument/2006/relationships/control" Target="../activeX/activeX9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T16" sqref="T16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229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203</v>
      </c>
      <c r="E3" s="37"/>
    </row>
    <row r="4" spans="2:5" ht="30" customHeight="1" x14ac:dyDescent="0.25">
      <c r="B4" s="11" t="s">
        <v>198</v>
      </c>
      <c r="C4" s="14" t="s">
        <v>207</v>
      </c>
      <c r="E4" s="34"/>
    </row>
    <row r="5" spans="2:5" ht="30" customHeight="1" x14ac:dyDescent="0.25">
      <c r="B5" s="11" t="s">
        <v>44</v>
      </c>
      <c r="C5" s="14" t="s">
        <v>204</v>
      </c>
      <c r="E5" s="37"/>
    </row>
    <row r="6" spans="2:5" ht="30" customHeight="1" x14ac:dyDescent="0.25">
      <c r="B6" s="11" t="s">
        <v>45</v>
      </c>
      <c r="C6" s="14" t="s">
        <v>201</v>
      </c>
    </row>
    <row r="7" spans="2:5" ht="30" customHeight="1" x14ac:dyDescent="0.25">
      <c r="B7" s="11" t="s">
        <v>46</v>
      </c>
      <c r="C7" s="14" t="s">
        <v>205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206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178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230</v>
      </c>
      <c r="D4" s="37"/>
    </row>
    <row r="5" spans="1:4" ht="30" customHeight="1" x14ac:dyDescent="0.25">
      <c r="A5" s="5" t="s">
        <v>1</v>
      </c>
      <c r="B5" s="14" t="s">
        <v>231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232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174</v>
      </c>
      <c r="B10" s="14" t="s">
        <v>220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A3" sqref="A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210</v>
      </c>
      <c r="B3" s="57" t="s">
        <v>201</v>
      </c>
      <c r="D3" s="37"/>
    </row>
    <row r="4" spans="1:4" ht="30" customHeight="1" x14ac:dyDescent="0.25">
      <c r="A4" s="5" t="s">
        <v>32</v>
      </c>
      <c r="B4" s="57" t="s">
        <v>239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201</v>
      </c>
    </row>
    <row r="7" spans="1:4" ht="30" customHeight="1" x14ac:dyDescent="0.25">
      <c r="A7" s="5" t="s">
        <v>11</v>
      </c>
      <c r="B7" s="14">
        <v>1980</v>
      </c>
    </row>
    <row r="8" spans="1:4" ht="30" customHeight="1" x14ac:dyDescent="0.25">
      <c r="A8" s="5" t="s">
        <v>199</v>
      </c>
      <c r="B8" s="14">
        <v>0</v>
      </c>
    </row>
    <row r="9" spans="1:4" ht="30" customHeight="1" x14ac:dyDescent="0.25">
      <c r="A9" s="5" t="s">
        <v>200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228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208</v>
      </c>
      <c r="B3" s="14" t="s">
        <v>209</v>
      </c>
      <c r="E3" t="s">
        <v>202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247</v>
      </c>
      <c r="E3" s="37"/>
    </row>
    <row r="4" spans="1:5" ht="30" customHeight="1" x14ac:dyDescent="0.25">
      <c r="A4" s="5" t="s">
        <v>37</v>
      </c>
      <c r="B4" s="58" t="s">
        <v>248</v>
      </c>
    </row>
    <row r="5" spans="1:5" ht="30" customHeight="1" x14ac:dyDescent="0.25">
      <c r="A5" s="5" t="s">
        <v>13</v>
      </c>
      <c r="B5" s="14" t="s">
        <v>201</v>
      </c>
    </row>
    <row r="6" spans="1:5" ht="30" customHeight="1" x14ac:dyDescent="0.25">
      <c r="A6" s="5" t="s">
        <v>35</v>
      </c>
      <c r="B6" s="14" t="s">
        <v>124</v>
      </c>
    </row>
    <row r="7" spans="1:5" ht="30" customHeight="1" x14ac:dyDescent="0.25">
      <c r="A7" s="5" t="s">
        <v>14</v>
      </c>
      <c r="B7" s="14" t="s">
        <v>125</v>
      </c>
    </row>
    <row r="8" spans="1:5" ht="30" customHeight="1" x14ac:dyDescent="0.25">
      <c r="A8" s="5" t="s">
        <v>38</v>
      </c>
      <c r="B8" s="111" t="s">
        <v>246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181</v>
      </c>
      <c r="E4" s="45"/>
    </row>
    <row r="5" spans="2:10" ht="18" customHeight="1" x14ac:dyDescent="0.25">
      <c r="B5" s="5" t="s">
        <v>182</v>
      </c>
      <c r="C5" s="1"/>
      <c r="J5" s="5"/>
    </row>
    <row r="6" spans="2:10" ht="18" customHeight="1" x14ac:dyDescent="0.25">
      <c r="B6" s="5" t="s">
        <v>238</v>
      </c>
      <c r="C6" s="53">
        <v>43608.71115127315</v>
      </c>
      <c r="J6" s="5"/>
    </row>
    <row r="7" spans="2:10" ht="18" customHeight="1" x14ac:dyDescent="0.25">
      <c r="B7" s="5" t="s">
        <v>233</v>
      </c>
      <c r="C7" s="2"/>
    </row>
    <row r="8" spans="2:10" ht="18" customHeight="1" x14ac:dyDescent="0.25">
      <c r="B8" s="5" t="s">
        <v>234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183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235</v>
      </c>
      <c r="C13" s="1"/>
    </row>
    <row r="14" spans="2:10" ht="18" customHeight="1" x14ac:dyDescent="0.25">
      <c r="B14" s="5" t="s">
        <v>236</v>
      </c>
      <c r="C14" s="54">
        <v>2121</v>
      </c>
    </row>
    <row r="15" spans="2:10" ht="18" customHeight="1" x14ac:dyDescent="0.25">
      <c r="B15" s="5" t="s">
        <v>237</v>
      </c>
      <c r="C15" s="53">
        <v>1212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autoPict="0" r:id="rId7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8" name="cmdQAProcess">
          <controlPr defaultSize="0" autoLine="0" autoPict="0" r:id="rId9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8" name="cmdQAProcess"/>
      </mc:Fallback>
    </mc:AlternateContent>
    <mc:AlternateContent xmlns:mc="http://schemas.openxmlformats.org/markup-compatibility/2006">
      <mc:Choice Requires="x14">
        <control shapeId="21537" r:id="rId10" name="cmdQuality">
          <controlPr defaultSize="0" autoLine="0" autoPict="0" altText="" r:id="rId11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10" name="cmdQuality"/>
      </mc:Fallback>
    </mc:AlternateContent>
    <mc:AlternateContent xmlns:mc="http://schemas.openxmlformats.org/markup-compatibility/2006">
      <mc:Choice Requires="x14">
        <control shapeId="21536" r:id="rId12" name="cmdECD">
          <controlPr defaultSize="0" autoLine="0" r:id="rId1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2" name="cmdECD"/>
      </mc:Fallback>
    </mc:AlternateContent>
    <mc:AlternateContent xmlns:mc="http://schemas.openxmlformats.org/markup-compatibility/2006">
      <mc:Choice Requires="x14">
        <control shapeId="21535" r:id="rId14" name="cmdEngine">
          <controlPr defaultSize="0" autoLine="0" r:id="rId15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4" name="cmdEngine"/>
      </mc:Fallback>
    </mc:AlternateContent>
    <mc:AlternateContent xmlns:mc="http://schemas.openxmlformats.org/markup-compatibility/2006">
      <mc:Choice Requires="x14">
        <control shapeId="21534" r:id="rId16" name="cmdVehicle">
          <controlPr defaultSize="0" autoLine="0" r:id="rId1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6" name="cmdVehicle"/>
      </mc:Fallback>
    </mc:AlternateContent>
    <mc:AlternateContent xmlns:mc="http://schemas.openxmlformats.org/markup-compatibility/2006">
      <mc:Choice Requires="x14">
        <control shapeId="21533" r:id="rId18" name="cbSalesID">
          <controlPr defaultSize="0" autoFill="0" autoLine="0" r:id="rId1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8" name="cbSalesID"/>
      </mc:Fallback>
    </mc:AlternateContent>
    <mc:AlternateContent xmlns:mc="http://schemas.openxmlformats.org/markup-compatibility/2006">
      <mc:Choice Requires="x14">
        <control shapeId="21532" r:id="rId20" name="cbBillingCompany">
          <controlPr defaultSize="0" autoFill="0" autoLine="0" r:id="rId2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20" name="cbBillingCompany"/>
      </mc:Fallback>
    </mc:AlternateContent>
    <mc:AlternateContent xmlns:mc="http://schemas.openxmlformats.org/markup-compatibility/2006">
      <mc:Choice Requires="x14">
        <control shapeId="21530" r:id="rId22" name="cbCleaningReason">
          <controlPr defaultSize="0" autoFill="0" autoLine="0" autoPict="0" r:id="rId2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2" name="cbCleaningReason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25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6" r:id="rId30" name="cbVehicle">
          <controlPr defaultSize="0" autoFill="0" autoLine="0" r:id="rId3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30" name="cbVehicle"/>
      </mc:Fallback>
    </mc:AlternateContent>
    <mc:AlternateContent xmlns:mc="http://schemas.openxmlformats.org/markup-compatibility/2006">
      <mc:Choice Requires="x14">
        <control shapeId="21525" r:id="rId32" name="cbCompLocation">
          <controlPr defaultSize="0" autoFill="0" autoLine="0" r:id="rId3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2" name="cbCompLocation"/>
      </mc:Fallback>
    </mc:AlternateContent>
    <mc:AlternateContent xmlns:mc="http://schemas.openxmlformats.org/markup-compatibility/2006">
      <mc:Choice Requires="x14">
        <control shapeId="21523" r:id="rId34" name="cbCompany">
          <controlPr defaultSize="0" autoFill="0" autoLine="0" r:id="rId35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4" name="cbCompany"/>
      </mc:Fallback>
    </mc:AlternateContent>
    <mc:AlternateContent xmlns:mc="http://schemas.openxmlformats.org/markup-compatibility/2006">
      <mc:Choice Requires="x14">
        <control shapeId="21522" r:id="rId36" name="cbDPF">
          <controlPr defaultSize="0" autoFill="0" autoLine="0" r:id="rId37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6" name="cbDPF"/>
      </mc:Fallback>
    </mc:AlternateContent>
    <mc:AlternateContent xmlns:mc="http://schemas.openxmlformats.org/markup-compatibility/2006">
      <mc:Choice Requires="x14">
        <control shapeId="21505" r:id="rId38" name="chkOvrRdHw">
          <controlPr autoLine="0" autoPict="0" r:id="rId39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8" name="chkOvrRdHw"/>
      </mc:Fallback>
    </mc:AlternateContent>
    <mc:AlternateContent xmlns:mc="http://schemas.openxmlformats.org/markup-compatibility/2006">
      <mc:Choice Requires="x14">
        <control shapeId="21506" r:id="rId40" name="chkStartStop">
          <controlPr autoLine="0" autoPict="0" r:id="rId4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40" name="chkStartStop"/>
      </mc:Fallback>
    </mc:AlternateContent>
    <mc:AlternateContent xmlns:mc="http://schemas.openxmlformats.org/markup-compatibility/2006">
      <mc:Choice Requires="x14">
        <control shapeId="21507" r:id="rId42" name="chkHighIdle">
          <controlPr autoLine="0" autoPict="0" r:id="rId4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2" name="chkHighIdle"/>
      </mc:Fallback>
    </mc:AlternateContent>
    <mc:AlternateContent xmlns:mc="http://schemas.openxmlformats.org/markup-compatibility/2006">
      <mc:Choice Requires="x14">
        <control shapeId="21508" r:id="rId43" name="chkPreventMaint">
          <controlPr autoLine="0" autoPict="0" r:id="rId44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3" name="chkPreventMaint"/>
      </mc:Fallback>
    </mc:AlternateContent>
    <mc:AlternateContent xmlns:mc="http://schemas.openxmlformats.org/markup-compatibility/2006">
      <mc:Choice Requires="x14">
        <control shapeId="21509" r:id="rId45" name="chkHighSootLoad">
          <controlPr autoLine="0" autoPict="0" r:id="rId4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5" name="chkHighSootLoad"/>
      </mc:Fallback>
    </mc:AlternateContent>
    <mc:AlternateContent xmlns:mc="http://schemas.openxmlformats.org/markup-compatibility/2006">
      <mc:Choice Requires="x14">
        <control shapeId="21510" r:id="rId46" name="chkEngineFail">
          <controlPr autoLine="0" autoPict="0" r:id="rId4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6" name="chkEngineFail"/>
      </mc:Fallback>
    </mc:AlternateContent>
    <mc:AlternateContent xmlns:mc="http://schemas.openxmlformats.org/markup-compatibility/2006">
      <mc:Choice Requires="x14">
        <control shapeId="21518" r:id="rId47" name="cmdSave">
          <controlPr defaultSize="0" autoFill="0" autoLine="0" r:id="rId48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7" name="cmdSave"/>
      </mc:Fallback>
    </mc:AlternateContent>
    <mc:AlternateContent xmlns:mc="http://schemas.openxmlformats.org/markup-compatibility/2006">
      <mc:Choice Requires="x14">
        <control shapeId="21531" r:id="rId49" name="cmdMenu">
          <controlPr autoLine="0" r:id="rId50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9" name="cmdMenu"/>
      </mc:Fallback>
    </mc:AlternateContent>
    <mc:AlternateContent xmlns:mc="http://schemas.openxmlformats.org/markup-compatibility/2006">
      <mc:Choice Requires="x14">
        <control shapeId="21539" r:id="rId51" name="cmdReport">
          <controlPr defaultSize="0" autoLine="0" altText="" r:id="rId52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51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94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147</v>
      </c>
      <c r="M1" t="s">
        <v>148</v>
      </c>
      <c r="N1" t="s">
        <v>149</v>
      </c>
      <c r="O1" t="s">
        <v>150</v>
      </c>
      <c r="P1" t="s">
        <v>151</v>
      </c>
      <c r="Q1" t="s">
        <v>152</v>
      </c>
      <c r="R1" t="s">
        <v>153</v>
      </c>
      <c r="S1" t="s">
        <v>154</v>
      </c>
      <c r="T1" t="s">
        <v>155</v>
      </c>
      <c r="U1" t="s">
        <v>156</v>
      </c>
      <c r="V1" t="s">
        <v>157</v>
      </c>
      <c r="W1" t="s">
        <v>158</v>
      </c>
      <c r="X1" t="s">
        <v>159</v>
      </c>
      <c r="Y1" t="s">
        <v>160</v>
      </c>
      <c r="Z1" t="s">
        <v>161</v>
      </c>
      <c r="AA1" t="s">
        <v>162</v>
      </c>
      <c r="AB1" t="s">
        <v>163</v>
      </c>
      <c r="AC1" t="s">
        <v>164</v>
      </c>
      <c r="AD1" t="s">
        <v>165</v>
      </c>
      <c r="AE1" t="s">
        <v>166</v>
      </c>
      <c r="AF1" t="s">
        <v>167</v>
      </c>
      <c r="AG1" t="s">
        <v>168</v>
      </c>
      <c r="AH1" t="s">
        <v>169</v>
      </c>
      <c r="AI1" t="s">
        <v>170</v>
      </c>
      <c r="AJ1" t="s">
        <v>171</v>
      </c>
      <c r="AK1" t="s">
        <v>94</v>
      </c>
      <c r="AL1" t="s">
        <v>212</v>
      </c>
      <c r="AM1" t="s">
        <v>174</v>
      </c>
      <c r="AN1" t="s">
        <v>175</v>
      </c>
      <c r="AO1" t="s">
        <v>95</v>
      </c>
      <c r="AP1" t="s">
        <v>96</v>
      </c>
      <c r="AQ1" t="s">
        <v>97</v>
      </c>
      <c r="AR1" t="s">
        <v>176</v>
      </c>
      <c r="AS1" t="s">
        <v>98</v>
      </c>
      <c r="AT1" t="s">
        <v>99</v>
      </c>
      <c r="AU1" t="s">
        <v>100</v>
      </c>
      <c r="AV1" t="s">
        <v>177</v>
      </c>
      <c r="AW1" t="s">
        <v>213</v>
      </c>
      <c r="AX1" t="s">
        <v>214</v>
      </c>
      <c r="AY1" t="s">
        <v>187</v>
      </c>
      <c r="AZ1" t="s">
        <v>184</v>
      </c>
      <c r="BA1" t="s">
        <v>215</v>
      </c>
      <c r="BB1" t="s">
        <v>103</v>
      </c>
      <c r="BC1" t="s">
        <v>104</v>
      </c>
      <c r="BD1" t="s">
        <v>105</v>
      </c>
      <c r="BE1" t="s">
        <v>106</v>
      </c>
      <c r="BF1" t="s">
        <v>185</v>
      </c>
      <c r="BG1" t="s">
        <v>186</v>
      </c>
      <c r="BH1" t="s">
        <v>102</v>
      </c>
      <c r="BI1" t="s">
        <v>215</v>
      </c>
      <c r="BJ1" t="s">
        <v>108</v>
      </c>
      <c r="BK1" t="s">
        <v>28</v>
      </c>
      <c r="BL1" t="s">
        <v>2</v>
      </c>
      <c r="BM1" t="s">
        <v>4</v>
      </c>
      <c r="BN1" t="s">
        <v>107</v>
      </c>
      <c r="BO1" t="s">
        <v>3</v>
      </c>
      <c r="BP1" t="s">
        <v>29</v>
      </c>
      <c r="BQ1" t="s">
        <v>108</v>
      </c>
      <c r="BR1" t="s">
        <v>28</v>
      </c>
      <c r="BS1" t="s">
        <v>2</v>
      </c>
      <c r="BT1" t="s">
        <v>4</v>
      </c>
      <c r="BU1" t="s">
        <v>107</v>
      </c>
      <c r="BV1" t="s">
        <v>3</v>
      </c>
      <c r="BW1" t="s">
        <v>109</v>
      </c>
      <c r="BX1" t="s">
        <v>101</v>
      </c>
      <c r="BY1" t="s">
        <v>110</v>
      </c>
      <c r="BZ1" t="s">
        <v>111</v>
      </c>
      <c r="CA1" t="s">
        <v>14</v>
      </c>
      <c r="CB1" t="s">
        <v>10</v>
      </c>
      <c r="CC1" t="s">
        <v>11</v>
      </c>
      <c r="CD1" t="s">
        <v>216</v>
      </c>
      <c r="CE1" t="s">
        <v>217</v>
      </c>
      <c r="CF1" t="s">
        <v>101</v>
      </c>
      <c r="CG1" t="s">
        <v>14</v>
      </c>
      <c r="CH1" t="s">
        <v>110</v>
      </c>
      <c r="CI1" t="s">
        <v>10</v>
      </c>
      <c r="CJ1" t="s">
        <v>11</v>
      </c>
      <c r="CK1" t="s">
        <v>112</v>
      </c>
      <c r="CL1" t="s">
        <v>113</v>
      </c>
      <c r="CM1" t="s">
        <v>114</v>
      </c>
      <c r="CN1" t="s">
        <v>218</v>
      </c>
      <c r="CO1" t="s">
        <v>14</v>
      </c>
      <c r="CP1" t="s">
        <v>115</v>
      </c>
      <c r="CQ1" t="s">
        <v>116</v>
      </c>
      <c r="CR1" t="s">
        <v>117</v>
      </c>
      <c r="CS1" t="s">
        <v>118</v>
      </c>
      <c r="CT1" t="s">
        <v>110</v>
      </c>
      <c r="CU1" t="s">
        <v>119</v>
      </c>
      <c r="CV1" t="s">
        <v>120</v>
      </c>
      <c r="CW1" t="s">
        <v>121</v>
      </c>
      <c r="CX1" t="s">
        <v>122</v>
      </c>
      <c r="CY1" t="s">
        <v>123</v>
      </c>
      <c r="CZ1" t="s">
        <v>126</v>
      </c>
      <c r="DA1" t="s">
        <v>127</v>
      </c>
      <c r="DB1" t="s">
        <v>128</v>
      </c>
      <c r="DC1" t="s">
        <v>129</v>
      </c>
      <c r="DD1" t="s">
        <v>193</v>
      </c>
      <c r="DE1" t="s">
        <v>130</v>
      </c>
      <c r="DF1" t="s">
        <v>131</v>
      </c>
      <c r="DG1" t="s">
        <v>132</v>
      </c>
      <c r="DH1" t="s">
        <v>133</v>
      </c>
      <c r="DI1" t="s">
        <v>194</v>
      </c>
      <c r="DJ1" t="s">
        <v>195</v>
      </c>
      <c r="DK1" t="s">
        <v>196</v>
      </c>
      <c r="DL1" t="s">
        <v>197</v>
      </c>
      <c r="DM1" t="s">
        <v>134</v>
      </c>
      <c r="DN1" t="s">
        <v>135</v>
      </c>
      <c r="DO1" t="s">
        <v>136</v>
      </c>
    </row>
    <row r="2" spans="1:119" ht="45" x14ac:dyDescent="0.25">
      <c r="AK2">
        <v>47</v>
      </c>
      <c r="AL2" t="s">
        <v>249</v>
      </c>
      <c r="AM2" t="s">
        <v>250</v>
      </c>
      <c r="AN2">
        <v>0</v>
      </c>
      <c r="AO2" t="b">
        <v>1</v>
      </c>
      <c r="AP2" t="b">
        <v>0</v>
      </c>
      <c r="AQ2" t="b">
        <v>0</v>
      </c>
      <c r="AR2" t="s">
        <v>251</v>
      </c>
      <c r="AS2" t="b">
        <v>1</v>
      </c>
      <c r="AT2" t="b">
        <v>0</v>
      </c>
      <c r="AU2" t="b">
        <v>0</v>
      </c>
      <c r="AV2" t="s">
        <v>252</v>
      </c>
      <c r="AW2">
        <v>2121</v>
      </c>
      <c r="AX2">
        <v>1212</v>
      </c>
      <c r="AY2" s="36">
        <v>43608.71115127315</v>
      </c>
      <c r="AZ2" t="s">
        <v>203</v>
      </c>
      <c r="BA2" t="s">
        <v>207</v>
      </c>
      <c r="BB2" t="s">
        <v>204</v>
      </c>
      <c r="BD2" t="s">
        <v>205</v>
      </c>
      <c r="BE2" t="s">
        <v>206</v>
      </c>
      <c r="BF2">
        <v>1</v>
      </c>
      <c r="BG2" t="s">
        <v>219</v>
      </c>
      <c r="BH2" t="s">
        <v>203</v>
      </c>
      <c r="BI2" t="s">
        <v>207</v>
      </c>
      <c r="BJ2" t="s">
        <v>204</v>
      </c>
      <c r="BL2" t="s">
        <v>205</v>
      </c>
      <c r="BM2" t="s">
        <v>206</v>
      </c>
      <c r="BN2">
        <v>1</v>
      </c>
      <c r="BO2" t="s">
        <v>219</v>
      </c>
      <c r="BP2" t="s">
        <v>204</v>
      </c>
      <c r="BQ2" t="s">
        <v>204</v>
      </c>
      <c r="BS2" t="s">
        <v>205</v>
      </c>
      <c r="BT2" t="s">
        <v>220</v>
      </c>
      <c r="BU2">
        <v>1</v>
      </c>
      <c r="BV2" t="s">
        <v>219</v>
      </c>
      <c r="BW2">
        <v>4</v>
      </c>
      <c r="BX2">
        <v>18</v>
      </c>
      <c r="BZ2" t="s">
        <v>239</v>
      </c>
      <c r="CA2" t="s">
        <v>227</v>
      </c>
      <c r="CC2">
        <v>1980</v>
      </c>
      <c r="CD2">
        <v>0</v>
      </c>
      <c r="CE2">
        <v>0</v>
      </c>
      <c r="CF2">
        <v>18</v>
      </c>
      <c r="CG2" t="s">
        <v>124</v>
      </c>
      <c r="CH2" t="s">
        <v>253</v>
      </c>
      <c r="CI2" t="s">
        <v>254</v>
      </c>
      <c r="CJ2">
        <v>2016</v>
      </c>
      <c r="CK2">
        <v>15</v>
      </c>
      <c r="CL2">
        <v>2</v>
      </c>
      <c r="CM2" s="114" t="s">
        <v>246</v>
      </c>
      <c r="CN2">
        <v>1</v>
      </c>
      <c r="CO2" t="s">
        <v>124</v>
      </c>
      <c r="CP2">
        <v>1</v>
      </c>
      <c r="CQ2" t="s">
        <v>125</v>
      </c>
      <c r="CR2">
        <v>0</v>
      </c>
      <c r="CS2" t="s">
        <v>248</v>
      </c>
      <c r="CT2" t="s">
        <v>247</v>
      </c>
      <c r="CV2">
        <v>13</v>
      </c>
      <c r="CW2">
        <v>12</v>
      </c>
      <c r="CX2">
        <v>12</v>
      </c>
      <c r="CY2">
        <v>11</v>
      </c>
    </row>
    <row r="3" spans="1:119" ht="45" x14ac:dyDescent="0.25">
      <c r="AK3">
        <v>47</v>
      </c>
      <c r="AL3" t="s">
        <v>249</v>
      </c>
      <c r="AM3" t="s">
        <v>250</v>
      </c>
      <c r="AN3">
        <v>0</v>
      </c>
      <c r="AO3" t="b">
        <v>1</v>
      </c>
      <c r="AP3" t="b">
        <v>0</v>
      </c>
      <c r="AQ3" t="b">
        <v>0</v>
      </c>
      <c r="AR3" t="s">
        <v>251</v>
      </c>
      <c r="AS3" t="b">
        <v>1</v>
      </c>
      <c r="AT3" t="b">
        <v>0</v>
      </c>
      <c r="AU3" t="b">
        <v>0</v>
      </c>
      <c r="AV3" t="s">
        <v>252</v>
      </c>
      <c r="AW3">
        <v>2121</v>
      </c>
      <c r="AX3">
        <v>1212</v>
      </c>
      <c r="AY3" s="36">
        <v>43608.71115127315</v>
      </c>
      <c r="AZ3" t="s">
        <v>203</v>
      </c>
      <c r="BA3" t="s">
        <v>207</v>
      </c>
      <c r="BB3" t="s">
        <v>204</v>
      </c>
      <c r="BD3" t="s">
        <v>205</v>
      </c>
      <c r="BE3" t="s">
        <v>206</v>
      </c>
      <c r="BF3">
        <v>1</v>
      </c>
      <c r="BG3" t="s">
        <v>219</v>
      </c>
      <c r="BH3" t="s">
        <v>203</v>
      </c>
      <c r="BI3" t="s">
        <v>207</v>
      </c>
      <c r="BJ3" t="s">
        <v>204</v>
      </c>
      <c r="BL3" t="s">
        <v>205</v>
      </c>
      <c r="BM3" t="s">
        <v>206</v>
      </c>
      <c r="BN3">
        <v>1</v>
      </c>
      <c r="BO3" t="s">
        <v>219</v>
      </c>
      <c r="BP3" t="s">
        <v>204</v>
      </c>
      <c r="BQ3" t="s">
        <v>204</v>
      </c>
      <c r="BS3" t="s">
        <v>205</v>
      </c>
      <c r="BT3" t="s">
        <v>220</v>
      </c>
      <c r="BU3">
        <v>1</v>
      </c>
      <c r="BV3" t="s">
        <v>219</v>
      </c>
      <c r="BW3">
        <v>4</v>
      </c>
      <c r="BX3">
        <v>18</v>
      </c>
      <c r="BZ3" t="s">
        <v>239</v>
      </c>
      <c r="CA3" t="s">
        <v>227</v>
      </c>
      <c r="CC3">
        <v>1980</v>
      </c>
      <c r="CD3">
        <v>0</v>
      </c>
      <c r="CE3">
        <v>0</v>
      </c>
      <c r="CF3">
        <v>18</v>
      </c>
      <c r="CG3" t="s">
        <v>124</v>
      </c>
      <c r="CH3" t="s">
        <v>253</v>
      </c>
      <c r="CI3" t="s">
        <v>254</v>
      </c>
      <c r="CJ3">
        <v>2016</v>
      </c>
      <c r="CK3">
        <v>15</v>
      </c>
      <c r="CL3">
        <v>2</v>
      </c>
      <c r="CM3" s="114" t="s">
        <v>246</v>
      </c>
      <c r="CN3">
        <v>1</v>
      </c>
      <c r="CO3" t="s">
        <v>124</v>
      </c>
      <c r="CP3">
        <v>1</v>
      </c>
      <c r="CQ3" t="s">
        <v>125</v>
      </c>
      <c r="CR3">
        <v>0</v>
      </c>
      <c r="CS3" t="s">
        <v>248</v>
      </c>
      <c r="CT3" t="s">
        <v>247</v>
      </c>
      <c r="CV3">
        <v>13</v>
      </c>
      <c r="CW3">
        <v>12</v>
      </c>
      <c r="CX3">
        <v>12</v>
      </c>
      <c r="CY3">
        <v>11</v>
      </c>
    </row>
    <row r="4" spans="1:119" ht="45" x14ac:dyDescent="0.25">
      <c r="AK4">
        <v>47</v>
      </c>
      <c r="AL4" t="s">
        <v>249</v>
      </c>
      <c r="AM4" t="s">
        <v>250</v>
      </c>
      <c r="AN4">
        <v>0</v>
      </c>
      <c r="AO4" t="b">
        <v>1</v>
      </c>
      <c r="AP4" t="b">
        <v>0</v>
      </c>
      <c r="AQ4" t="b">
        <v>0</v>
      </c>
      <c r="AR4" t="s">
        <v>251</v>
      </c>
      <c r="AS4" t="b">
        <v>1</v>
      </c>
      <c r="AT4" t="b">
        <v>0</v>
      </c>
      <c r="AU4" t="b">
        <v>0</v>
      </c>
      <c r="AV4" t="s">
        <v>252</v>
      </c>
      <c r="AW4">
        <v>2121</v>
      </c>
      <c r="AX4">
        <v>1212</v>
      </c>
      <c r="AY4" s="36">
        <v>43608.71115127315</v>
      </c>
      <c r="AZ4" t="s">
        <v>203</v>
      </c>
      <c r="BA4" t="s">
        <v>207</v>
      </c>
      <c r="BB4" t="s">
        <v>204</v>
      </c>
      <c r="BD4" t="s">
        <v>205</v>
      </c>
      <c r="BE4" t="s">
        <v>206</v>
      </c>
      <c r="BF4">
        <v>1</v>
      </c>
      <c r="BG4" t="s">
        <v>219</v>
      </c>
      <c r="BH4" t="s">
        <v>203</v>
      </c>
      <c r="BI4" t="s">
        <v>207</v>
      </c>
      <c r="BJ4" t="s">
        <v>204</v>
      </c>
      <c r="BL4" t="s">
        <v>205</v>
      </c>
      <c r="BM4" t="s">
        <v>206</v>
      </c>
      <c r="BN4">
        <v>1</v>
      </c>
      <c r="BO4" t="s">
        <v>219</v>
      </c>
      <c r="BP4" t="s">
        <v>204</v>
      </c>
      <c r="BQ4" t="s">
        <v>204</v>
      </c>
      <c r="BS4" t="s">
        <v>205</v>
      </c>
      <c r="BT4" t="s">
        <v>220</v>
      </c>
      <c r="BU4">
        <v>1</v>
      </c>
      <c r="BV4" t="s">
        <v>219</v>
      </c>
      <c r="BW4">
        <v>4</v>
      </c>
      <c r="BX4">
        <v>18</v>
      </c>
      <c r="BZ4" t="s">
        <v>239</v>
      </c>
      <c r="CA4" t="s">
        <v>227</v>
      </c>
      <c r="CC4">
        <v>1980</v>
      </c>
      <c r="CD4">
        <v>0</v>
      </c>
      <c r="CE4">
        <v>0</v>
      </c>
      <c r="CF4">
        <v>18</v>
      </c>
      <c r="CG4" t="s">
        <v>124</v>
      </c>
      <c r="CH4" t="s">
        <v>253</v>
      </c>
      <c r="CI4" t="s">
        <v>254</v>
      </c>
      <c r="CJ4">
        <v>2016</v>
      </c>
      <c r="CK4">
        <v>15</v>
      </c>
      <c r="CL4">
        <v>2</v>
      </c>
      <c r="CM4" s="114" t="s">
        <v>246</v>
      </c>
      <c r="CN4">
        <v>1</v>
      </c>
      <c r="CO4" t="s">
        <v>124</v>
      </c>
      <c r="CP4">
        <v>1</v>
      </c>
      <c r="CQ4" t="s">
        <v>125</v>
      </c>
      <c r="CR4">
        <v>0</v>
      </c>
      <c r="CS4" t="s">
        <v>248</v>
      </c>
      <c r="CT4" t="s">
        <v>247</v>
      </c>
      <c r="CV4">
        <v>13</v>
      </c>
      <c r="CW4">
        <v>12</v>
      </c>
      <c r="CX4">
        <v>12</v>
      </c>
      <c r="CY4">
        <v>11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183</v>
      </c>
      <c r="C5" s="1"/>
    </row>
    <row r="6" spans="2:3" x14ac:dyDescent="0.25">
      <c r="B6" s="1"/>
      <c r="C6" s="2"/>
    </row>
    <row r="7" spans="2:3" x14ac:dyDescent="0.25">
      <c r="B7" s="5" t="s">
        <v>192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F22" sqref="F2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245</v>
      </c>
      <c r="B2" s="109">
        <v>47</v>
      </c>
      <c r="J2" s="19"/>
    </row>
    <row r="3" spans="1:10" ht="18" customHeight="1" x14ac:dyDescent="0.25">
      <c r="A3" s="40" t="s">
        <v>244</v>
      </c>
      <c r="B3" s="110" t="s">
        <v>240</v>
      </c>
      <c r="E3" s="40"/>
      <c r="F3" s="40"/>
      <c r="H3" s="10" t="s">
        <v>172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242</v>
      </c>
      <c r="B6" s="112">
        <f>(3.14*(SubDiameter/2)^2)*(SubLength)*(1/12)^3</f>
        <v>0.71958333333333335</v>
      </c>
      <c r="E6" s="1"/>
      <c r="F6" s="41"/>
      <c r="H6" s="10" t="s">
        <v>173</v>
      </c>
      <c r="I6" s="19"/>
      <c r="J6" s="19"/>
    </row>
    <row r="7" spans="1:10" ht="18" customHeight="1" x14ac:dyDescent="0.25">
      <c r="A7" s="40" t="s">
        <v>243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221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211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188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189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190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241</v>
      </c>
    </row>
    <row r="23" spans="1:9" ht="18" customHeight="1" x14ac:dyDescent="0.25">
      <c r="H23" s="40" t="s">
        <v>191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222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224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223</v>
      </c>
      <c r="F6" s="98"/>
      <c r="G6" s="67" t="s">
        <v>93</v>
      </c>
      <c r="H6" s="64"/>
    </row>
    <row r="7" spans="2:9" x14ac:dyDescent="0.25">
      <c r="B7" s="99" t="s">
        <v>179</v>
      </c>
      <c r="C7" s="97">
        <f>(3.14*(SubDiameter/2)^2)*(SubLength)*(1/12)^3</f>
        <v>0.71958333333333335</v>
      </c>
      <c r="D7" s="100"/>
      <c r="E7" s="64" t="s">
        <v>225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180</v>
      </c>
      <c r="C8" s="102">
        <f>Volume*28.317</f>
        <v>20.376441249999999</v>
      </c>
      <c r="D8" s="103"/>
      <c r="E8" s="104" t="s">
        <v>226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2019-06-16T19:43:44Z</dcterms:modified>
</cp:coreProperties>
</file>