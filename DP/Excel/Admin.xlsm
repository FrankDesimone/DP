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0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1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1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19080" yWindow="-120" windowWidth="19440" windowHeight="15150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r:id="rId10"/>
    <sheet name="Report" sheetId="20" state="hidden" r:id="rId11"/>
    <sheet name="Quality" sheetId="18" state="hidden" r:id="rId12"/>
    <sheet name="QAProcess" sheetId="19" state="hidden" r:id="rId13"/>
  </sheets>
  <functionGroups builtInGroupCount="18"/>
  <externalReferences>
    <externalReference r:id="rId14"/>
  </externalReferences>
  <definedNames>
    <definedName name="CleanChannels" localSheetId="11">Quality!$D$17</definedName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12">QAProcess!$C$5:$C$10</definedName>
    <definedName name="dpf" localSheetId="11">Quality!$C$5:$C$8</definedName>
    <definedName name="ecd" localSheetId="8">DPF!$F$57:$F$68</definedName>
    <definedName name="ecd" localSheetId="7">ECD!$B$4:$B$14</definedName>
    <definedName name="ecd" localSheetId="12">QAProcess!$C$5:$C$7</definedName>
    <definedName name="ecd" localSheetId="11">Quality!$C$5:$C$7</definedName>
    <definedName name="engine" localSheetId="8">DPF!$F$51:$F$54</definedName>
    <definedName name="engine" localSheetId="5">Engine!$B$5:$B$8</definedName>
    <definedName name="InletCells" localSheetId="11">Quality!$D$20:$F$24</definedName>
    <definedName name="manufacturer" localSheetId="6">Manufacturer!$B$3:$B$4</definedName>
    <definedName name="Mass0" localSheetId="11">Quality!$E$12</definedName>
    <definedName name="Mass1" localSheetId="11">Quality!$F$12</definedName>
    <definedName name="Mass2" localSheetId="11">Quality!$G$12</definedName>
    <definedName name="MaxHertz" localSheetId="12">QAProcess!$C$9</definedName>
    <definedName name="MaxSpaceVelocity" localSheetId="12">QAProcess!$C$8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Engine">Engine!$D$3</definedName>
    <definedName name="NoteReport">Report!$A$1</definedName>
    <definedName name="NoteVehicle">Vehicle!$D$3</definedName>
    <definedName name="P0a" localSheetId="12">QAProcess!$H$31</definedName>
    <definedName name="P0AirTemp" localSheetId="12">QAProcess!$D$14</definedName>
    <definedName name="P0b" localSheetId="12">QAProcess!$H$32</definedName>
    <definedName name="P0BackPress" localSheetId="12">QAProcess!$D$16</definedName>
    <definedName name="P0BaroPress" localSheetId="12">QAProcess!$D$15</definedName>
    <definedName name="P0c" localSheetId="10">[1]QAProcess!$H$36</definedName>
    <definedName name="P0c">QAProcess!$H$33</definedName>
    <definedName name="P0PSI" localSheetId="12">QAProcess!$D$19:$D$29</definedName>
    <definedName name="P0SV" localSheetId="12">QAProcess!$G$19:$G$29</definedName>
    <definedName name="P1a" localSheetId="12">QAProcess!$H$55</definedName>
    <definedName name="P1AirTemp" localSheetId="12">QAProcess!$D$38</definedName>
    <definedName name="P1b" localSheetId="12">QAProcess!$H$56</definedName>
    <definedName name="P1BackPress" localSheetId="12">QAProcess!$D$40</definedName>
    <definedName name="P1BaroPress" localSheetId="12">QAProcess!$D$39</definedName>
    <definedName name="P1c" localSheetId="12">QAProcess!$H$57</definedName>
    <definedName name="P1PSI" localSheetId="12">QAProcess!$D$43:$D$53</definedName>
    <definedName name="P1SV" localSheetId="12">QAProcess!$G$43:$G$53</definedName>
    <definedName name="P2a" localSheetId="12">QAProcess!$H$80</definedName>
    <definedName name="P2AirTemp" localSheetId="12">QAProcess!$D$63</definedName>
    <definedName name="P2b" localSheetId="12">QAProcess!$H$81</definedName>
    <definedName name="P2BackPress" localSheetId="12">QAProcess!$D$65</definedName>
    <definedName name="P2BaroPress" localSheetId="12">QAProcess!$D$64</definedName>
    <definedName name="P2c" localSheetId="12">QAProcess!$H$82</definedName>
    <definedName name="P2PSI">QAProcess!$D$68:$D$78</definedName>
    <definedName name="P2SV" localSheetId="12">QAProcess!$G$68:$G$78</definedName>
    <definedName name="SubDiameter" localSheetId="12">QAProcess!$C$6</definedName>
    <definedName name="SubLength" localSheetId="12">QAProcess!$C$7</definedName>
    <definedName name="vehicle" localSheetId="8">DPF!$F$41:$F$48</definedName>
    <definedName name="vehicle" localSheetId="4">Vehicle!$B$5:$B$9</definedName>
    <definedName name="Volume" localSheetId="12">QAProcess!$H$8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8" i="19" l="1"/>
  <c r="I77" i="19"/>
  <c r="I76" i="19"/>
  <c r="I75" i="19"/>
  <c r="I74" i="19"/>
  <c r="I73" i="19"/>
  <c r="I72" i="19"/>
  <c r="I71" i="19"/>
  <c r="I70" i="19"/>
  <c r="I69" i="19"/>
  <c r="I68" i="19"/>
  <c r="I53" i="19"/>
  <c r="I52" i="19"/>
  <c r="I51" i="19"/>
  <c r="I50" i="19"/>
  <c r="I49" i="19"/>
  <c r="I48" i="19"/>
  <c r="I47" i="19"/>
  <c r="I46" i="19"/>
  <c r="I45" i="19"/>
  <c r="I44" i="19"/>
  <c r="I43" i="19"/>
  <c r="I29" i="19"/>
  <c r="I28" i="19"/>
  <c r="I27" i="19"/>
  <c r="I26" i="19"/>
  <c r="I25" i="19"/>
  <c r="I24" i="19"/>
  <c r="I23" i="19"/>
  <c r="I22" i="19"/>
  <c r="I21" i="19"/>
  <c r="I20" i="19"/>
  <c r="I19" i="19"/>
  <c r="D61" i="19"/>
  <c r="D36" i="19"/>
  <c r="D12" i="19"/>
  <c r="H8" i="19" l="1"/>
  <c r="H46" i="19" l="1"/>
  <c r="H10" i="19"/>
  <c r="H11" i="19" s="1"/>
  <c r="H69" i="19"/>
  <c r="H76" i="19"/>
  <c r="H51" i="19"/>
  <c r="H75" i="19"/>
  <c r="H52" i="19"/>
  <c r="H70" i="19"/>
  <c r="H45" i="19"/>
  <c r="H19" i="19"/>
  <c r="H29" i="19"/>
  <c r="H50" i="19"/>
  <c r="H72" i="19"/>
  <c r="H9" i="19"/>
  <c r="H28" i="19"/>
  <c r="H49" i="19"/>
  <c r="H71" i="19"/>
  <c r="H22" i="19"/>
  <c r="H48" i="19"/>
  <c r="H78" i="19"/>
  <c r="H47" i="19"/>
  <c r="H77" i="19"/>
  <c r="H44" i="19"/>
  <c r="H74" i="19"/>
  <c r="H43" i="19"/>
  <c r="H73" i="19"/>
  <c r="H21" i="19"/>
  <c r="H20" i="19"/>
  <c r="H24" i="19"/>
  <c r="H26" i="19"/>
  <c r="H27" i="19"/>
  <c r="H53" i="19"/>
  <c r="H23" i="19"/>
  <c r="H68" i="19"/>
  <c r="H25" i="19"/>
  <c r="B22" i="19" l="1"/>
  <c r="C22" i="19" s="1"/>
  <c r="E22" i="19" s="1"/>
  <c r="F22" i="19" s="1"/>
  <c r="B45" i="19"/>
  <c r="C45" i="19" s="1"/>
  <c r="E45" i="19" s="1"/>
  <c r="F45" i="19" s="1"/>
  <c r="B49" i="19"/>
  <c r="C49" i="19" s="1"/>
  <c r="E49" i="19" s="1"/>
  <c r="F49" i="19" s="1"/>
  <c r="B69" i="19"/>
  <c r="C69" i="19" s="1"/>
  <c r="E69" i="19" s="1"/>
  <c r="F69" i="19" s="1"/>
  <c r="B26" i="19"/>
  <c r="C26" i="19" s="1"/>
  <c r="E26" i="19" s="1"/>
  <c r="F26" i="19" s="1"/>
  <c r="B70" i="19"/>
  <c r="C70" i="19" s="1"/>
  <c r="E70" i="19" s="1"/>
  <c r="F70" i="19" s="1"/>
  <c r="B27" i="19"/>
  <c r="C27" i="19" s="1"/>
  <c r="E27" i="19" s="1"/>
  <c r="F27" i="19" s="1"/>
  <c r="B72" i="19"/>
  <c r="C72" i="19" s="1"/>
  <c r="E72" i="19" s="1"/>
  <c r="F72" i="19" s="1"/>
  <c r="B21" i="19"/>
  <c r="C21" i="19" s="1"/>
  <c r="E21" i="19" s="1"/>
  <c r="F21" i="19" s="1"/>
  <c r="B53" i="19"/>
  <c r="C53" i="19" s="1"/>
  <c r="E53" i="19" s="1"/>
  <c r="F53" i="19" s="1"/>
  <c r="B28" i="19"/>
  <c r="C28" i="19" s="1"/>
  <c r="E28" i="19" s="1"/>
  <c r="F28" i="19" s="1"/>
  <c r="B51" i="19"/>
  <c r="C51" i="19" s="1"/>
  <c r="E51" i="19" s="1"/>
  <c r="F51" i="19" s="1"/>
  <c r="B77" i="19"/>
  <c r="C77" i="19" s="1"/>
  <c r="E77" i="19" s="1"/>
  <c r="F77" i="19" s="1"/>
  <c r="B52" i="19"/>
  <c r="C52" i="19" s="1"/>
  <c r="E52" i="19" s="1"/>
  <c r="F52" i="19" s="1"/>
  <c r="B23" i="19"/>
  <c r="C23" i="19" s="1"/>
  <c r="E23" i="19" s="1"/>
  <c r="F23" i="19" s="1"/>
  <c r="B68" i="19"/>
  <c r="C68" i="19" s="1"/>
  <c r="E68" i="19" s="1"/>
  <c r="F68" i="19" s="1"/>
  <c r="B46" i="19"/>
  <c r="C46" i="19" s="1"/>
  <c r="E46" i="19" s="1"/>
  <c r="F46" i="19" s="1"/>
  <c r="B75" i="19"/>
  <c r="C75" i="19" s="1"/>
  <c r="E75" i="19" s="1"/>
  <c r="F75" i="19" s="1"/>
  <c r="B20" i="19"/>
  <c r="C20" i="19" s="1"/>
  <c r="E20" i="19" s="1"/>
  <c r="F20" i="19" s="1"/>
  <c r="B78" i="19"/>
  <c r="C78" i="19" s="1"/>
  <c r="E78" i="19" s="1"/>
  <c r="F78" i="19" s="1"/>
  <c r="B19" i="19"/>
  <c r="C19" i="19" s="1"/>
  <c r="E19" i="19" s="1"/>
  <c r="F19" i="19" s="1"/>
  <c r="B25" i="19"/>
  <c r="C25" i="19" s="1"/>
  <c r="E25" i="19" s="1"/>
  <c r="F25" i="19" s="1"/>
  <c r="B73" i="19"/>
  <c r="C73" i="19" s="1"/>
  <c r="E73" i="19" s="1"/>
  <c r="F73" i="19" s="1"/>
  <c r="B74" i="19"/>
  <c r="C74" i="19" s="1"/>
  <c r="E74" i="19" s="1"/>
  <c r="F74" i="19" s="1"/>
  <c r="B76" i="19"/>
  <c r="C76" i="19" s="1"/>
  <c r="E76" i="19" s="1"/>
  <c r="F76" i="19" s="1"/>
  <c r="B24" i="19"/>
  <c r="C24" i="19" s="1"/>
  <c r="E24" i="19" s="1"/>
  <c r="F24" i="19" s="1"/>
  <c r="B47" i="19"/>
  <c r="C47" i="19" s="1"/>
  <c r="E47" i="19" s="1"/>
  <c r="F47" i="19" s="1"/>
  <c r="B48" i="19"/>
  <c r="C48" i="19" s="1"/>
  <c r="E48" i="19" s="1"/>
  <c r="F48" i="19" s="1"/>
  <c r="B50" i="19"/>
  <c r="C50" i="19" s="1"/>
  <c r="E50" i="19" s="1"/>
  <c r="F50" i="19" s="1"/>
  <c r="B71" i="19"/>
  <c r="C71" i="19" s="1"/>
  <c r="E71" i="19" s="1"/>
  <c r="F71" i="19" s="1"/>
  <c r="B43" i="19"/>
  <c r="C43" i="19" s="1"/>
  <c r="E43" i="19" s="1"/>
  <c r="F43" i="19" s="1"/>
  <c r="B44" i="19"/>
  <c r="C44" i="19" s="1"/>
  <c r="E44" i="19" s="1"/>
  <c r="F44" i="19" s="1"/>
  <c r="B29" i="19"/>
  <c r="C29" i="19" s="1"/>
  <c r="E29" i="19" s="1"/>
  <c r="F29" i="19" s="1"/>
</calcChain>
</file>

<file path=xl/sharedStrings.xml><?xml version="1.0" encoding="utf-8"?>
<sst xmlns="http://schemas.openxmlformats.org/spreadsheetml/2006/main" count="457" uniqueCount="275">
  <si>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</si>
  <si>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</si>
  <si>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</si>
  <si>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</si>
  <si>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</si>
  <si>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</si>
  <si>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</si>
  <si>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</si>
  <si>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</si>
  <si>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</si>
  <si>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</si>
  <si>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</si>
  <si>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</si>
  <si>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</si>
  <si>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</si>
  <si>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</si>
  <si>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</si>
  <si>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</si>
  <si>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</si>
  <si>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</si>
  <si>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</si>
  <si>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</si>
  <si>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</si>
  <si>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</si>
  <si>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</si>
  <si>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</si>
  <si>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</si>
  <si>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</si>
  <si>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</si>
  <si>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</si>
  <si>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</si>
  <si>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</si>
  <si>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</si>
  <si>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</si>
  <si>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</si>
  <si>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</si>
  <si>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</si>
  <si>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</si>
  <si>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</si>
  <si>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</si>
  <si>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</si>
  <si>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</si>
  <si>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</si>
  <si>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</si>
  <si>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</si>
  <si>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</si>
  <si>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</si>
  <si>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</si>
  <si>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</si>
  <si>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</si>
  <si>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</si>
  <si>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</si>
  <si>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</si>
  <si>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</si>
  <si>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</si>
  <si>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</si>
  <si>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</si>
  <si>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</si>
  <si>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</si>
  <si>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</si>
  <si>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</si>
  <si>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</si>
  <si>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</si>
  <si>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</si>
  <si>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</si>
  <si>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</si>
  <si>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</si>
  <si>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</si>
  <si>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</si>
  <si>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</si>
  <si>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</si>
  <si>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</si>
  <si>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</si>
  <si>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</si>
  <si>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</si>
  <si>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</si>
  <si>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</si>
  <si>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</si>
  <si>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</si>
  <si>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</si>
  <si>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</si>
  <si>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</si>
  <si>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</si>
  <si>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</si>
  <si>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</si>
  <si>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</si>
  <si>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</si>
  <si>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</si>
  <si>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</si>
  <si>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</si>
  <si>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</si>
  <si>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</si>
  <si>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</si>
  <si>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</si>
  <si>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</si>
  <si>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</si>
  <si>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</si>
  <si>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</si>
  <si>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</si>
  <si>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</si>
  <si>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</si>
  <si>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</si>
  <si>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</si>
  <si>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</si>
  <si>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</si>
  <si>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</si>
  <si>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</si>
  <si>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</si>
  <si>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</si>
  <si>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</si>
  <si>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</si>
  <si>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</si>
  <si>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</si>
  <si>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</si>
  <si>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</si>
  <si>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</si>
  <si>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</si>
  <si>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</si>
  <si>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</si>
  <si>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</si>
  <si>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</si>
  <si>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</si>
  <si>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</si>
  <si>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</si>
  <si>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</si>
  <si>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</si>
  <si>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</si>
  <si>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</si>
  <si>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</si>
  <si>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</si>
  <si>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</si>
  <si>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</si>
  <si>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</si>
  <si>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</si>
  <si>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</si>
  <si>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</si>
  <si>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</si>
  <si>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</si>
  <si>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</si>
  <si>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</si>
  <si>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</si>
  <si>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</si>
  <si>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</si>
  <si>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</si>
  <si>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</si>
  <si>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</si>
  <si>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</si>
  <si>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</si>
  <si>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</si>
  <si>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</si>
  <si>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</si>
  <si>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</si>
  <si>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</si>
  <si>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</si>
  <si>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</si>
  <si>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</si>
  <si>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</si>
  <si>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</si>
  <si>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</si>
  <si>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</si>
  <si>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</si>
  <si>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</si>
  <si>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</si>
  <si>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</si>
  <si>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</si>
  <si>
    <t>Report</t>
  </si>
  <si>
    <t>Select a valid state</t>
  </si>
  <si>
    <t>WorkOrderID</t>
  </si>
  <si>
    <t>ContactsID</t>
  </si>
  <si>
    <t>WorkOrderStatusID</t>
  </si>
  <si>
    <t>PreventMaintAshCleanInter</t>
  </si>
  <si>
    <t>HighSootCEL</t>
  </si>
  <si>
    <t>EngineFailureFluidsInExhaust</t>
  </si>
  <si>
    <t>CleaningReasonID</t>
  </si>
  <si>
    <t>RoadHighway</t>
  </si>
  <si>
    <t>StartStop</t>
  </si>
  <si>
    <t>HighIdle</t>
  </si>
  <si>
    <t>DrivingTypeID</t>
  </si>
  <si>
    <t>FirstCleaning</t>
  </si>
  <si>
    <t>VehicleTotalMileage</t>
  </si>
  <si>
    <t>VehicleTotalHours</t>
  </si>
  <si>
    <t>DateAdded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</si>
  <si>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</si>
  <si>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</si>
  <si>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</si>
  <si>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</si>
  <si>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</si>
  <si>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</si>
  <si>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</si>
  <si>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CompanyLocationsID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</si>
  <si>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</si>
  <si>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</si>
  <si>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</si>
  <si>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</si>
  <si>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</si>
  <si>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</si>
  <si>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</si>
  <si>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</si>
  <si>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</si>
  <si>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</si>
  <si>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</si>
  <si>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</si>
  <si>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</si>
  <si>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</si>
  <si>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</si>
  <si>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</si>
  <si>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</si>
  <si>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</si>
  <si>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</si>
  <si>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</si>
  <si>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</si>
  <si>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</si>
  <si>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</si>
  <si>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s2</t>
  </si>
  <si>
    <t>m2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</si>
  <si>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</si>
  <si>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</si>
  <si>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</si>
  <si>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</si>
  <si>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</si>
  <si>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</si>
  <si>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</si>
  <si>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</si>
  <si>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</si>
  <si>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</si>
  <si>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</si>
  <si>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</si>
  <si>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</si>
  <si>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</si>
  <si>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</si>
  <si>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</si>
  <si>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</si>
  <si>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</si>
  <si>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</si>
  <si>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</si>
  <si>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</si>
  <si>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</si>
  <si>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</si>
  <si>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</si>
  <si>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</si>
  <si>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</si>
  <si>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</si>
  <si>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</si>
  <si>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</si>
  <si>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</si>
  <si>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</si>
  <si>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</si>
  <si>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</si>
  <si>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</si>
  <si>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</si>
  <si>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</si>
  <si>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</si>
  <si>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</si>
  <si>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</si>
  <si>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</si>
  <si>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</si>
  <si>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</si>
  <si>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</si>
  <si>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</si>
  <si>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</si>
  <si>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</si>
  <si>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122 / 333</t>
  </si>
  <si>
    <t>Pocono Peterbilt</t>
  </si>
  <si>
    <t>Rts. I-80 &amp; 611</t>
  </si>
  <si>
    <t>Bartonsville</t>
  </si>
  <si>
    <t>18321</t>
  </si>
  <si>
    <t>Unit 1</t>
  </si>
  <si>
    <t>serial # a</t>
  </si>
  <si>
    <t>asset a</t>
  </si>
  <si>
    <t>model a</t>
  </si>
  <si>
    <t>Peterbilt</t>
  </si>
  <si>
    <t>2345324</t>
  </si>
  <si>
    <t>part # 123</t>
  </si>
  <si>
    <t>Serial # 123</t>
  </si>
  <si>
    <t>Report Generated: C:\Clients\GitHub\DP\Excel\Report3.xlsm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</si>
</sst>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4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1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2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0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0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0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13" fillId="0" borderId="0" xfId="0" applyFont="1"/>
    <xf numFmtId="0" fontId="0" fillId="0" borderId="0" xfId="0" applyAlignment="1">
      <alignment vertical="top"/>
    </xf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8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image" Target="../media/image52.emf"/><Relationship Id="rId7" Type="http://schemas.openxmlformats.org/officeDocument/2006/relationships/image" Target="../media/image56.emf"/><Relationship Id="rId12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0" Type="http://schemas.openxmlformats.org/officeDocument/2006/relationships/image" Target="../media/image59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image" Target="../media/image71.emf"/><Relationship Id="rId7" Type="http://schemas.openxmlformats.org/officeDocument/2006/relationships/image" Target="../media/image67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6" Type="http://schemas.openxmlformats.org/officeDocument/2006/relationships/image" Target="../media/image68.emf"/><Relationship Id="rId5" Type="http://schemas.openxmlformats.org/officeDocument/2006/relationships/image" Target="../media/image69.emf"/><Relationship Id="rId10" Type="http://schemas.openxmlformats.org/officeDocument/2006/relationships/image" Target="../media/image64.emf"/><Relationship Id="rId4" Type="http://schemas.openxmlformats.org/officeDocument/2006/relationships/image" Target="../media/image70.emf"/><Relationship Id="rId9" Type="http://schemas.openxmlformats.org/officeDocument/2006/relationships/image" Target="../media/image6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5</xdr:row>
          <xdr:rowOff>69850</xdr:rowOff>
        </xdr:from>
        <xdr:to>
          <xdr:col>4</xdr:col>
          <xdr:colOff>165100</xdr:colOff>
          <xdr:row>7</xdr:row>
          <xdr:rowOff>114300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8</xdr:row>
          <xdr:rowOff>0</xdr:rowOff>
        </xdr:from>
        <xdr:to>
          <xdr:col>4</xdr:col>
          <xdr:colOff>165100</xdr:colOff>
          <xdr:row>10</xdr:row>
          <xdr:rowOff>44450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107950</xdr:rowOff>
        </xdr:from>
        <xdr:to>
          <xdr:col>7</xdr:col>
          <xdr:colOff>165100</xdr:colOff>
          <xdr:row>4</xdr:row>
          <xdr:rowOff>152400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5</xdr:row>
          <xdr:rowOff>50800</xdr:rowOff>
        </xdr:from>
        <xdr:to>
          <xdr:col>7</xdr:col>
          <xdr:colOff>165100</xdr:colOff>
          <xdr:row>7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=""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7</xdr:row>
          <xdr:rowOff>171450</xdr:rowOff>
        </xdr:from>
        <xdr:to>
          <xdr:col>7</xdr:col>
          <xdr:colOff>165100</xdr:colOff>
          <xdr:row>10</xdr:row>
          <xdr:rowOff>31750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=""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10</xdr:row>
          <xdr:rowOff>107950</xdr:rowOff>
        </xdr:from>
        <xdr:to>
          <xdr:col>7</xdr:col>
          <xdr:colOff>165100</xdr:colOff>
          <xdr:row>12</xdr:row>
          <xdr:rowOff>158750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=""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127000</xdr:rowOff>
        </xdr:from>
        <xdr:to>
          <xdr:col>10</xdr:col>
          <xdr:colOff>190500</xdr:colOff>
          <xdr:row>4</xdr:row>
          <xdr:rowOff>171450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=""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127000</xdr:rowOff>
        </xdr:from>
        <xdr:to>
          <xdr:col>4</xdr:col>
          <xdr:colOff>152400</xdr:colOff>
          <xdr:row>4</xdr:row>
          <xdr:rowOff>177800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=""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69850</xdr:rowOff>
        </xdr:from>
        <xdr:to>
          <xdr:col>10</xdr:col>
          <xdr:colOff>190500</xdr:colOff>
          <xdr:row>7</xdr:row>
          <xdr:rowOff>114300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=""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44450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=""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50800</xdr:colOff>
          <xdr:row>10</xdr:row>
          <xdr:rowOff>95250</xdr:rowOff>
        </xdr:from>
        <xdr:to>
          <xdr:col>10</xdr:col>
          <xdr:colOff>203200</xdr:colOff>
          <xdr:row>12</xdr:row>
          <xdr:rowOff>139700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=""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374650</xdr:rowOff>
        </xdr:from>
        <xdr:to>
          <xdr:col>2</xdr:col>
          <xdr:colOff>2762250</xdr:colOff>
          <xdr:row>2</xdr:row>
          <xdr:rowOff>317500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9</xdr:row>
          <xdr:rowOff>95250</xdr:rowOff>
        </xdr:from>
        <xdr:to>
          <xdr:col>2</xdr:col>
          <xdr:colOff>450850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1</xdr:row>
          <xdr:rowOff>336550</xdr:rowOff>
        </xdr:from>
        <xdr:to>
          <xdr:col>5</xdr:col>
          <xdr:colOff>1403350</xdr:colOff>
          <xdr:row>2</xdr:row>
          <xdr:rowOff>279400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10</xdr:row>
          <xdr:rowOff>19050</xdr:rowOff>
        </xdr:from>
        <xdr:to>
          <xdr:col>2</xdr:col>
          <xdr:colOff>2774950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4</xdr:row>
          <xdr:rowOff>19050</xdr:rowOff>
        </xdr:from>
        <xdr:to>
          <xdr:col>5</xdr:col>
          <xdr:colOff>1403350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=""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31750</xdr:rowOff>
        </xdr:from>
        <xdr:to>
          <xdr:col>1</xdr:col>
          <xdr:colOff>3086100</xdr:colOff>
          <xdr:row>9</xdr:row>
          <xdr:rowOff>12700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=""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=""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=""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88900</xdr:rowOff>
        </xdr:from>
        <xdr:to>
          <xdr:col>3</xdr:col>
          <xdr:colOff>1409700</xdr:colOff>
          <xdr:row>5</xdr:row>
          <xdr:rowOff>31750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=""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=""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31750</xdr:rowOff>
        </xdr:from>
        <xdr:to>
          <xdr:col>1</xdr:col>
          <xdr:colOff>3086100</xdr:colOff>
          <xdr:row>10</xdr:row>
          <xdr:rowOff>12700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=""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1</xdr:row>
          <xdr:rowOff>31750</xdr:rowOff>
        </xdr:from>
        <xdr:to>
          <xdr:col>3</xdr:col>
          <xdr:colOff>1574800</xdr:colOff>
          <xdr:row>1</xdr:row>
          <xdr:rowOff>355600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=""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=""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260350</xdr:colOff>
          <xdr:row>13</xdr:row>
          <xdr:rowOff>95250</xdr:rowOff>
        </xdr:from>
        <xdr:to>
          <xdr:col>1</xdr:col>
          <xdr:colOff>685800</xdr:colOff>
          <xdr:row>13</xdr:row>
          <xdr:rowOff>292100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=""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3</xdr:row>
          <xdr:rowOff>69850</xdr:rowOff>
        </xdr:from>
        <xdr:to>
          <xdr:col>3</xdr:col>
          <xdr:colOff>1593850</xdr:colOff>
          <xdr:row>4</xdr:row>
          <xdr:rowOff>12700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=""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38100</xdr:rowOff>
        </xdr:from>
        <xdr:to>
          <xdr:col>1</xdr:col>
          <xdr:colOff>3086100</xdr:colOff>
          <xdr:row>3</xdr:row>
          <xdr:rowOff>19050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31750</xdr:rowOff>
        </xdr:from>
        <xdr:to>
          <xdr:col>3</xdr:col>
          <xdr:colOff>1371600</xdr:colOff>
          <xdr:row>1</xdr:row>
          <xdr:rowOff>355600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57150</xdr:rowOff>
        </xdr:from>
        <xdr:to>
          <xdr:col>1</xdr:col>
          <xdr:colOff>3086100</xdr:colOff>
          <xdr:row>3</xdr:row>
          <xdr:rowOff>368300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=""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374650</xdr:rowOff>
        </xdr:from>
        <xdr:to>
          <xdr:col>3</xdr:col>
          <xdr:colOff>1371600</xdr:colOff>
          <xdr:row>3</xdr:row>
          <xdr:rowOff>317500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=""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19050</xdr:rowOff>
        </xdr:from>
        <xdr:to>
          <xdr:col>1</xdr:col>
          <xdr:colOff>1543050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12700</xdr:rowOff>
        </xdr:from>
        <xdr:to>
          <xdr:col>1</xdr:col>
          <xdr:colOff>1543050</xdr:colOff>
          <xdr:row>2</xdr:row>
          <xdr:rowOff>374650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=""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431800</xdr:colOff>
          <xdr:row>0</xdr:row>
          <xdr:rowOff>355600</xdr:rowOff>
        </xdr:from>
        <xdr:to>
          <xdr:col>3</xdr:col>
          <xdr:colOff>660400</xdr:colOff>
          <xdr:row>1</xdr:row>
          <xdr:rowOff>298450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12700</xdr:rowOff>
        </xdr:from>
        <xdr:to>
          <xdr:col>1</xdr:col>
          <xdr:colOff>1543050</xdr:colOff>
          <xdr:row>3</xdr:row>
          <xdr:rowOff>374650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=""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431800</xdr:colOff>
          <xdr:row>2</xdr:row>
          <xdr:rowOff>323850</xdr:rowOff>
        </xdr:from>
        <xdr:to>
          <xdr:col>3</xdr:col>
          <xdr:colOff>660400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=""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12700</xdr:rowOff>
        </xdr:from>
        <xdr:to>
          <xdr:col>1</xdr:col>
          <xdr:colOff>3219450</xdr:colOff>
          <xdr:row>1</xdr:row>
          <xdr:rowOff>374650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=""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603250</xdr:colOff>
          <xdr:row>2</xdr:row>
          <xdr:rowOff>146050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=""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=""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=""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12700</xdr:rowOff>
        </xdr:from>
        <xdr:to>
          <xdr:col>1</xdr:col>
          <xdr:colOff>3086100</xdr:colOff>
          <xdr:row>4</xdr:row>
          <xdr:rowOff>374650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=""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12700</xdr:rowOff>
        </xdr:from>
        <xdr:to>
          <xdr:col>1</xdr:col>
          <xdr:colOff>3092450</xdr:colOff>
          <xdr:row>9</xdr:row>
          <xdr:rowOff>374650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=""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2</xdr:row>
          <xdr:rowOff>152400</xdr:rowOff>
        </xdr:from>
        <xdr:to>
          <xdr:col>6</xdr:col>
          <xdr:colOff>133350</xdr:colOff>
          <xdr:row>3</xdr:row>
          <xdr:rowOff>63500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=""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165100</xdr:rowOff>
        </xdr:from>
        <xdr:to>
          <xdr:col>5</xdr:col>
          <xdr:colOff>933450</xdr:colOff>
          <xdr:row>79</xdr:row>
          <xdr:rowOff>165100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=""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79</xdr:row>
          <xdr:rowOff>171450</xdr:rowOff>
        </xdr:from>
        <xdr:to>
          <xdr:col>5</xdr:col>
          <xdr:colOff>927100</xdr:colOff>
          <xdr:row>80</xdr:row>
          <xdr:rowOff>171450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=""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81</xdr:row>
          <xdr:rowOff>0</xdr:rowOff>
        </xdr:from>
        <xdr:to>
          <xdr:col>5</xdr:col>
          <xdr:colOff>927100</xdr:colOff>
          <xdr:row>82</xdr:row>
          <xdr:rowOff>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=""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755650</xdr:colOff>
          <xdr:row>85</xdr:row>
          <xdr:rowOff>12700</xdr:rowOff>
        </xdr:from>
        <xdr:to>
          <xdr:col>5</xdr:col>
          <xdr:colOff>946150</xdr:colOff>
          <xdr:row>86</xdr:row>
          <xdr:rowOff>12700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=""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86</xdr:row>
          <xdr:rowOff>12700</xdr:rowOff>
        </xdr:from>
        <xdr:to>
          <xdr:col>5</xdr:col>
          <xdr:colOff>927100</xdr:colOff>
          <xdr:row>87</xdr:row>
          <xdr:rowOff>12700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=""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87</xdr:row>
          <xdr:rowOff>19050</xdr:rowOff>
        </xdr:from>
        <xdr:to>
          <xdr:col>5</xdr:col>
          <xdr:colOff>927100</xdr:colOff>
          <xdr:row>88</xdr:row>
          <xdr:rowOff>19050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=""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69850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=""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31750</xdr:rowOff>
        </xdr:from>
        <xdr:to>
          <xdr:col>5</xdr:col>
          <xdr:colOff>1009650</xdr:colOff>
          <xdr:row>92</xdr:row>
          <xdr:rowOff>31750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=""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0</xdr:rowOff>
        </xdr:from>
        <xdr:to>
          <xdr:col>8</xdr:col>
          <xdr:colOff>152400</xdr:colOff>
          <xdr:row>3</xdr:row>
          <xdr:rowOff>6350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=""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69850</xdr:rowOff>
        </xdr:from>
        <xdr:to>
          <xdr:col>8</xdr:col>
          <xdr:colOff>158750</xdr:colOff>
          <xdr:row>8</xdr:row>
          <xdr:rowOff>6350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=""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69850</xdr:rowOff>
        </xdr:from>
        <xdr:to>
          <xdr:col>8</xdr:col>
          <xdr:colOff>158750</xdr:colOff>
          <xdr:row>20</xdr:row>
          <xdr:rowOff>120650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=""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69850</xdr:rowOff>
        </xdr:from>
        <xdr:to>
          <xdr:col>8</xdr:col>
          <xdr:colOff>158750</xdr:colOff>
          <xdr:row>32</xdr:row>
          <xdr:rowOff>120650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=""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69850</xdr:rowOff>
        </xdr:from>
        <xdr:to>
          <xdr:col>8</xdr:col>
          <xdr:colOff>158750</xdr:colOff>
          <xdr:row>40</xdr:row>
          <xdr:rowOff>120650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=""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69850</xdr:rowOff>
        </xdr:from>
        <xdr:to>
          <xdr:col>8</xdr:col>
          <xdr:colOff>158750</xdr:colOff>
          <xdr:row>50</xdr:row>
          <xdr:rowOff>120650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=""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69850</xdr:rowOff>
        </xdr:from>
        <xdr:to>
          <xdr:col>8</xdr:col>
          <xdr:colOff>158750</xdr:colOff>
          <xdr:row>56</xdr:row>
          <xdr:rowOff>120650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=""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69850</xdr:rowOff>
        </xdr:from>
        <xdr:to>
          <xdr:col>8</xdr:col>
          <xdr:colOff>158750</xdr:colOff>
          <xdr:row>83</xdr:row>
          <xdr:rowOff>120650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=""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69850</xdr:rowOff>
        </xdr:from>
        <xdr:to>
          <xdr:col>8</xdr:col>
          <xdr:colOff>158750</xdr:colOff>
          <xdr:row>89</xdr:row>
          <xdr:rowOff>120650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=""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88900</xdr:rowOff>
        </xdr:from>
        <xdr:to>
          <xdr:col>12</xdr:col>
          <xdr:colOff>158750</xdr:colOff>
          <xdr:row>6</xdr:row>
          <xdr:rowOff>12700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=""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127000</xdr:colOff>
          <xdr:row>3</xdr:row>
          <xdr:rowOff>50800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=""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=""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184150</xdr:colOff>
          <xdr:row>6</xdr:row>
          <xdr:rowOff>107950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=""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43</xdr:row>
          <xdr:rowOff>12700</xdr:rowOff>
        </xdr:from>
        <xdr:to>
          <xdr:col>3</xdr:col>
          <xdr:colOff>361950</xdr:colOff>
          <xdr:row>43</xdr:row>
          <xdr:rowOff>177800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=""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57150</xdr:rowOff>
        </xdr:from>
        <xdr:to>
          <xdr:col>3</xdr:col>
          <xdr:colOff>336550</xdr:colOff>
          <xdr:row>14</xdr:row>
          <xdr:rowOff>38100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=""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14</xdr:row>
          <xdr:rowOff>165100</xdr:rowOff>
        </xdr:from>
        <xdr:to>
          <xdr:col>3</xdr:col>
          <xdr:colOff>336550</xdr:colOff>
          <xdr:row>15</xdr:row>
          <xdr:rowOff>146050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=""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127000</xdr:colOff>
          <xdr:row>3</xdr:row>
          <xdr:rowOff>50800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=""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45</xdr:row>
          <xdr:rowOff>38100</xdr:rowOff>
        </xdr:from>
        <xdr:to>
          <xdr:col>3</xdr:col>
          <xdr:colOff>355600</xdr:colOff>
          <xdr:row>46</xdr:row>
          <xdr:rowOff>19050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=""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=""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27</xdr:row>
          <xdr:rowOff>165100</xdr:rowOff>
        </xdr:from>
        <xdr:to>
          <xdr:col>6</xdr:col>
          <xdr:colOff>565150</xdr:colOff>
          <xdr:row>29</xdr:row>
          <xdr:rowOff>19050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=""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29</xdr:row>
          <xdr:rowOff>165100</xdr:rowOff>
        </xdr:from>
        <xdr:to>
          <xdr:col>6</xdr:col>
          <xdr:colOff>565150</xdr:colOff>
          <xdr:row>31</xdr:row>
          <xdr:rowOff>19050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=""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31</xdr:row>
          <xdr:rowOff>12700</xdr:rowOff>
        </xdr:from>
        <xdr:to>
          <xdr:col>6</xdr:col>
          <xdr:colOff>546100</xdr:colOff>
          <xdr:row>32</xdr:row>
          <xdr:rowOff>44450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=""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34</xdr:row>
          <xdr:rowOff>12700</xdr:rowOff>
        </xdr:from>
        <xdr:to>
          <xdr:col>6</xdr:col>
          <xdr:colOff>546100</xdr:colOff>
          <xdr:row>35</xdr:row>
          <xdr:rowOff>50800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=""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38</xdr:row>
          <xdr:rowOff>0</xdr:rowOff>
        </xdr:from>
        <xdr:to>
          <xdr:col>6</xdr:col>
          <xdr:colOff>584200</xdr:colOff>
          <xdr:row>39</xdr:row>
          <xdr:rowOff>38100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=""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40</xdr:row>
          <xdr:rowOff>0</xdr:rowOff>
        </xdr:from>
        <xdr:to>
          <xdr:col>6</xdr:col>
          <xdr:colOff>584200</xdr:colOff>
          <xdr:row>41</xdr:row>
          <xdr:rowOff>31750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=""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184150</xdr:colOff>
          <xdr:row>6</xdr:row>
          <xdr:rowOff>107950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=""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533400</xdr:colOff>
          <xdr:row>3</xdr:row>
          <xdr:rowOff>38100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=""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=""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552450</xdr:colOff>
          <xdr:row>5</xdr:row>
          <xdr:rowOff>107950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=""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control" Target="../activeX/activeX55.xml"/><Relationship Id="rId18" Type="http://schemas.openxmlformats.org/officeDocument/2006/relationships/control" Target="../activeX/activeX59.xml"/><Relationship Id="rId26" Type="http://schemas.openxmlformats.org/officeDocument/2006/relationships/control" Target="../activeX/activeX63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4.emf"/><Relationship Id="rId7" Type="http://schemas.openxmlformats.org/officeDocument/2006/relationships/image" Target="../media/image50.emf"/><Relationship Id="rId12" Type="http://schemas.openxmlformats.org/officeDocument/2006/relationships/control" Target="../activeX/activeX54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control" Target="../activeX/activeX53.xml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6.xml"/><Relationship Id="rId5" Type="http://schemas.openxmlformats.org/officeDocument/2006/relationships/image" Target="../media/image49.emf"/><Relationship Id="rId15" Type="http://schemas.openxmlformats.org/officeDocument/2006/relationships/control" Target="../activeX/activeX57.xml"/><Relationship Id="rId23" Type="http://schemas.openxmlformats.org/officeDocument/2006/relationships/image" Target="../media/image55.emf"/><Relationship Id="rId28" Type="http://schemas.openxmlformats.org/officeDocument/2006/relationships/control" Target="../activeX/activeX64.xml"/><Relationship Id="rId10" Type="http://schemas.openxmlformats.org/officeDocument/2006/relationships/control" Target="../activeX/activeX52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1.xml"/><Relationship Id="rId27" Type="http://schemas.openxmlformats.org/officeDocument/2006/relationships/image" Target="../media/image57.emf"/><Relationship Id="rId30" Type="http://schemas.openxmlformats.org/officeDocument/2006/relationships/control" Target="../activeX/activeX6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8.xml"/><Relationship Id="rId5" Type="http://schemas.openxmlformats.org/officeDocument/2006/relationships/image" Target="../media/image61.emf"/><Relationship Id="rId4" Type="http://schemas.openxmlformats.org/officeDocument/2006/relationships/control" Target="../activeX/activeX67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image" Target="../media/image68.emf"/><Relationship Id="rId18" Type="http://schemas.openxmlformats.org/officeDocument/2006/relationships/control" Target="../activeX/activeX77.xml"/><Relationship Id="rId26" Type="http://schemas.openxmlformats.org/officeDocument/2006/relationships/control" Target="../activeX/activeX82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2.emf"/><Relationship Id="rId7" Type="http://schemas.openxmlformats.org/officeDocument/2006/relationships/image" Target="../media/image65.emf"/><Relationship Id="rId12" Type="http://schemas.openxmlformats.org/officeDocument/2006/relationships/control" Target="../activeX/activeX74.xml"/><Relationship Id="rId17" Type="http://schemas.openxmlformats.org/officeDocument/2006/relationships/image" Target="../media/image70.emf"/><Relationship Id="rId25" Type="http://schemas.openxmlformats.org/officeDocument/2006/relationships/control" Target="../activeX/activeX81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76.xml"/><Relationship Id="rId20" Type="http://schemas.openxmlformats.org/officeDocument/2006/relationships/control" Target="../activeX/activeX78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1.xml"/><Relationship Id="rId11" Type="http://schemas.openxmlformats.org/officeDocument/2006/relationships/image" Target="../media/image67.emf"/><Relationship Id="rId24" Type="http://schemas.openxmlformats.org/officeDocument/2006/relationships/control" Target="../activeX/activeX80.xml"/><Relationship Id="rId5" Type="http://schemas.openxmlformats.org/officeDocument/2006/relationships/image" Target="../media/image64.emf"/><Relationship Id="rId15" Type="http://schemas.openxmlformats.org/officeDocument/2006/relationships/image" Target="../media/image69.emf"/><Relationship Id="rId23" Type="http://schemas.openxmlformats.org/officeDocument/2006/relationships/image" Target="../media/image73.emf"/><Relationship Id="rId10" Type="http://schemas.openxmlformats.org/officeDocument/2006/relationships/control" Target="../activeX/activeX73.xml"/><Relationship Id="rId19" Type="http://schemas.openxmlformats.org/officeDocument/2006/relationships/image" Target="../media/image71.emf"/><Relationship Id="rId4" Type="http://schemas.openxmlformats.org/officeDocument/2006/relationships/control" Target="../activeX/activeX70.xml"/><Relationship Id="rId9" Type="http://schemas.openxmlformats.org/officeDocument/2006/relationships/image" Target="../media/image66.emf"/><Relationship Id="rId14" Type="http://schemas.openxmlformats.org/officeDocument/2006/relationships/control" Target="../activeX/activeX75.xml"/><Relationship Id="rId22" Type="http://schemas.openxmlformats.org/officeDocument/2006/relationships/control" Target="../activeX/activeX7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4.xml"/><Relationship Id="rId5" Type="http://schemas.openxmlformats.org/officeDocument/2006/relationships/image" Target="../media/image74.emf"/><Relationship Id="rId4" Type="http://schemas.openxmlformats.org/officeDocument/2006/relationships/control" Target="../activeX/activeX83.xml"/><Relationship Id="rId9" Type="http://schemas.openxmlformats.org/officeDocument/2006/relationships/image" Target="../media/image7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tabSelected="1" zoomScaleNormal="100" workbookViewId="0">
      <selection activeCell="M9" sqref="M9"/>
    </sheetView>
  </sheetViews>
  <sheetFormatPr defaultRowHeight="14.5" x14ac:dyDescent="0.35"/>
  <cols>
    <col min="2" max="2" width="4.1796875" customWidth="1"/>
  </cols>
  <sheetData>
    <row r="3" spans="2:11" x14ac:dyDescent="0.35">
      <c r="B3" s="81"/>
      <c r="C3" s="82"/>
      <c r="D3" s="82"/>
      <c r="E3" s="82"/>
      <c r="F3" s="82"/>
      <c r="G3" s="82"/>
      <c r="H3" s="82"/>
      <c r="I3" s="82"/>
      <c r="J3" s="82"/>
      <c r="K3" s="83"/>
    </row>
    <row r="4" spans="2:11" x14ac:dyDescent="0.35">
      <c r="B4" s="84"/>
      <c r="C4" s="85"/>
      <c r="D4" s="85"/>
      <c r="E4" s="85"/>
      <c r="F4" s="85"/>
      <c r="G4" s="85"/>
      <c r="H4" s="85"/>
      <c r="I4" s="85"/>
      <c r="J4" s="85"/>
      <c r="K4" s="86"/>
    </row>
    <row r="5" spans="2:11" x14ac:dyDescent="0.35">
      <c r="B5" s="84"/>
      <c r="C5" s="85"/>
      <c r="D5" s="85"/>
      <c r="E5" s="85"/>
      <c r="F5" s="85"/>
      <c r="G5" s="85"/>
      <c r="H5" s="85"/>
      <c r="I5" s="85"/>
      <c r="J5" s="85"/>
      <c r="K5" s="86"/>
    </row>
    <row r="6" spans="2:11" x14ac:dyDescent="0.35">
      <c r="B6" s="84"/>
      <c r="C6" s="85"/>
      <c r="D6" s="85"/>
      <c r="E6" s="85"/>
      <c r="F6" s="85"/>
      <c r="G6" s="85"/>
      <c r="H6" s="85"/>
      <c r="I6" s="85"/>
      <c r="J6" s="85"/>
      <c r="K6" s="86"/>
    </row>
    <row r="7" spans="2:11" x14ac:dyDescent="0.35">
      <c r="B7" s="84"/>
      <c r="C7" s="85"/>
      <c r="D7" s="85"/>
      <c r="E7" s="85"/>
      <c r="F7" s="85"/>
      <c r="G7" s="85"/>
      <c r="H7" s="85"/>
      <c r="I7" s="85"/>
      <c r="J7" s="85"/>
      <c r="K7" s="86"/>
    </row>
    <row r="8" spans="2:11" x14ac:dyDescent="0.35">
      <c r="B8" s="84"/>
      <c r="C8" s="85"/>
      <c r="D8" s="85"/>
      <c r="E8" s="85"/>
      <c r="F8" s="85"/>
      <c r="G8" s="85"/>
      <c r="H8" s="85"/>
      <c r="I8" s="85"/>
      <c r="J8" s="85"/>
      <c r="K8" s="86"/>
    </row>
    <row r="9" spans="2:11" x14ac:dyDescent="0.35">
      <c r="B9" s="84"/>
      <c r="C9" s="85"/>
      <c r="D9" s="85"/>
      <c r="E9" s="85"/>
      <c r="F9" s="85"/>
      <c r="G9" s="85"/>
      <c r="H9" s="85"/>
      <c r="I9" s="85"/>
      <c r="J9" s="85"/>
      <c r="K9" s="86"/>
    </row>
    <row r="10" spans="2:11" x14ac:dyDescent="0.35">
      <c r="B10" s="84"/>
      <c r="C10" s="85"/>
      <c r="D10" s="85"/>
      <c r="E10" s="85"/>
      <c r="F10" s="85"/>
      <c r="G10" s="85"/>
      <c r="H10" s="85"/>
      <c r="I10" s="85"/>
      <c r="J10" s="85"/>
      <c r="K10" s="86"/>
    </row>
    <row r="11" spans="2:11" x14ac:dyDescent="0.35">
      <c r="B11" s="84"/>
      <c r="C11" s="85"/>
      <c r="D11" s="85"/>
      <c r="E11" s="85"/>
      <c r="F11" s="85"/>
      <c r="G11" s="85"/>
      <c r="H11" s="85"/>
      <c r="I11" s="85"/>
      <c r="J11" s="85"/>
      <c r="K11" s="86"/>
    </row>
    <row r="12" spans="2:11" x14ac:dyDescent="0.35">
      <c r="B12" s="84"/>
      <c r="C12" s="85"/>
      <c r="D12" s="85"/>
      <c r="E12" s="85"/>
      <c r="F12" s="85"/>
      <c r="G12" s="85"/>
      <c r="H12" s="85"/>
      <c r="I12" s="85"/>
      <c r="J12" s="85"/>
      <c r="K12" s="86"/>
    </row>
    <row r="13" spans="2:11" x14ac:dyDescent="0.35">
      <c r="B13" s="84"/>
      <c r="C13" s="85"/>
      <c r="D13" s="85"/>
      <c r="E13" s="85"/>
      <c r="F13" s="85"/>
      <c r="G13" s="85"/>
      <c r="H13" s="85"/>
      <c r="I13" s="85"/>
      <c r="J13" s="85"/>
      <c r="K13" s="86"/>
    </row>
    <row r="14" spans="2:11" x14ac:dyDescent="0.35">
      <c r="B14" s="87"/>
      <c r="C14" s="88"/>
      <c r="D14" s="88"/>
      <c r="E14" s="88"/>
      <c r="F14" s="88"/>
      <c r="G14" s="88"/>
      <c r="H14" s="88"/>
      <c r="I14" s="88"/>
      <c r="J14" s="88"/>
      <c r="K14" s="89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44450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8</xdr:col>
                <xdr:colOff>38100</xdr:colOff>
                <xdr:row>5</xdr:row>
                <xdr:rowOff>69850</xdr:rowOff>
              </from>
              <to>
                <xdr:col>10</xdr:col>
                <xdr:colOff>190500</xdr:colOff>
                <xdr:row>7</xdr:row>
                <xdr:rowOff>114300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2</xdr:col>
                <xdr:colOff>0</xdr:colOff>
                <xdr:row>2</xdr:row>
                <xdr:rowOff>127000</xdr:rowOff>
              </from>
              <to>
                <xdr:col>4</xdr:col>
                <xdr:colOff>152400</xdr:colOff>
                <xdr:row>4</xdr:row>
                <xdr:rowOff>177800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8</xdr:col>
                <xdr:colOff>38100</xdr:colOff>
                <xdr:row>2</xdr:row>
                <xdr:rowOff>127000</xdr:rowOff>
              </from>
              <to>
                <xdr:col>10</xdr:col>
                <xdr:colOff>190500</xdr:colOff>
                <xdr:row>4</xdr:row>
                <xdr:rowOff>171450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5</xdr:col>
                <xdr:colOff>12700</xdr:colOff>
                <xdr:row>10</xdr:row>
                <xdr:rowOff>107950</xdr:rowOff>
              </from>
              <to>
                <xdr:col>7</xdr:col>
                <xdr:colOff>165100</xdr:colOff>
                <xdr:row>12</xdr:row>
                <xdr:rowOff>158750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2</xdr:col>
                <xdr:colOff>12700</xdr:colOff>
                <xdr:row>5</xdr:row>
                <xdr:rowOff>69850</xdr:rowOff>
              </from>
              <to>
                <xdr:col>4</xdr:col>
                <xdr:colOff>165100</xdr:colOff>
                <xdr:row>7</xdr:row>
                <xdr:rowOff>114300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2</xdr:col>
                <xdr:colOff>12700</xdr:colOff>
                <xdr:row>8</xdr:row>
                <xdr:rowOff>0</xdr:rowOff>
              </from>
              <to>
                <xdr:col>4</xdr:col>
                <xdr:colOff>165100</xdr:colOff>
                <xdr:row>10</xdr:row>
                <xdr:rowOff>44450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12700</xdr:colOff>
                <xdr:row>2</xdr:row>
                <xdr:rowOff>107950</xdr:rowOff>
              </from>
              <to>
                <xdr:col>7</xdr:col>
                <xdr:colOff>165100</xdr:colOff>
                <xdr:row>4</xdr:row>
                <xdr:rowOff>152400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5</xdr:col>
                <xdr:colOff>12700</xdr:colOff>
                <xdr:row>5</xdr:row>
                <xdr:rowOff>50800</xdr:rowOff>
              </from>
              <to>
                <xdr:col>7</xdr:col>
                <xdr:colOff>165100</xdr:colOff>
                <xdr:row>7</xdr:row>
                <xdr:rowOff>95250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5</xdr:col>
                <xdr:colOff>12700</xdr:colOff>
                <xdr:row>7</xdr:row>
                <xdr:rowOff>171450</xdr:rowOff>
              </from>
              <to>
                <xdr:col>7</xdr:col>
                <xdr:colOff>165100</xdr:colOff>
                <xdr:row>10</xdr:row>
                <xdr:rowOff>31750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r:id="rId25">
            <anchor moveWithCells="1">
              <from>
                <xdr:col>8</xdr:col>
                <xdr:colOff>50800</xdr:colOff>
                <xdr:row>10</xdr:row>
                <xdr:rowOff>95250</xdr:rowOff>
              </from>
              <to>
                <xdr:col>10</xdr:col>
                <xdr:colOff>203200</xdr:colOff>
                <xdr:row>12</xdr:row>
                <xdr:rowOff>139700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11"/>
  <sheetViews>
    <sheetView showGridLines="0" workbookViewId="0">
      <selection activeCell="C5" sqref="C5"/>
    </sheetView>
  </sheetViews>
  <sheetFormatPr defaultRowHeight="30" customHeight="1" x14ac:dyDescent="0.35"/>
  <cols>
    <col min="2" max="2" width="30.81640625" style="19" bestFit="1" customWidth="1"/>
    <col min="3" max="3" width="47.54296875" style="18" customWidth="1"/>
    <col min="6" max="6" width="24.1796875" customWidth="1"/>
  </cols>
  <sheetData>
    <row r="1" spans="1:6" ht="30" customHeight="1" x14ac:dyDescent="0.35">
      <c r="A1" s="24"/>
      <c r="C1" s="17"/>
    </row>
    <row r="2" spans="1:6" ht="30" customHeight="1" x14ac:dyDescent="0.35">
      <c r="B2" s="20" t="s">
        <v>91</v>
      </c>
      <c r="C2" s="21"/>
    </row>
    <row r="3" spans="1:6" ht="30" customHeight="1" x14ac:dyDescent="0.35">
      <c r="B3" s="20" t="s">
        <v>92</v>
      </c>
      <c r="C3" s="25"/>
      <c r="F3" s="90"/>
    </row>
    <row r="4" spans="1:6" ht="30" customHeight="1" x14ac:dyDescent="0.35">
      <c r="B4" s="20" t="s">
        <v>93</v>
      </c>
      <c r="C4" s="23"/>
      <c r="F4" s="91"/>
    </row>
    <row r="5" spans="1:6" ht="30" customHeight="1" x14ac:dyDescent="0.35">
      <c r="B5" s="20" t="s">
        <v>94</v>
      </c>
      <c r="C5" s="23"/>
    </row>
    <row r="6" spans="1:6" ht="30" customHeight="1" x14ac:dyDescent="0.35">
      <c r="B6" s="20" t="s">
        <v>95</v>
      </c>
      <c r="C6" s="23"/>
    </row>
    <row r="7" spans="1:6" ht="30" customHeight="1" x14ac:dyDescent="0.35">
      <c r="B7" s="20" t="s">
        <v>96</v>
      </c>
      <c r="C7" s="23"/>
    </row>
    <row r="8" spans="1:6" ht="30" customHeight="1" x14ac:dyDescent="0.35">
      <c r="B8" s="20" t="s">
        <v>97</v>
      </c>
      <c r="C8" s="23"/>
    </row>
    <row r="9" spans="1:6" ht="30" customHeight="1" x14ac:dyDescent="0.35">
      <c r="B9" s="20" t="s">
        <v>98</v>
      </c>
      <c r="C9" s="23"/>
    </row>
    <row r="10" spans="1:6" ht="30" customHeight="1" x14ac:dyDescent="0.35">
      <c r="B10" s="20" t="s">
        <v>99</v>
      </c>
      <c r="C10" s="23"/>
    </row>
    <row r="11" spans="1:6" ht="30" customHeight="1" x14ac:dyDescent="0.35">
      <c r="B11" s="20" t="s">
        <v>100</v>
      </c>
      <c r="C11" s="23"/>
    </row>
  </sheetData>
  <sheetProtection sheet="1" selectLockedCells="1"/>
  <protectedRanges>
    <protectedRange sqref="F4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5</xdr:col>
                <xdr:colOff>31750</xdr:colOff>
                <xdr:row>4</xdr:row>
                <xdr:rowOff>19050</xdr:rowOff>
              </from>
              <to>
                <xdr:col>5</xdr:col>
                <xdr:colOff>1403350</xdr:colOff>
                <xdr:row>4</xdr:row>
                <xdr:rowOff>342900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5</xdr:col>
                <xdr:colOff>31750</xdr:colOff>
                <xdr:row>1</xdr:row>
                <xdr:rowOff>336550</xdr:rowOff>
              </from>
              <to>
                <xdr:col>5</xdr:col>
                <xdr:colOff>1403350</xdr:colOff>
                <xdr:row>2</xdr:row>
                <xdr:rowOff>279400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260350</xdr:colOff>
                <xdr:row>9</xdr:row>
                <xdr:rowOff>95250</xdr:rowOff>
              </from>
              <to>
                <xdr:col>2</xdr:col>
                <xdr:colOff>450850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374650</xdr:rowOff>
              </from>
              <to>
                <xdr:col>2</xdr:col>
                <xdr:colOff>2762250</xdr:colOff>
                <xdr:row>2</xdr:row>
                <xdr:rowOff>317500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31750</xdr:colOff>
                <xdr:row>10</xdr:row>
                <xdr:rowOff>19050</xdr:rowOff>
              </from>
              <to>
                <xdr:col>2</xdr:col>
                <xdr:colOff>2774950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2"/>
  <sheetViews>
    <sheetView showGridLines="0" workbookViewId="0">
      <selection activeCell="B7" sqref="B7"/>
    </sheetView>
  </sheetViews>
  <sheetFormatPr defaultRowHeight="30" customHeight="1" x14ac:dyDescent="0.35"/>
  <cols>
    <col min="1" max="1" width="30.81640625" bestFit="1" customWidth="1"/>
    <col min="2" max="2" width="45.54296875" style="18" customWidth="1"/>
    <col min="4" max="4" width="26.54296875" customWidth="1"/>
  </cols>
  <sheetData>
    <row r="2" spans="1:4" ht="30" customHeight="1" x14ac:dyDescent="0.35">
      <c r="A2" s="7" t="s">
        <v>78</v>
      </c>
      <c r="B2" s="21"/>
    </row>
    <row r="3" spans="1:4" ht="30" customHeight="1" x14ac:dyDescent="0.35">
      <c r="A3" s="7" t="s">
        <v>70</v>
      </c>
      <c r="B3" s="25">
        <v>28</v>
      </c>
    </row>
    <row r="4" spans="1:4" ht="30" customHeight="1" x14ac:dyDescent="0.35">
      <c r="A4" s="7" t="s">
        <v>72</v>
      </c>
      <c r="B4" s="22"/>
      <c r="D4" s="91"/>
    </row>
    <row r="5" spans="1:4" ht="30" customHeight="1" x14ac:dyDescent="0.35">
      <c r="A5" s="7" t="s">
        <v>71</v>
      </c>
      <c r="B5" s="23"/>
    </row>
    <row r="6" spans="1:4" ht="30" customHeight="1" x14ac:dyDescent="0.35">
      <c r="A6" s="7" t="s">
        <v>6</v>
      </c>
      <c r="B6" s="23"/>
    </row>
    <row r="7" spans="1:4" ht="30" customHeight="1" x14ac:dyDescent="0.35">
      <c r="A7" s="7" t="s">
        <v>69</v>
      </c>
      <c r="B7" s="23"/>
    </row>
    <row r="8" spans="1:4" ht="30" customHeight="1" x14ac:dyDescent="0.35">
      <c r="A8" s="7" t="s">
        <v>7</v>
      </c>
      <c r="B8" s="23"/>
    </row>
    <row r="9" spans="1:4" ht="30" customHeight="1" x14ac:dyDescent="0.35">
      <c r="A9" s="7" t="s">
        <v>8</v>
      </c>
      <c r="B9" s="23"/>
    </row>
    <row r="10" spans="1:4" ht="30" customHeight="1" x14ac:dyDescent="0.35">
      <c r="A10" s="7" t="s">
        <v>9</v>
      </c>
      <c r="B10" s="23"/>
    </row>
    <row r="11" spans="1:4" ht="30" customHeight="1" x14ac:dyDescent="0.35">
      <c r="A11" s="7"/>
      <c r="B11" s="17"/>
    </row>
    <row r="12" spans="1:4" ht="30" customHeight="1" x14ac:dyDescent="0.35">
      <c r="A12" s="7"/>
      <c r="B12" s="17"/>
    </row>
  </sheetData>
  <sheetProtection sheet="1" selectLockedCells="1"/>
  <protectedRanges>
    <protectedRange sqref="D4" name="CompanyLocationNote"/>
    <protectedRange sqref="B2:B10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88900</xdr:rowOff>
              </from>
              <to>
                <xdr:col>3</xdr:col>
                <xdr:colOff>1409700</xdr:colOff>
                <xdr:row>5</xdr:row>
                <xdr:rowOff>31750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12700</xdr:colOff>
                <xdr:row>8</xdr:row>
                <xdr:rowOff>31750</xdr:rowOff>
              </from>
              <to>
                <xdr:col>1</xdr:col>
                <xdr:colOff>3086100</xdr:colOff>
                <xdr:row>9</xdr:row>
                <xdr:rowOff>12700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6145" r:id="rId12" name="cbCompan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4"/>
  <sheetViews>
    <sheetView showGridLines="0" workbookViewId="0">
      <selection activeCell="B2" sqref="B2"/>
    </sheetView>
  </sheetViews>
  <sheetFormatPr defaultRowHeight="30" customHeight="1" x14ac:dyDescent="0.35"/>
  <cols>
    <col min="1" max="1" width="30.81640625" style="7" bestFit="1" customWidth="1"/>
    <col min="2" max="2" width="46" style="18" customWidth="1"/>
    <col min="4" max="4" width="35.54296875" customWidth="1"/>
  </cols>
  <sheetData>
    <row r="1" spans="1:7" ht="30" customHeight="1" x14ac:dyDescent="0.35">
      <c r="B1" s="17"/>
    </row>
    <row r="2" spans="1:7" ht="30" customHeight="1" x14ac:dyDescent="0.35">
      <c r="A2" s="7" t="s">
        <v>78</v>
      </c>
      <c r="B2" s="21"/>
    </row>
    <row r="3" spans="1:7" ht="30" customHeight="1" x14ac:dyDescent="0.35">
      <c r="A3" s="7" t="s">
        <v>89</v>
      </c>
      <c r="B3" s="25">
        <v>28</v>
      </c>
      <c r="D3" s="29" t="s">
        <v>166</v>
      </c>
      <c r="E3" s="28"/>
      <c r="F3" s="28"/>
      <c r="G3" s="28"/>
    </row>
    <row r="4" spans="1:7" ht="30" customHeight="1" x14ac:dyDescent="0.35">
      <c r="A4" s="7" t="s">
        <v>90</v>
      </c>
      <c r="B4" s="22"/>
    </row>
    <row r="5" spans="1:7" ht="30" customHeight="1" x14ac:dyDescent="0.35">
      <c r="A5" s="7" t="s">
        <v>11</v>
      </c>
      <c r="B5" s="23"/>
    </row>
    <row r="6" spans="1:7" ht="30" customHeight="1" x14ac:dyDescent="0.35">
      <c r="A6" s="7" t="s">
        <v>12</v>
      </c>
      <c r="B6" s="23"/>
    </row>
    <row r="7" spans="1:7" ht="30" customHeight="1" x14ac:dyDescent="0.35">
      <c r="A7" s="7" t="s">
        <v>6</v>
      </c>
      <c r="B7" s="23"/>
    </row>
    <row r="8" spans="1:7" ht="30" customHeight="1" x14ac:dyDescent="0.35">
      <c r="A8" s="7" t="s">
        <v>69</v>
      </c>
      <c r="B8" s="23"/>
    </row>
    <row r="9" spans="1:7" ht="30" customHeight="1" x14ac:dyDescent="0.35">
      <c r="A9" s="7" t="s">
        <v>7</v>
      </c>
      <c r="B9" s="23"/>
    </row>
    <row r="10" spans="1:7" ht="30" customHeight="1" x14ac:dyDescent="0.35">
      <c r="A10" s="7" t="s">
        <v>8</v>
      </c>
      <c r="B10" s="23"/>
    </row>
    <row r="11" spans="1:7" ht="30" customHeight="1" x14ac:dyDescent="0.35">
      <c r="A11" s="7" t="s">
        <v>9</v>
      </c>
      <c r="B11" s="23"/>
    </row>
    <row r="12" spans="1:7" ht="30" customHeight="1" x14ac:dyDescent="0.35">
      <c r="A12" s="7" t="s">
        <v>87</v>
      </c>
      <c r="B12" s="27"/>
    </row>
    <row r="13" spans="1:7" ht="30" customHeight="1" x14ac:dyDescent="0.35">
      <c r="A13" s="7" t="s">
        <v>88</v>
      </c>
      <c r="B13" s="23"/>
    </row>
    <row r="14" spans="1:7" ht="30" customHeight="1" x14ac:dyDescent="0.35">
      <c r="A14" s="7" t="s">
        <v>68</v>
      </c>
      <c r="B14" s="23"/>
    </row>
  </sheetData>
  <sheetProtection sheet="1" selectLockedCells="1"/>
  <protectedRanges>
    <protectedRange sqref="D3" name="ContactsNote"/>
    <protectedRange sqref="B2:B14" name="ContactsMain"/>
  </protectedRanges>
  <dataConsolidate/>
  <dataValidations disablePrompts="1"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203200</xdr:colOff>
                <xdr:row>3</xdr:row>
                <xdr:rowOff>69850</xdr:rowOff>
              </from>
              <to>
                <xdr:col>3</xdr:col>
                <xdr:colOff>1593850</xdr:colOff>
                <xdr:row>4</xdr:row>
                <xdr:rowOff>12700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12700</xdr:colOff>
                <xdr:row>9</xdr:row>
                <xdr:rowOff>31750</xdr:rowOff>
              </from>
              <to>
                <xdr:col>1</xdr:col>
                <xdr:colOff>3086100</xdr:colOff>
                <xdr:row>10</xdr:row>
                <xdr:rowOff>12700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203200</xdr:colOff>
                <xdr:row>1</xdr:row>
                <xdr:rowOff>31750</xdr:rowOff>
              </from>
              <to>
                <xdr:col>3</xdr:col>
                <xdr:colOff>1574800</xdr:colOff>
                <xdr:row>1</xdr:row>
                <xdr:rowOff>355600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260350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292100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35"/>
  <cols>
    <col min="1" max="1" width="30.81640625" bestFit="1" customWidth="1"/>
    <col min="2" max="2" width="46" style="18" customWidth="1"/>
    <col min="4" max="4" width="20.1796875" customWidth="1"/>
  </cols>
  <sheetData>
    <row r="1" spans="1:4" ht="30" customHeight="1" x14ac:dyDescent="0.35">
      <c r="B1" s="17"/>
    </row>
    <row r="2" spans="1:4" ht="30" customHeight="1" x14ac:dyDescent="0.35">
      <c r="A2" s="7" t="s">
        <v>78</v>
      </c>
      <c r="B2" s="21"/>
    </row>
    <row r="3" spans="1:4" ht="30" customHeight="1" x14ac:dyDescent="0.35">
      <c r="A3" s="7" t="s">
        <v>42</v>
      </c>
      <c r="B3" s="23"/>
      <c r="D3" s="91"/>
    </row>
    <row r="4" spans="1:4" ht="30" customHeight="1" x14ac:dyDescent="0.35">
      <c r="A4" s="7" t="s">
        <v>73</v>
      </c>
      <c r="B4" s="25">
        <v>28</v>
      </c>
    </row>
    <row r="5" spans="1:4" ht="30" customHeight="1" x14ac:dyDescent="0.35">
      <c r="A5" s="7" t="s">
        <v>25</v>
      </c>
      <c r="B5" s="22"/>
    </row>
    <row r="6" spans="1:4" ht="30" customHeight="1" x14ac:dyDescent="0.35">
      <c r="A6" s="7" t="s">
        <v>74</v>
      </c>
      <c r="B6" s="23"/>
    </row>
    <row r="7" spans="1:4" ht="30" customHeight="1" x14ac:dyDescent="0.35">
      <c r="A7" s="7" t="s">
        <v>75</v>
      </c>
      <c r="B7" s="23"/>
    </row>
    <row r="8" spans="1:4" ht="30" customHeight="1" x14ac:dyDescent="0.35">
      <c r="A8" s="7" t="s">
        <v>28</v>
      </c>
      <c r="B8" s="23"/>
    </row>
    <row r="9" spans="1:4" ht="30" customHeight="1" x14ac:dyDescent="0.35">
      <c r="A9" s="7" t="s">
        <v>29</v>
      </c>
      <c r="B9" s="23"/>
    </row>
    <row r="10" spans="1:4" ht="30" customHeight="1" x14ac:dyDescent="0.35">
      <c r="A10" s="7"/>
      <c r="B10" s="17"/>
    </row>
    <row r="11" spans="1:4" ht="30" customHeight="1" x14ac:dyDescent="0.35">
      <c r="A11" s="7"/>
      <c r="B11" s="17"/>
    </row>
    <row r="12" spans="1:4" ht="30" customHeight="1" x14ac:dyDescent="0.35">
      <c r="A12" s="7"/>
      <c r="B12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374650</xdr:rowOff>
              </from>
              <to>
                <xdr:col>3</xdr:col>
                <xdr:colOff>1371600</xdr:colOff>
                <xdr:row>3</xdr:row>
                <xdr:rowOff>317500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12700</xdr:colOff>
                <xdr:row>3</xdr:row>
                <xdr:rowOff>57150</xdr:rowOff>
              </from>
              <to>
                <xdr:col>1</xdr:col>
                <xdr:colOff>3086100</xdr:colOff>
                <xdr:row>3</xdr:row>
                <xdr:rowOff>368300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31750</xdr:rowOff>
              </from>
              <to>
                <xdr:col>3</xdr:col>
                <xdr:colOff>1371600</xdr:colOff>
                <xdr:row>1</xdr:row>
                <xdr:rowOff>355600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12700</xdr:colOff>
                <xdr:row>2</xdr:row>
                <xdr:rowOff>38100</xdr:rowOff>
              </from>
              <to>
                <xdr:col>1</xdr:col>
                <xdr:colOff>3086100</xdr:colOff>
                <xdr:row>3</xdr:row>
                <xdr:rowOff>19050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35"/>
  <cols>
    <col min="1" max="1" width="13.26953125" customWidth="1"/>
    <col min="2" max="2" width="23.1796875" style="18" customWidth="1"/>
    <col min="3" max="3" width="6.54296875" customWidth="1"/>
    <col min="4" max="4" width="11.54296875" customWidth="1"/>
  </cols>
  <sheetData>
    <row r="1" spans="1:4" ht="30" customHeight="1" x14ac:dyDescent="0.35">
      <c r="B1" s="17"/>
    </row>
    <row r="2" spans="1:4" ht="30" customHeight="1" x14ac:dyDescent="0.35">
      <c r="A2" s="7" t="s">
        <v>78</v>
      </c>
      <c r="B2" s="21"/>
    </row>
    <row r="3" spans="1:4" ht="30" customHeight="1" x14ac:dyDescent="0.35">
      <c r="A3" s="7" t="s">
        <v>42</v>
      </c>
      <c r="B3" s="25"/>
      <c r="D3" s="91"/>
    </row>
    <row r="4" spans="1:4" ht="30" customHeight="1" x14ac:dyDescent="0.35">
      <c r="A4" s="7" t="s">
        <v>79</v>
      </c>
      <c r="B4" s="25"/>
    </row>
    <row r="5" spans="1:4" ht="30" customHeight="1" x14ac:dyDescent="0.35">
      <c r="A5" s="7" t="s">
        <v>80</v>
      </c>
      <c r="B5" s="22"/>
    </row>
    <row r="6" spans="1:4" ht="30" customHeight="1" x14ac:dyDescent="0.35">
      <c r="A6" s="7" t="s">
        <v>74</v>
      </c>
      <c r="B6" s="23" t="s">
        <v>213</v>
      </c>
    </row>
    <row r="7" spans="1:4" ht="30" customHeight="1" x14ac:dyDescent="0.35">
      <c r="A7" s="7" t="s">
        <v>28</v>
      </c>
      <c r="B7" s="23" t="s">
        <v>214</v>
      </c>
    </row>
    <row r="8" spans="1:4" ht="30" customHeight="1" x14ac:dyDescent="0.35">
      <c r="A8" s="7" t="s">
        <v>29</v>
      </c>
      <c r="B8" s="92">
        <v>2017</v>
      </c>
    </row>
    <row r="9" spans="1:4" ht="30" customHeight="1" x14ac:dyDescent="0.35">
      <c r="A9" s="7"/>
      <c r="B9" s="17"/>
    </row>
    <row r="10" spans="1:4" ht="30" customHeight="1" x14ac:dyDescent="0.35">
      <c r="A10" s="7"/>
      <c r="B10" s="17"/>
    </row>
    <row r="11" spans="1:4" ht="30" customHeight="1" x14ac:dyDescent="0.35">
      <c r="A11" s="7"/>
      <c r="B11" s="17"/>
    </row>
  </sheetData>
  <sheetProtection selectLockedCells="1"/>
  <protectedRanges>
    <protectedRange sqref="D3" name="EngineNote"/>
    <protectedRange sqref="B2:B4" name="EngineMain1"/>
    <protectedRange sqref="B6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431800</xdr:colOff>
                <xdr:row>2</xdr:row>
                <xdr:rowOff>323850</xdr:rowOff>
              </from>
              <to>
                <xdr:col>3</xdr:col>
                <xdr:colOff>660400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12700</xdr:colOff>
                <xdr:row>1</xdr:row>
                <xdr:rowOff>19050</xdr:rowOff>
              </from>
              <to>
                <xdr:col>1</xdr:col>
                <xdr:colOff>1543050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12700</xdr:colOff>
                <xdr:row>2</xdr:row>
                <xdr:rowOff>12700</xdr:rowOff>
              </from>
              <to>
                <xdr:col>1</xdr:col>
                <xdr:colOff>1543050</xdr:colOff>
                <xdr:row>2</xdr:row>
                <xdr:rowOff>374650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431800</xdr:colOff>
                <xdr:row>0</xdr:row>
                <xdr:rowOff>355600</xdr:rowOff>
              </from>
              <to>
                <xdr:col>3</xdr:col>
                <xdr:colOff>660400</xdr:colOff>
                <xdr:row>1</xdr:row>
                <xdr:rowOff>298450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12700</xdr:colOff>
                <xdr:row>3</xdr:row>
                <xdr:rowOff>12700</xdr:rowOff>
              </from>
              <to>
                <xdr:col>1</xdr:col>
                <xdr:colOff>1543050</xdr:colOff>
                <xdr:row>3</xdr:row>
                <xdr:rowOff>374650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35"/>
  <cols>
    <col min="1" max="1" width="30.81640625" bestFit="1" customWidth="1"/>
    <col min="2" max="2" width="47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76</v>
      </c>
      <c r="B2" s="21"/>
    </row>
    <row r="3" spans="1:2" ht="30" customHeight="1" x14ac:dyDescent="0.35">
      <c r="A3" s="9" t="s">
        <v>77</v>
      </c>
      <c r="B3" s="22"/>
    </row>
    <row r="4" spans="1:2" ht="30" customHeight="1" x14ac:dyDescent="0.35">
      <c r="A4" s="7" t="s">
        <v>42</v>
      </c>
      <c r="B4" s="23"/>
    </row>
    <row r="5" spans="1:2" ht="30" customHeight="1" x14ac:dyDescent="0.35">
      <c r="A5" s="7"/>
      <c r="B5" s="17"/>
    </row>
    <row r="6" spans="1:2" ht="30" customHeight="1" x14ac:dyDescent="0.35">
      <c r="A6" s="7"/>
      <c r="B6" s="17"/>
    </row>
    <row r="7" spans="1:2" ht="30" customHeight="1" x14ac:dyDescent="0.35">
      <c r="A7" s="7"/>
      <c r="B7" s="17"/>
    </row>
    <row r="8" spans="1:2" ht="30" customHeight="1" x14ac:dyDescent="0.35">
      <c r="A8" s="7"/>
      <c r="B8" s="17"/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603250</xdr:colOff>
                <xdr:row>2</xdr:row>
                <xdr:rowOff>146050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12700</xdr:colOff>
                <xdr:row>1</xdr:row>
                <xdr:rowOff>12700</xdr:rowOff>
              </from>
              <to>
                <xdr:col>1</xdr:col>
                <xdr:colOff>3219450</xdr:colOff>
                <xdr:row>1</xdr:row>
                <xdr:rowOff>374650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35"/>
  <cols>
    <col min="1" max="1" width="30.81640625" bestFit="1" customWidth="1"/>
    <col min="2" max="2" width="46.542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81</v>
      </c>
      <c r="B3" s="25">
        <v>28</v>
      </c>
    </row>
    <row r="4" spans="1:2" ht="30" customHeight="1" x14ac:dyDescent="0.35">
      <c r="A4" s="9" t="s">
        <v>82</v>
      </c>
      <c r="B4" s="22"/>
    </row>
    <row r="5" spans="1:2" ht="30" customHeight="1" x14ac:dyDescent="0.35">
      <c r="A5" s="7" t="s">
        <v>83</v>
      </c>
      <c r="B5" s="23"/>
    </row>
    <row r="6" spans="1:2" ht="30" customHeight="1" x14ac:dyDescent="0.35">
      <c r="A6" s="7" t="s">
        <v>42</v>
      </c>
      <c r="B6" s="23"/>
    </row>
    <row r="7" spans="1:2" ht="30" customHeight="1" x14ac:dyDescent="0.35">
      <c r="A7" s="7" t="s">
        <v>84</v>
      </c>
      <c r="B7" s="23"/>
    </row>
    <row r="8" spans="1:2" ht="30" customHeight="1" x14ac:dyDescent="0.35">
      <c r="A8" s="7" t="s">
        <v>85</v>
      </c>
      <c r="B8" s="23"/>
    </row>
    <row r="9" spans="1:2" ht="30" customHeight="1" x14ac:dyDescent="0.35">
      <c r="A9" s="7" t="s">
        <v>40</v>
      </c>
      <c r="B9" s="23"/>
    </row>
    <row r="10" spans="1:2" ht="30" customHeight="1" x14ac:dyDescent="0.35">
      <c r="A10" s="7" t="s">
        <v>86</v>
      </c>
      <c r="B10" s="23"/>
    </row>
    <row r="11" spans="1:2" ht="30" customHeight="1" x14ac:dyDescent="0.35">
      <c r="A11" s="7" t="s">
        <v>44</v>
      </c>
      <c r="B11" s="23"/>
    </row>
    <row r="12" spans="1:2" ht="30" customHeight="1" x14ac:dyDescent="0.35">
      <c r="A12" s="7" t="s">
        <v>45</v>
      </c>
      <c r="B12" s="26"/>
    </row>
    <row r="13" spans="1:2" ht="30" customHeight="1" x14ac:dyDescent="0.35">
      <c r="A13" s="7" t="s">
        <v>46</v>
      </c>
      <c r="B13" s="26"/>
    </row>
    <row r="14" spans="1:2" ht="30" customHeight="1" x14ac:dyDescent="0.35">
      <c r="A14" s="7" t="s">
        <v>47</v>
      </c>
      <c r="B14" s="2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584200</xdr:colOff>
                <xdr:row>2</xdr:row>
                <xdr:rowOff>152400</xdr:rowOff>
              </from>
              <to>
                <xdr:col>6</xdr:col>
                <xdr:colOff>133350</xdr:colOff>
                <xdr:row>3</xdr:row>
                <xdr:rowOff>63500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31750</xdr:colOff>
                <xdr:row>5</xdr:row>
                <xdr:rowOff>19050</xdr:rowOff>
              </from>
              <to>
                <xdr:col>1</xdr:col>
                <xdr:colOff>3105150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12700</xdr:colOff>
                <xdr:row>4</xdr:row>
                <xdr:rowOff>12700</xdr:rowOff>
              </from>
              <to>
                <xdr:col>1</xdr:col>
                <xdr:colOff>3086100</xdr:colOff>
                <xdr:row>4</xdr:row>
                <xdr:rowOff>374650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12700</xdr:rowOff>
              </from>
              <to>
                <xdr:col>1</xdr:col>
                <xdr:colOff>3092450</xdr:colOff>
                <xdr:row>9</xdr:row>
                <xdr:rowOff>374650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E3:F97"/>
  <sheetViews>
    <sheetView topLeftCell="D1" workbookViewId="0">
      <selection activeCell="F6" sqref="F6"/>
    </sheetView>
  </sheetViews>
  <sheetFormatPr defaultRowHeight="14.5" x14ac:dyDescent="0.35"/>
  <cols>
    <col min="5" max="5" width="46.81640625" bestFit="1" customWidth="1"/>
    <col min="6" max="6" width="24.54296875" bestFit="1" customWidth="1"/>
  </cols>
  <sheetData>
    <row r="3" spans="5:6" ht="18" x14ac:dyDescent="0.4">
      <c r="E3" s="1" t="s">
        <v>0</v>
      </c>
      <c r="F3" s="2"/>
    </row>
    <row r="4" spans="5:6" x14ac:dyDescent="0.35">
      <c r="E4" s="2"/>
      <c r="F4" s="2"/>
    </row>
    <row r="5" spans="5:6" x14ac:dyDescent="0.35">
      <c r="E5" s="3" t="s">
        <v>1</v>
      </c>
      <c r="F5" s="3"/>
    </row>
    <row r="6" spans="5:6" x14ac:dyDescent="0.35">
      <c r="E6" s="3" t="s">
        <v>2</v>
      </c>
      <c r="F6" s="4"/>
    </row>
    <row r="7" spans="5:6" x14ac:dyDescent="0.35">
      <c r="E7" s="2"/>
      <c r="F7" s="2"/>
    </row>
    <row r="8" spans="5:6" ht="23.5" customHeight="1" x14ac:dyDescent="0.35">
      <c r="E8" s="5" t="s">
        <v>3</v>
      </c>
      <c r="F8" s="6"/>
    </row>
    <row r="9" spans="5:6" x14ac:dyDescent="0.35">
      <c r="E9" s="7" t="s">
        <v>4</v>
      </c>
      <c r="F9" s="8"/>
    </row>
    <row r="10" spans="5:6" x14ac:dyDescent="0.35">
      <c r="E10" s="9" t="s">
        <v>5</v>
      </c>
      <c r="F10" s="8"/>
    </row>
    <row r="11" spans="5:6" x14ac:dyDescent="0.35">
      <c r="E11" s="7" t="s">
        <v>6</v>
      </c>
      <c r="F11" s="8"/>
    </row>
    <row r="12" spans="5:6" x14ac:dyDescent="0.35">
      <c r="E12" s="7" t="s">
        <v>7</v>
      </c>
      <c r="F12" s="8"/>
    </row>
    <row r="13" spans="5:6" x14ac:dyDescent="0.35">
      <c r="E13" s="7" t="s">
        <v>8</v>
      </c>
      <c r="F13" s="8"/>
    </row>
    <row r="14" spans="5:6" x14ac:dyDescent="0.35">
      <c r="E14" s="7" t="s">
        <v>9</v>
      </c>
      <c r="F14" s="8"/>
    </row>
    <row r="15" spans="5:6" x14ac:dyDescent="0.35">
      <c r="E15" s="7" t="s">
        <v>10</v>
      </c>
      <c r="F15" s="8"/>
    </row>
    <row r="16" spans="5:6" x14ac:dyDescent="0.35">
      <c r="E16" s="7" t="s">
        <v>11</v>
      </c>
      <c r="F16" s="8"/>
    </row>
    <row r="17" spans="5:6" x14ac:dyDescent="0.35">
      <c r="E17" s="7" t="s">
        <v>12</v>
      </c>
      <c r="F17" s="8"/>
    </row>
    <row r="18" spans="5:6" x14ac:dyDescent="0.35">
      <c r="E18" s="7" t="s">
        <v>13</v>
      </c>
      <c r="F18" s="8"/>
    </row>
    <row r="19" spans="5:6" x14ac:dyDescent="0.35">
      <c r="E19" s="7"/>
      <c r="F19" s="8"/>
    </row>
    <row r="20" spans="5:6" x14ac:dyDescent="0.35">
      <c r="E20" s="5" t="s">
        <v>14</v>
      </c>
      <c r="F20" s="8"/>
    </row>
    <row r="21" spans="5:6" x14ac:dyDescent="0.35">
      <c r="E21" s="7" t="s">
        <v>15</v>
      </c>
      <c r="F21" s="8"/>
    </row>
    <row r="22" spans="5:6" x14ac:dyDescent="0.35">
      <c r="E22" s="9" t="s">
        <v>16</v>
      </c>
      <c r="F22" s="8"/>
    </row>
    <row r="23" spans="5:6" x14ac:dyDescent="0.35">
      <c r="E23" s="7" t="s">
        <v>11</v>
      </c>
      <c r="F23" s="8"/>
    </row>
    <row r="24" spans="5:6" x14ac:dyDescent="0.35">
      <c r="E24" s="7" t="s">
        <v>17</v>
      </c>
      <c r="F24" s="8"/>
    </row>
    <row r="25" spans="5:6" x14ac:dyDescent="0.35">
      <c r="E25" s="7"/>
      <c r="F25" s="8"/>
    </row>
    <row r="26" spans="5:6" x14ac:dyDescent="0.35">
      <c r="E26" s="7"/>
      <c r="F26" s="8"/>
    </row>
    <row r="27" spans="5:6" x14ac:dyDescent="0.35">
      <c r="E27" s="7"/>
      <c r="F27" s="8"/>
    </row>
    <row r="28" spans="5:6" x14ac:dyDescent="0.35">
      <c r="E28" s="7" t="s">
        <v>13</v>
      </c>
      <c r="F28" s="8"/>
    </row>
    <row r="29" spans="5:6" x14ac:dyDescent="0.35">
      <c r="E29" s="7" t="s">
        <v>18</v>
      </c>
      <c r="F29" s="8"/>
    </row>
    <row r="30" spans="5:6" x14ac:dyDescent="0.35">
      <c r="E30" s="7"/>
      <c r="F30" s="8"/>
    </row>
    <row r="31" spans="5:6" x14ac:dyDescent="0.35">
      <c r="E31" s="7"/>
      <c r="F31" s="8"/>
    </row>
    <row r="32" spans="5:6" x14ac:dyDescent="0.35">
      <c r="E32" s="5" t="s">
        <v>19</v>
      </c>
      <c r="F32" s="8"/>
    </row>
    <row r="33" spans="5:6" x14ac:dyDescent="0.35">
      <c r="E33" s="7" t="s">
        <v>20</v>
      </c>
      <c r="F33" s="8"/>
    </row>
    <row r="34" spans="5:6" x14ac:dyDescent="0.35">
      <c r="E34" s="7" t="s">
        <v>7</v>
      </c>
      <c r="F34" s="8"/>
    </row>
    <row r="35" spans="5:6" x14ac:dyDescent="0.35">
      <c r="E35" s="7" t="s">
        <v>8</v>
      </c>
      <c r="F35" s="8"/>
    </row>
    <row r="36" spans="5:6" x14ac:dyDescent="0.35">
      <c r="E36" s="7" t="s">
        <v>9</v>
      </c>
      <c r="F36" s="8"/>
    </row>
    <row r="37" spans="5:6" x14ac:dyDescent="0.35">
      <c r="E37" s="7"/>
      <c r="F37" s="8"/>
    </row>
    <row r="38" spans="5:6" x14ac:dyDescent="0.35">
      <c r="E38" s="7"/>
      <c r="F38" s="8"/>
    </row>
    <row r="39" spans="5:6" x14ac:dyDescent="0.35">
      <c r="E39" s="7"/>
      <c r="F39" s="8"/>
    </row>
    <row r="40" spans="5:6" x14ac:dyDescent="0.35">
      <c r="E40" s="5" t="s">
        <v>21</v>
      </c>
      <c r="F40" s="8"/>
    </row>
    <row r="41" spans="5:6" x14ac:dyDescent="0.35">
      <c r="E41" s="7" t="s">
        <v>22</v>
      </c>
      <c r="F41" s="8"/>
    </row>
    <row r="42" spans="5:6" x14ac:dyDescent="0.35">
      <c r="E42" s="7" t="s">
        <v>23</v>
      </c>
      <c r="F42" s="8"/>
    </row>
    <row r="43" spans="5:6" x14ac:dyDescent="0.35">
      <c r="E43" s="7" t="s">
        <v>24</v>
      </c>
      <c r="F43" s="8"/>
    </row>
    <row r="44" spans="5:6" x14ac:dyDescent="0.35">
      <c r="E44" s="9" t="s">
        <v>25</v>
      </c>
      <c r="F44" s="8"/>
    </row>
    <row r="45" spans="5:6" x14ac:dyDescent="0.35">
      <c r="E45" s="7" t="s">
        <v>26</v>
      </c>
      <c r="F45" s="8"/>
    </row>
    <row r="46" spans="5:6" x14ac:dyDescent="0.35">
      <c r="E46" s="7" t="s">
        <v>27</v>
      </c>
      <c r="F46" s="8"/>
    </row>
    <row r="47" spans="5:6" x14ac:dyDescent="0.35">
      <c r="E47" s="7" t="s">
        <v>28</v>
      </c>
      <c r="F47" s="8"/>
    </row>
    <row r="48" spans="5:6" x14ac:dyDescent="0.35">
      <c r="E48" s="7" t="s">
        <v>29</v>
      </c>
      <c r="F48" s="8"/>
    </row>
    <row r="49" spans="5:6" x14ac:dyDescent="0.35">
      <c r="E49" s="7"/>
      <c r="F49" s="8"/>
    </row>
    <row r="50" spans="5:6" x14ac:dyDescent="0.35">
      <c r="E50" s="5" t="s">
        <v>30</v>
      </c>
      <c r="F50" s="8"/>
    </row>
    <row r="51" spans="5:6" x14ac:dyDescent="0.35">
      <c r="E51" s="7" t="s">
        <v>31</v>
      </c>
      <c r="F51" s="8"/>
    </row>
    <row r="52" spans="5:6" x14ac:dyDescent="0.35">
      <c r="E52" s="7" t="s">
        <v>32</v>
      </c>
      <c r="F52" s="8"/>
    </row>
    <row r="53" spans="5:6" x14ac:dyDescent="0.35">
      <c r="E53" s="7" t="s">
        <v>33</v>
      </c>
      <c r="F53" s="8"/>
    </row>
    <row r="54" spans="5:6" x14ac:dyDescent="0.35">
      <c r="E54" s="7" t="s">
        <v>34</v>
      </c>
      <c r="F54" s="8"/>
    </row>
    <row r="55" spans="5:6" x14ac:dyDescent="0.35">
      <c r="E55" s="7"/>
      <c r="F55" s="8"/>
    </row>
    <row r="56" spans="5:6" x14ac:dyDescent="0.35">
      <c r="E56" s="5" t="s">
        <v>35</v>
      </c>
      <c r="F56" s="8"/>
    </row>
    <row r="57" spans="5:6" x14ac:dyDescent="0.35">
      <c r="E57" s="7" t="s">
        <v>36</v>
      </c>
      <c r="F57" s="10"/>
    </row>
    <row r="58" spans="5:6" x14ac:dyDescent="0.35">
      <c r="E58" s="7" t="s">
        <v>37</v>
      </c>
      <c r="F58" s="8"/>
    </row>
    <row r="59" spans="5:6" x14ac:dyDescent="0.35">
      <c r="E59" s="7" t="s">
        <v>38</v>
      </c>
      <c r="F59" s="8"/>
    </row>
    <row r="60" spans="5:6" x14ac:dyDescent="0.35">
      <c r="E60" s="7" t="s">
        <v>39</v>
      </c>
      <c r="F60" s="8"/>
    </row>
    <row r="61" spans="5:6" x14ac:dyDescent="0.35">
      <c r="E61" s="7" t="s">
        <v>40</v>
      </c>
      <c r="F61" s="8"/>
    </row>
    <row r="62" spans="5:6" x14ac:dyDescent="0.35">
      <c r="E62" s="7" t="s">
        <v>41</v>
      </c>
      <c r="F62" s="8"/>
    </row>
    <row r="63" spans="5:6" x14ac:dyDescent="0.35">
      <c r="E63" s="7" t="s">
        <v>42</v>
      </c>
      <c r="F63" s="8"/>
    </row>
    <row r="64" spans="5:6" x14ac:dyDescent="0.35">
      <c r="E64" s="7" t="s">
        <v>43</v>
      </c>
      <c r="F64" s="8"/>
    </row>
    <row r="65" spans="5:6" x14ac:dyDescent="0.35">
      <c r="E65" s="7" t="s">
        <v>44</v>
      </c>
      <c r="F65" s="8"/>
    </row>
    <row r="66" spans="5:6" x14ac:dyDescent="0.35">
      <c r="E66" s="7" t="s">
        <v>45</v>
      </c>
      <c r="F66" s="8"/>
    </row>
    <row r="67" spans="5:6" x14ac:dyDescent="0.35">
      <c r="E67" s="7" t="s">
        <v>46</v>
      </c>
      <c r="F67" s="8"/>
    </row>
    <row r="68" spans="5:6" x14ac:dyDescent="0.35">
      <c r="E68" s="7" t="s">
        <v>47</v>
      </c>
      <c r="F68" s="8"/>
    </row>
    <row r="69" spans="5:6" x14ac:dyDescent="0.35">
      <c r="E69" s="7"/>
      <c r="F69" s="8"/>
    </row>
    <row r="70" spans="5:6" x14ac:dyDescent="0.35">
      <c r="E70" s="5" t="s">
        <v>48</v>
      </c>
      <c r="F70" s="8"/>
    </row>
    <row r="71" spans="5:6" x14ac:dyDescent="0.35">
      <c r="E71" s="7" t="s">
        <v>49</v>
      </c>
      <c r="F71" s="11"/>
    </row>
    <row r="72" spans="5:6" x14ac:dyDescent="0.35">
      <c r="E72" s="7" t="s">
        <v>50</v>
      </c>
      <c r="F72" s="8"/>
    </row>
    <row r="73" spans="5:6" x14ac:dyDescent="0.35">
      <c r="E73" s="7" t="s">
        <v>51</v>
      </c>
      <c r="F73" s="8"/>
    </row>
    <row r="74" spans="5:6" x14ac:dyDescent="0.35">
      <c r="E74" s="7" t="s">
        <v>52</v>
      </c>
      <c r="F74" s="8"/>
    </row>
    <row r="75" spans="5:6" x14ac:dyDescent="0.35">
      <c r="E75" s="7" t="s">
        <v>53</v>
      </c>
      <c r="F75" s="12"/>
    </row>
    <row r="76" spans="5:6" x14ac:dyDescent="0.35">
      <c r="E76" s="7" t="s">
        <v>54</v>
      </c>
      <c r="F76" s="8"/>
    </row>
    <row r="77" spans="5:6" x14ac:dyDescent="0.35">
      <c r="E77" s="7" t="s">
        <v>2</v>
      </c>
      <c r="F77" s="13"/>
    </row>
    <row r="78" spans="5:6" x14ac:dyDescent="0.35">
      <c r="E78" s="7"/>
      <c r="F78" s="8"/>
    </row>
    <row r="79" spans="5:6" x14ac:dyDescent="0.35">
      <c r="E79" s="5" t="s">
        <v>55</v>
      </c>
      <c r="F79" s="8"/>
    </row>
    <row r="80" spans="5:6" x14ac:dyDescent="0.35">
      <c r="E80" s="7" t="s">
        <v>56</v>
      </c>
      <c r="F80" s="14"/>
    </row>
    <row r="81" spans="5:6" x14ac:dyDescent="0.35">
      <c r="E81" s="7" t="s">
        <v>57</v>
      </c>
      <c r="F81" s="8"/>
    </row>
    <row r="82" spans="5:6" x14ac:dyDescent="0.35">
      <c r="E82" s="7" t="s">
        <v>58</v>
      </c>
      <c r="F82" s="8"/>
    </row>
    <row r="83" spans="5:6" x14ac:dyDescent="0.35">
      <c r="E83" s="7" t="s">
        <v>59</v>
      </c>
      <c r="F83" s="8"/>
    </row>
    <row r="84" spans="5:6" x14ac:dyDescent="0.35">
      <c r="E84" s="7"/>
      <c r="F84" s="8"/>
    </row>
    <row r="85" spans="5:6" x14ac:dyDescent="0.35">
      <c r="E85" s="5" t="s">
        <v>60</v>
      </c>
      <c r="F85" s="8"/>
    </row>
    <row r="86" spans="5:6" x14ac:dyDescent="0.35">
      <c r="E86" s="7" t="s">
        <v>61</v>
      </c>
      <c r="F86" s="14"/>
    </row>
    <row r="87" spans="5:6" x14ac:dyDescent="0.35">
      <c r="E87" s="7" t="s">
        <v>62</v>
      </c>
      <c r="F87" s="8"/>
    </row>
    <row r="88" spans="5:6" x14ac:dyDescent="0.35">
      <c r="E88" s="7" t="s">
        <v>63</v>
      </c>
      <c r="F88" s="8"/>
    </row>
    <row r="89" spans="5:6" x14ac:dyDescent="0.35">
      <c r="E89" s="7" t="s">
        <v>64</v>
      </c>
      <c r="F89" s="8"/>
    </row>
    <row r="90" spans="5:6" x14ac:dyDescent="0.35">
      <c r="E90" s="15" t="s">
        <v>18</v>
      </c>
      <c r="F90" s="8"/>
    </row>
    <row r="91" spans="5:6" x14ac:dyDescent="0.35">
      <c r="E91" s="5" t="s">
        <v>65</v>
      </c>
      <c r="F91" s="8"/>
    </row>
    <row r="92" spans="5:6" x14ac:dyDescent="0.35">
      <c r="E92" s="16" t="s">
        <v>66</v>
      </c>
      <c r="F92" s="8"/>
    </row>
    <row r="93" spans="5:6" x14ac:dyDescent="0.35">
      <c r="E93" s="16" t="s">
        <v>67</v>
      </c>
      <c r="F93" s="14"/>
    </row>
    <row r="94" spans="5:6" x14ac:dyDescent="0.35">
      <c r="E94" s="7" t="s">
        <v>53</v>
      </c>
      <c r="F94" s="12"/>
    </row>
    <row r="95" spans="5:6" x14ac:dyDescent="0.35">
      <c r="E95" s="7" t="s">
        <v>54</v>
      </c>
      <c r="F95" s="8"/>
    </row>
    <row r="96" spans="5:6" x14ac:dyDescent="0.35">
      <c r="E96" s="2"/>
      <c r="F96" s="2"/>
    </row>
    <row r="97" spans="5:6" x14ac:dyDescent="0.3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10</xdr:col>
                <xdr:colOff>0</xdr:colOff>
                <xdr:row>4</xdr:row>
                <xdr:rowOff>88900</xdr:rowOff>
              </from>
              <to>
                <xdr:col>12</xdr:col>
                <xdr:colOff>158750</xdr:colOff>
                <xdr:row>6</xdr:row>
                <xdr:rowOff>12700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21" r:id="rId6" name="chkFirstCleaning">
          <controlPr autoLine="0" r:id="rId7">
            <anchor moveWithCells="1">
              <from>
                <xdr:col>5</xdr:col>
                <xdr:colOff>819150</xdr:colOff>
                <xdr:row>91</xdr:row>
                <xdr:rowOff>31750</xdr:rowOff>
              </from>
              <to>
                <xdr:col>5</xdr:col>
                <xdr:colOff>1009650</xdr:colOff>
                <xdr:row>92</xdr:row>
                <xdr:rowOff>31750</xdr:rowOff>
              </to>
            </anchor>
          </controlPr>
        </control>
      </mc:Choice>
      <mc:Fallback>
        <control shapeId="21521" r:id="rId6" name="chkFirstCleaning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69850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r:id="rId7">
            <anchor moveWithCells="1">
              <from>
                <xdr:col>5</xdr:col>
                <xdr:colOff>736600</xdr:colOff>
                <xdr:row>87</xdr:row>
                <xdr:rowOff>19050</xdr:rowOff>
              </from>
              <to>
                <xdr:col>5</xdr:col>
                <xdr:colOff>927100</xdr:colOff>
                <xdr:row>88</xdr:row>
                <xdr:rowOff>19050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1" name="chkHighSootLoad">
          <controlPr autoLine="0" r:id="rId7">
            <anchor moveWithCells="1">
              <from>
                <xdr:col>5</xdr:col>
                <xdr:colOff>736600</xdr:colOff>
                <xdr:row>86</xdr:row>
                <xdr:rowOff>12700</xdr:rowOff>
              </from>
              <to>
                <xdr:col>5</xdr:col>
                <xdr:colOff>927100</xdr:colOff>
                <xdr:row>87</xdr:row>
                <xdr:rowOff>12700</xdr:rowOff>
              </to>
            </anchor>
          </controlPr>
        </control>
      </mc:Choice>
      <mc:Fallback>
        <control shapeId="21509" r:id="rId11" name="chkHighSootLoad"/>
      </mc:Fallback>
    </mc:AlternateContent>
    <mc:AlternateContent xmlns:mc="http://schemas.openxmlformats.org/markup-compatibility/2006">
      <mc:Choice Requires="x14">
        <control shapeId="21508" r:id="rId12" name="chkPreventMaint">
          <controlPr autoLine="0" r:id="rId7">
            <anchor moveWithCells="1">
              <from>
                <xdr:col>5</xdr:col>
                <xdr:colOff>755650</xdr:colOff>
                <xdr:row>85</xdr:row>
                <xdr:rowOff>12700</xdr:rowOff>
              </from>
              <to>
                <xdr:col>5</xdr:col>
                <xdr:colOff>946150</xdr:colOff>
                <xdr:row>86</xdr:row>
                <xdr:rowOff>12700</xdr:rowOff>
              </to>
            </anchor>
          </controlPr>
        </control>
      </mc:Choice>
      <mc:Fallback>
        <control shapeId="21508" r:id="rId12" name="chkPreventMaint"/>
      </mc:Fallback>
    </mc:AlternateContent>
    <mc:AlternateContent xmlns:mc="http://schemas.openxmlformats.org/markup-compatibility/2006">
      <mc:Choice Requires="x14">
        <control shapeId="21507" r:id="rId13" name="chkHighIdle">
          <controlPr autoLine="0" r:id="rId7">
            <anchor moveWithCells="1">
              <from>
                <xdr:col>5</xdr:col>
                <xdr:colOff>736600</xdr:colOff>
                <xdr:row>81</xdr:row>
                <xdr:rowOff>0</xdr:rowOff>
              </from>
              <to>
                <xdr:col>5</xdr:col>
                <xdr:colOff>927100</xdr:colOff>
                <xdr:row>82</xdr:row>
                <xdr:rowOff>0</xdr:rowOff>
              </to>
            </anchor>
          </controlPr>
        </control>
      </mc:Choice>
      <mc:Fallback>
        <control shapeId="21507" r:id="rId13" name="chkHighIdle"/>
      </mc:Fallback>
    </mc:AlternateContent>
    <mc:AlternateContent xmlns:mc="http://schemas.openxmlformats.org/markup-compatibility/2006">
      <mc:Choice Requires="x14">
        <control shapeId="21506" r:id="rId14" name="chkStartStop">
          <controlPr autoLine="0" r:id="rId7">
            <anchor moveWithCells="1">
              <from>
                <xdr:col>5</xdr:col>
                <xdr:colOff>736600</xdr:colOff>
                <xdr:row>79</xdr:row>
                <xdr:rowOff>171450</xdr:rowOff>
              </from>
              <to>
                <xdr:col>5</xdr:col>
                <xdr:colOff>927100</xdr:colOff>
                <xdr:row>80</xdr:row>
                <xdr:rowOff>171450</xdr:rowOff>
              </to>
            </anchor>
          </controlPr>
        </control>
      </mc:Choice>
      <mc:Fallback>
        <control shapeId="21506" r:id="rId14" name="chkStartStop"/>
      </mc:Fallback>
    </mc:AlternateContent>
    <mc:AlternateContent xmlns:mc="http://schemas.openxmlformats.org/markup-compatibility/2006">
      <mc:Choice Requires="x14">
        <control shapeId="21505" r:id="rId15" name="chkOvrRdHw">
          <controlPr autoLine="0" r:id="rId7">
            <anchor moveWithCells="1">
              <from>
                <xdr:col>5</xdr:col>
                <xdr:colOff>742950</xdr:colOff>
                <xdr:row>78</xdr:row>
                <xdr:rowOff>165100</xdr:rowOff>
              </from>
              <to>
                <xdr:col>5</xdr:col>
                <xdr:colOff>933450</xdr:colOff>
                <xdr:row>79</xdr:row>
                <xdr:rowOff>165100</xdr:rowOff>
              </to>
            </anchor>
          </controlPr>
        </control>
      </mc:Choice>
      <mc:Fallback>
        <control shapeId="21505" r:id="rId15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5</xdr:col>
                <xdr:colOff>12700</xdr:colOff>
                <xdr:row>2</xdr:row>
                <xdr:rowOff>0</xdr:rowOff>
              </from>
              <to>
                <xdr:col>8</xdr:col>
                <xdr:colOff>152400</xdr:colOff>
                <xdr:row>3</xdr:row>
                <xdr:rowOff>6350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69850</xdr:rowOff>
              </from>
              <to>
                <xdr:col>8</xdr:col>
                <xdr:colOff>158750</xdr:colOff>
                <xdr:row>8</xdr:row>
                <xdr:rowOff>6350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5</xdr:col>
                <xdr:colOff>19050</xdr:colOff>
                <xdr:row>19</xdr:row>
                <xdr:rowOff>69850</xdr:rowOff>
              </from>
              <to>
                <xdr:col>8</xdr:col>
                <xdr:colOff>158750</xdr:colOff>
                <xdr:row>20</xdr:row>
                <xdr:rowOff>120650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5</xdr:col>
                <xdr:colOff>19050</xdr:colOff>
                <xdr:row>31</xdr:row>
                <xdr:rowOff>69850</xdr:rowOff>
              </from>
              <to>
                <xdr:col>8</xdr:col>
                <xdr:colOff>158750</xdr:colOff>
                <xdr:row>32</xdr:row>
                <xdr:rowOff>120650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5</xdr:col>
                <xdr:colOff>19050</xdr:colOff>
                <xdr:row>39</xdr:row>
                <xdr:rowOff>69850</xdr:rowOff>
              </from>
              <to>
                <xdr:col>8</xdr:col>
                <xdr:colOff>158750</xdr:colOff>
                <xdr:row>40</xdr:row>
                <xdr:rowOff>120650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5</xdr:col>
                <xdr:colOff>19050</xdr:colOff>
                <xdr:row>49</xdr:row>
                <xdr:rowOff>69850</xdr:rowOff>
              </from>
              <to>
                <xdr:col>8</xdr:col>
                <xdr:colOff>158750</xdr:colOff>
                <xdr:row>50</xdr:row>
                <xdr:rowOff>120650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5</xdr:col>
                <xdr:colOff>19050</xdr:colOff>
                <xdr:row>55</xdr:row>
                <xdr:rowOff>69850</xdr:rowOff>
              </from>
              <to>
                <xdr:col>8</xdr:col>
                <xdr:colOff>158750</xdr:colOff>
                <xdr:row>56</xdr:row>
                <xdr:rowOff>120650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5</xdr:col>
                <xdr:colOff>19050</xdr:colOff>
                <xdr:row>82</xdr:row>
                <xdr:rowOff>69850</xdr:rowOff>
              </from>
              <to>
                <xdr:col>8</xdr:col>
                <xdr:colOff>158750</xdr:colOff>
                <xdr:row>83</xdr:row>
                <xdr:rowOff>120650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r:id="rId33">
            <anchor moveWithCells="1">
              <from>
                <xdr:col>5</xdr:col>
                <xdr:colOff>19050</xdr:colOff>
                <xdr:row>88</xdr:row>
                <xdr:rowOff>69850</xdr:rowOff>
              </from>
              <to>
                <xdr:col>8</xdr:col>
                <xdr:colOff>158750</xdr:colOff>
                <xdr:row>89</xdr:row>
                <xdr:rowOff>120650</xdr:rowOff>
              </to>
            </anchor>
          </controlPr>
        </control>
      </mc:Choice>
      <mc:Fallback>
        <control shapeId="21530" r:id="rId32" name="cbCleaningReas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G4"/>
  <sheetViews>
    <sheetView topLeftCell="CJ1" workbookViewId="0">
      <selection sqref="A1:XFD1048576"/>
    </sheetView>
  </sheetViews>
  <sheetFormatPr defaultRowHeight="14.5" x14ac:dyDescent="0.35"/>
  <cols>
    <col min="1" max="1" width="12.08984375" bestFit="1" customWidth="1"/>
    <col min="2" max="2" width="8.90625" bestFit="1" customWidth="1"/>
    <col min="3" max="3" width="7.90625" bestFit="1" customWidth="1"/>
    <col min="4" max="4" width="17.36328125" bestFit="1" customWidth="1"/>
    <col min="5" max="5" width="11.81640625" bestFit="1" customWidth="1"/>
    <col min="6" max="6" width="8.54296875" bestFit="1" customWidth="1"/>
    <col min="7" max="10" width="9.54296875" bestFit="1" customWidth="1"/>
    <col min="11" max="11" width="13.1796875" bestFit="1" customWidth="1"/>
    <col min="12" max="12" width="11.7265625" bestFit="1" customWidth="1"/>
    <col min="13" max="13" width="11.81640625" bestFit="1" customWidth="1"/>
    <col min="14" max="14" width="11.54296875" bestFit="1" customWidth="1"/>
    <col min="15" max="23" width="4.26953125" bestFit="1" customWidth="1"/>
    <col min="24" max="25" width="5.26953125" bestFit="1" customWidth="1"/>
    <col min="26" max="34" width="3.81640625" bestFit="1" customWidth="1"/>
    <col min="35" max="36" width="4.81640625" bestFit="1" customWidth="1"/>
    <col min="37" max="37" width="12.08984375" bestFit="1" customWidth="1"/>
    <col min="38" max="38" width="9.81640625" bestFit="1" customWidth="1"/>
    <col min="39" max="39" width="17.36328125" bestFit="1" customWidth="1"/>
    <col min="40" max="40" width="24.08984375" bestFit="1" customWidth="1"/>
    <col min="41" max="41" width="11.1796875" bestFit="1" customWidth="1"/>
    <col min="42" max="42" width="25.36328125" bestFit="1" customWidth="1"/>
    <col min="43" max="43" width="15.90625" bestFit="1" customWidth="1"/>
    <col min="44" max="44" width="12.1796875" bestFit="1" customWidth="1"/>
    <col min="45" max="45" width="8.453125" bestFit="1" customWidth="1"/>
    <col min="46" max="46" width="7.6328125" bestFit="1" customWidth="1"/>
    <col min="47" max="47" width="12.453125" bestFit="1" customWidth="1"/>
    <col min="48" max="48" width="11.453125" bestFit="1" customWidth="1"/>
    <col min="49" max="49" width="17.6328125" bestFit="1" customWidth="1"/>
    <col min="50" max="50" width="16" bestFit="1" customWidth="1"/>
    <col min="51" max="51" width="10.453125" bestFit="1" customWidth="1"/>
    <col min="52" max="52" width="10.54296875" bestFit="1" customWidth="1"/>
    <col min="53" max="53" width="13.7265625" bestFit="1" customWidth="1"/>
    <col min="54" max="54" width="17.54296875" bestFit="1" customWidth="1"/>
    <col min="55" max="55" width="13.54296875" bestFit="1" customWidth="1"/>
    <col min="56" max="56" width="12.1796875" bestFit="1" customWidth="1"/>
    <col min="57" max="57" width="8.1796875" bestFit="1" customWidth="1"/>
    <col min="58" max="58" width="6.81640625" bestFit="1" customWidth="1"/>
    <col min="59" max="59" width="5" bestFit="1" customWidth="1"/>
    <col min="60" max="60" width="9.81640625" bestFit="1" customWidth="1"/>
    <col min="61" max="61" width="5.81640625" bestFit="1" customWidth="1"/>
    <col min="62" max="62" width="18.54296875" bestFit="1" customWidth="1"/>
    <col min="63" max="64" width="17.54296875" bestFit="1" customWidth="1"/>
    <col min="65" max="65" width="8.54296875" bestFit="1" customWidth="1"/>
    <col min="66" max="66" width="12.1796875" bestFit="1" customWidth="1"/>
    <col min="67" max="67" width="5.81640625" bestFit="1" customWidth="1"/>
    <col min="68" max="68" width="6.81640625" bestFit="1" customWidth="1"/>
    <col min="69" max="69" width="5" bestFit="1" customWidth="1"/>
    <col min="70" max="70" width="8.54296875" bestFit="1" customWidth="1"/>
    <col min="71" max="71" width="10.54296875" bestFit="1" customWidth="1"/>
    <col min="72" max="72" width="12.1796875" bestFit="1" customWidth="1"/>
    <col min="73" max="73" width="12.08984375" bestFit="1" customWidth="1"/>
    <col min="74" max="74" width="14.26953125" bestFit="1" customWidth="1"/>
    <col min="75" max="75" width="12.36328125" bestFit="1" customWidth="1"/>
    <col min="76" max="76" width="6.1796875" bestFit="1" customWidth="1"/>
    <col min="77" max="77" width="4.81640625" bestFit="1" customWidth="1"/>
    <col min="78" max="78" width="8.1796875" bestFit="1" customWidth="1"/>
    <col min="79" max="79" width="10.54296875" bestFit="1" customWidth="1"/>
    <col min="80" max="80" width="14.26953125" bestFit="1" customWidth="1"/>
    <col min="81" max="81" width="12.36328125" bestFit="1" customWidth="1"/>
    <col min="82" max="82" width="12.1796875" bestFit="1" customWidth="1"/>
    <col min="83" max="83" width="6.1796875" bestFit="1" customWidth="1"/>
    <col min="84" max="84" width="4.54296875" bestFit="1" customWidth="1"/>
    <col min="85" max="85" width="6" bestFit="1" customWidth="1"/>
    <col min="86" max="86" width="10.54296875" bestFit="1" customWidth="1"/>
    <col min="87" max="87" width="14.6328125" bestFit="1" customWidth="1"/>
    <col min="88" max="88" width="17.453125" bestFit="1" customWidth="1"/>
    <col min="89" max="89" width="13.1796875" bestFit="1" customWidth="1"/>
    <col min="90" max="90" width="12.36328125" bestFit="1" customWidth="1"/>
    <col min="91" max="91" width="12.08984375" bestFit="1" customWidth="1"/>
    <col min="92" max="92" width="10.26953125" bestFit="1" customWidth="1"/>
    <col min="93" max="93" width="12.453125" bestFit="1" customWidth="1"/>
    <col min="94" max="94" width="11" bestFit="1" customWidth="1"/>
    <col min="95" max="95" width="12.1796875" bestFit="1" customWidth="1"/>
    <col min="96" max="96" width="12.453125" bestFit="1" customWidth="1"/>
    <col min="97" max="97" width="13.453125" bestFit="1" customWidth="1"/>
    <col min="98" max="98" width="16.54296875" bestFit="1" customWidth="1"/>
    <col min="99" max="99" width="11.1796875" bestFit="1" customWidth="1"/>
    <col min="100" max="100" width="14.36328125" bestFit="1" customWidth="1"/>
    <col min="101" max="101" width="15.1796875" bestFit="1" customWidth="1"/>
    <col min="102" max="102" width="14.54296875" bestFit="1" customWidth="1"/>
    <col min="103" max="103" width="12.7265625" bestFit="1" customWidth="1"/>
    <col min="104" max="104" width="13.1796875" bestFit="1" customWidth="1"/>
    <col min="105" max="105" width="7.26953125" bestFit="1" customWidth="1"/>
    <col min="106" max="106" width="7.08984375" bestFit="1" customWidth="1"/>
    <col min="107" max="107" width="14.36328125" bestFit="1" customWidth="1"/>
    <col min="108" max="108" width="16.08984375" bestFit="1" customWidth="1"/>
    <col min="109" max="109" width="13.1796875" bestFit="1" customWidth="1"/>
    <col min="110" max="110" width="21.26953125" bestFit="1" customWidth="1"/>
    <col min="111" max="111" width="8.90625" bestFit="1" customWidth="1"/>
  </cols>
  <sheetData>
    <row r="1" spans="1:111" x14ac:dyDescent="0.35">
      <c r="A1" t="s">
        <v>167</v>
      </c>
      <c r="B1" t="s">
        <v>226</v>
      </c>
      <c r="C1" t="s">
        <v>227</v>
      </c>
      <c r="D1" t="s">
        <v>228</v>
      </c>
      <c r="E1" t="s">
        <v>229</v>
      </c>
      <c r="F1" t="s">
        <v>230</v>
      </c>
      <c r="G1" t="s">
        <v>231</v>
      </c>
      <c r="H1" t="s">
        <v>232</v>
      </c>
      <c r="I1" t="s">
        <v>233</v>
      </c>
      <c r="J1" t="s">
        <v>234</v>
      </c>
      <c r="K1" t="s">
        <v>235</v>
      </c>
      <c r="L1" t="s">
        <v>236</v>
      </c>
      <c r="M1" t="s">
        <v>237</v>
      </c>
      <c r="N1" t="s">
        <v>238</v>
      </c>
      <c r="O1" t="s">
        <v>239</v>
      </c>
      <c r="P1" t="s">
        <v>240</v>
      </c>
      <c r="Q1" t="s">
        <v>241</v>
      </c>
      <c r="R1" t="s">
        <v>242</v>
      </c>
      <c r="S1" t="s">
        <v>243</v>
      </c>
      <c r="T1" t="s">
        <v>244</v>
      </c>
      <c r="U1" t="s">
        <v>245</v>
      </c>
      <c r="V1" t="s">
        <v>246</v>
      </c>
      <c r="W1" t="s">
        <v>247</v>
      </c>
      <c r="X1" t="s">
        <v>248</v>
      </c>
      <c r="Y1" t="s">
        <v>249</v>
      </c>
      <c r="Z1" t="s">
        <v>250</v>
      </c>
      <c r="AA1" t="s">
        <v>251</v>
      </c>
      <c r="AB1" t="s">
        <v>252</v>
      </c>
      <c r="AC1" t="s">
        <v>253</v>
      </c>
      <c r="AD1" t="s">
        <v>254</v>
      </c>
      <c r="AE1" t="s">
        <v>255</v>
      </c>
      <c r="AF1" t="s">
        <v>256</v>
      </c>
      <c r="AG1" t="s">
        <v>257</v>
      </c>
      <c r="AH1" t="s">
        <v>258</v>
      </c>
      <c r="AI1" t="s">
        <v>259</v>
      </c>
      <c r="AJ1" t="s">
        <v>260</v>
      </c>
      <c r="AK1" t="s">
        <v>167</v>
      </c>
      <c r="AL1" t="s">
        <v>168</v>
      </c>
      <c r="AM1" t="s">
        <v>169</v>
      </c>
      <c r="AN1" t="s">
        <v>170</v>
      </c>
      <c r="AO1" t="s">
        <v>171</v>
      </c>
      <c r="AP1" t="s">
        <v>172</v>
      </c>
      <c r="AQ1" t="s">
        <v>173</v>
      </c>
      <c r="AR1" t="s">
        <v>174</v>
      </c>
      <c r="AS1" t="s">
        <v>175</v>
      </c>
      <c r="AT1" t="s">
        <v>176</v>
      </c>
      <c r="AU1" t="s">
        <v>177</v>
      </c>
      <c r="AV1" t="s">
        <v>178</v>
      </c>
      <c r="AW1" t="s">
        <v>179</v>
      </c>
      <c r="AX1" t="s">
        <v>180</v>
      </c>
      <c r="AY1" t="s">
        <v>181</v>
      </c>
      <c r="AZ1" t="s">
        <v>182</v>
      </c>
      <c r="BA1" t="s">
        <v>183</v>
      </c>
      <c r="BB1" t="s">
        <v>184</v>
      </c>
      <c r="BC1" t="s">
        <v>185</v>
      </c>
      <c r="BD1" t="s">
        <v>186</v>
      </c>
      <c r="BE1" t="s">
        <v>187</v>
      </c>
      <c r="BF1" t="s">
        <v>188</v>
      </c>
      <c r="BG1" t="s">
        <v>8</v>
      </c>
      <c r="BH1" t="s">
        <v>168</v>
      </c>
      <c r="BI1" t="s">
        <v>68</v>
      </c>
      <c r="BJ1" t="s">
        <v>189</v>
      </c>
      <c r="BK1" t="s">
        <v>70</v>
      </c>
      <c r="BL1" t="s">
        <v>190</v>
      </c>
      <c r="BM1" t="s">
        <v>69</v>
      </c>
      <c r="BN1" t="s">
        <v>7</v>
      </c>
      <c r="BO1" t="s">
        <v>9</v>
      </c>
      <c r="BP1" t="s">
        <v>188</v>
      </c>
      <c r="BQ1" t="s">
        <v>8</v>
      </c>
      <c r="BR1" t="s">
        <v>191</v>
      </c>
      <c r="BS1" t="s">
        <v>182</v>
      </c>
      <c r="BT1" t="s">
        <v>192</v>
      </c>
      <c r="BU1" t="s">
        <v>193</v>
      </c>
      <c r="BV1" t="s">
        <v>194</v>
      </c>
      <c r="BW1" t="s">
        <v>42</v>
      </c>
      <c r="BX1" t="s">
        <v>28</v>
      </c>
      <c r="BY1" t="s">
        <v>29</v>
      </c>
      <c r="BZ1" t="s">
        <v>195</v>
      </c>
      <c r="CA1" t="s">
        <v>182</v>
      </c>
      <c r="CB1" t="s">
        <v>194</v>
      </c>
      <c r="CC1" t="s">
        <v>42</v>
      </c>
      <c r="CD1" t="s">
        <v>192</v>
      </c>
      <c r="CE1" t="s">
        <v>28</v>
      </c>
      <c r="CF1" t="s">
        <v>29</v>
      </c>
      <c r="CG1" t="s">
        <v>196</v>
      </c>
      <c r="CH1" t="s">
        <v>182</v>
      </c>
      <c r="CI1" t="s">
        <v>197</v>
      </c>
      <c r="CJ1" t="s">
        <v>198</v>
      </c>
      <c r="CK1" t="s">
        <v>199</v>
      </c>
      <c r="CL1" t="s">
        <v>42</v>
      </c>
      <c r="CM1" t="s">
        <v>200</v>
      </c>
      <c r="CN1" t="s">
        <v>201</v>
      </c>
      <c r="CO1" t="s">
        <v>202</v>
      </c>
      <c r="CP1" t="s">
        <v>203</v>
      </c>
      <c r="CQ1" t="s">
        <v>192</v>
      </c>
      <c r="CR1" t="s">
        <v>204</v>
      </c>
      <c r="CS1" t="s">
        <v>205</v>
      </c>
      <c r="CT1" t="s">
        <v>206</v>
      </c>
      <c r="CU1" t="s">
        <v>207</v>
      </c>
      <c r="CV1" t="s">
        <v>208</v>
      </c>
      <c r="CW1" t="s">
        <v>215</v>
      </c>
      <c r="CX1" t="s">
        <v>216</v>
      </c>
      <c r="CY1" t="s">
        <v>217</v>
      </c>
      <c r="CZ1" t="s">
        <v>218</v>
      </c>
      <c r="DA1" t="s">
        <v>219</v>
      </c>
      <c r="DB1" t="s">
        <v>220</v>
      </c>
      <c r="DC1" t="s">
        <v>221</v>
      </c>
      <c r="DD1" t="s">
        <v>222</v>
      </c>
      <c r="DE1" t="s">
        <v>223</v>
      </c>
      <c r="DF1" t="s">
        <v>224</v>
      </c>
      <c r="DG1" t="s">
        <v>225</v>
      </c>
    </row>
    <row r="2" spans="1:111" x14ac:dyDescent="0.3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>
        <v>66</v>
      </c>
      <c r="AM2">
        <v>1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93">
        <v>43433.181384456017</v>
      </c>
      <c r="AZ2">
        <v>9</v>
      </c>
      <c r="BA2" t="s">
        <v>262</v>
      </c>
      <c r="BB2" t="s">
        <v>263</v>
      </c>
      <c r="BD2" t="s">
        <v>264</v>
      </c>
      <c r="BE2" t="s">
        <v>265</v>
      </c>
      <c r="BF2">
        <v>2</v>
      </c>
      <c r="BG2" t="s">
        <v>209</v>
      </c>
      <c r="BH2">
        <v>66</v>
      </c>
      <c r="BI2" t="b">
        <v>1</v>
      </c>
      <c r="BJ2">
        <v>2</v>
      </c>
      <c r="BK2" t="s">
        <v>263</v>
      </c>
      <c r="BL2" t="s">
        <v>263</v>
      </c>
      <c r="BM2" t="s">
        <v>266</v>
      </c>
      <c r="BN2" t="s">
        <v>264</v>
      </c>
      <c r="BO2" t="s">
        <v>265</v>
      </c>
      <c r="BP2">
        <v>2</v>
      </c>
      <c r="BQ2" t="s">
        <v>209</v>
      </c>
      <c r="BR2">
        <v>1</v>
      </c>
      <c r="BS2">
        <v>20</v>
      </c>
      <c r="BT2" t="s">
        <v>267</v>
      </c>
      <c r="BU2" t="s">
        <v>268</v>
      </c>
      <c r="BV2">
        <v>1</v>
      </c>
      <c r="BW2" t="s">
        <v>211</v>
      </c>
      <c r="BX2" t="s">
        <v>269</v>
      </c>
      <c r="BY2">
        <v>2019</v>
      </c>
      <c r="BZ2">
        <v>3</v>
      </c>
      <c r="CA2">
        <v>9</v>
      </c>
      <c r="CB2">
        <v>3</v>
      </c>
      <c r="CC2" t="s">
        <v>270</v>
      </c>
      <c r="CD2" t="s">
        <v>271</v>
      </c>
      <c r="CE2" t="s">
        <v>271</v>
      </c>
      <c r="CF2">
        <v>1234</v>
      </c>
      <c r="CG2">
        <v>3</v>
      </c>
      <c r="CH2">
        <v>9</v>
      </c>
      <c r="CI2">
        <v>1</v>
      </c>
      <c r="CJ2" t="s">
        <v>210</v>
      </c>
      <c r="CK2">
        <v>1</v>
      </c>
      <c r="CL2" t="s">
        <v>211</v>
      </c>
      <c r="CM2">
        <v>1</v>
      </c>
      <c r="CN2" t="s">
        <v>212</v>
      </c>
      <c r="CO2">
        <v>0</v>
      </c>
      <c r="CP2" t="s">
        <v>272</v>
      </c>
      <c r="CQ2" t="s">
        <v>273</v>
      </c>
      <c r="CS2">
        <v>1</v>
      </c>
      <c r="CT2">
        <v>2</v>
      </c>
      <c r="CU2">
        <v>3</v>
      </c>
      <c r="CV2">
        <v>4</v>
      </c>
      <c r="CW2">
        <v>1</v>
      </c>
      <c r="CX2">
        <v>2</v>
      </c>
      <c r="DA2" t="b">
        <v>0</v>
      </c>
      <c r="DB2" t="b">
        <v>0</v>
      </c>
      <c r="DC2" t="b">
        <v>0</v>
      </c>
      <c r="DD2" t="b">
        <v>0</v>
      </c>
    </row>
    <row r="3" spans="1:111" x14ac:dyDescent="0.3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>
        <v>66</v>
      </c>
      <c r="AM3">
        <v>1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93">
        <v>43433.181384456017</v>
      </c>
      <c r="AZ3">
        <v>9</v>
      </c>
      <c r="BA3" t="s">
        <v>262</v>
      </c>
      <c r="BB3" t="s">
        <v>263</v>
      </c>
      <c r="BD3" t="s">
        <v>264</v>
      </c>
      <c r="BE3" t="s">
        <v>265</v>
      </c>
      <c r="BF3">
        <v>2</v>
      </c>
      <c r="BG3" t="s">
        <v>209</v>
      </c>
      <c r="BH3">
        <v>66</v>
      </c>
      <c r="BI3" t="b">
        <v>1</v>
      </c>
      <c r="BJ3">
        <v>2</v>
      </c>
      <c r="BK3" t="s">
        <v>263</v>
      </c>
      <c r="BL3" t="s">
        <v>263</v>
      </c>
      <c r="BM3" t="s">
        <v>266</v>
      </c>
      <c r="BN3" t="s">
        <v>264</v>
      </c>
      <c r="BO3" t="s">
        <v>265</v>
      </c>
      <c r="BP3">
        <v>2</v>
      </c>
      <c r="BQ3" t="s">
        <v>209</v>
      </c>
      <c r="BR3">
        <v>1</v>
      </c>
      <c r="BS3">
        <v>20</v>
      </c>
      <c r="BT3" t="s">
        <v>267</v>
      </c>
      <c r="BU3" t="s">
        <v>268</v>
      </c>
      <c r="BV3">
        <v>1</v>
      </c>
      <c r="BW3" t="s">
        <v>211</v>
      </c>
      <c r="BX3" t="s">
        <v>269</v>
      </c>
      <c r="BY3">
        <v>2019</v>
      </c>
      <c r="BZ3">
        <v>3</v>
      </c>
      <c r="CA3">
        <v>9</v>
      </c>
      <c r="CB3">
        <v>3</v>
      </c>
      <c r="CC3" t="s">
        <v>270</v>
      </c>
      <c r="CD3" t="s">
        <v>271</v>
      </c>
      <c r="CE3" t="s">
        <v>271</v>
      </c>
      <c r="CF3">
        <v>1234</v>
      </c>
      <c r="CG3">
        <v>3</v>
      </c>
      <c r="CH3">
        <v>9</v>
      </c>
      <c r="CI3">
        <v>1</v>
      </c>
      <c r="CJ3" t="s">
        <v>210</v>
      </c>
      <c r="CK3">
        <v>1</v>
      </c>
      <c r="CL3" t="s">
        <v>211</v>
      </c>
      <c r="CM3">
        <v>1</v>
      </c>
      <c r="CN3" t="s">
        <v>212</v>
      </c>
      <c r="CO3">
        <v>0</v>
      </c>
      <c r="CP3" t="s">
        <v>272</v>
      </c>
      <c r="CQ3" t="s">
        <v>273</v>
      </c>
      <c r="CS3">
        <v>1</v>
      </c>
      <c r="CT3">
        <v>2</v>
      </c>
      <c r="CU3">
        <v>3</v>
      </c>
      <c r="CV3">
        <v>4</v>
      </c>
      <c r="CW3">
        <v>1</v>
      </c>
      <c r="CX3">
        <v>2</v>
      </c>
      <c r="DA3" t="b">
        <v>0</v>
      </c>
      <c r="DB3" t="b">
        <v>0</v>
      </c>
      <c r="DC3" t="b">
        <v>0</v>
      </c>
      <c r="DD3" t="b">
        <v>0</v>
      </c>
    </row>
    <row r="4" spans="1:111" x14ac:dyDescent="0.3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>
        <v>66</v>
      </c>
      <c r="AM4">
        <v>1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93">
        <v>43433.181384456017</v>
      </c>
      <c r="AZ4">
        <v>9</v>
      </c>
      <c r="BA4" t="s">
        <v>262</v>
      </c>
      <c r="BB4" t="s">
        <v>263</v>
      </c>
      <c r="BD4" t="s">
        <v>264</v>
      </c>
      <c r="BE4" t="s">
        <v>265</v>
      </c>
      <c r="BF4">
        <v>2</v>
      </c>
      <c r="BG4" t="s">
        <v>209</v>
      </c>
      <c r="BH4">
        <v>66</v>
      </c>
      <c r="BI4" t="b">
        <v>1</v>
      </c>
      <c r="BJ4">
        <v>2</v>
      </c>
      <c r="BK4" t="s">
        <v>263</v>
      </c>
      <c r="BL4" t="s">
        <v>263</v>
      </c>
      <c r="BM4" t="s">
        <v>266</v>
      </c>
      <c r="BN4" t="s">
        <v>264</v>
      </c>
      <c r="BO4" t="s">
        <v>265</v>
      </c>
      <c r="BP4">
        <v>2</v>
      </c>
      <c r="BQ4" t="s">
        <v>209</v>
      </c>
      <c r="BR4">
        <v>1</v>
      </c>
      <c r="BS4">
        <v>20</v>
      </c>
      <c r="BT4" t="s">
        <v>267</v>
      </c>
      <c r="BU4" t="s">
        <v>268</v>
      </c>
      <c r="BV4">
        <v>1</v>
      </c>
      <c r="BW4" t="s">
        <v>211</v>
      </c>
      <c r="BX4" t="s">
        <v>269</v>
      </c>
      <c r="BY4">
        <v>2019</v>
      </c>
      <c r="BZ4">
        <v>3</v>
      </c>
      <c r="CA4">
        <v>9</v>
      </c>
      <c r="CB4">
        <v>3</v>
      </c>
      <c r="CC4" t="s">
        <v>270</v>
      </c>
      <c r="CD4" t="s">
        <v>271</v>
      </c>
      <c r="CE4" t="s">
        <v>271</v>
      </c>
      <c r="CF4">
        <v>1234</v>
      </c>
      <c r="CG4">
        <v>3</v>
      </c>
      <c r="CH4">
        <v>9</v>
      </c>
      <c r="CI4">
        <v>1</v>
      </c>
      <c r="CJ4" t="s">
        <v>210</v>
      </c>
      <c r="CK4">
        <v>1</v>
      </c>
      <c r="CL4" t="s">
        <v>211</v>
      </c>
      <c r="CM4">
        <v>1</v>
      </c>
      <c r="CN4" t="s">
        <v>212</v>
      </c>
      <c r="CO4">
        <v>0</v>
      </c>
      <c r="CP4" t="s">
        <v>272</v>
      </c>
      <c r="CQ4" t="s">
        <v>273</v>
      </c>
      <c r="CS4">
        <v>1</v>
      </c>
      <c r="CT4">
        <v>2</v>
      </c>
      <c r="CU4">
        <v>3</v>
      </c>
      <c r="CV4">
        <v>4</v>
      </c>
      <c r="CW4">
        <v>1</v>
      </c>
      <c r="CX4">
        <v>2</v>
      </c>
      <c r="DA4" t="b">
        <v>0</v>
      </c>
      <c r="DB4" t="b">
        <v>0</v>
      </c>
      <c r="DC4" t="b">
        <v>0</v>
      </c>
      <c r="DD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A1:I35"/>
  <sheetViews>
    <sheetView workbookViewId="0">
      <selection activeCell="I23" sqref="I23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</cols>
  <sheetData>
    <row r="1" spans="1:3" x14ac:dyDescent="0.35">
      <c r="A1" t="s">
        <v>274</v>
      </c>
    </row>
    <row r="2" spans="1:3" x14ac:dyDescent="0.35">
      <c r="B2" t="s">
        <v>165</v>
      </c>
    </row>
    <row r="3" spans="1:3" ht="18" x14ac:dyDescent="0.4">
      <c r="B3" s="1" t="s">
        <v>101</v>
      </c>
      <c r="C3" s="2"/>
    </row>
    <row r="4" spans="1:3" x14ac:dyDescent="0.35">
      <c r="B4" s="2"/>
      <c r="C4" s="2"/>
    </row>
    <row r="5" spans="1:3" x14ac:dyDescent="0.35">
      <c r="B5" s="3"/>
      <c r="C5" s="3"/>
    </row>
    <row r="6" spans="1:3" x14ac:dyDescent="0.35">
      <c r="B6" s="3"/>
      <c r="C6" s="4"/>
    </row>
    <row r="7" spans="1:3" x14ac:dyDescent="0.35">
      <c r="B7" s="2"/>
      <c r="C7" s="2"/>
    </row>
    <row r="8" spans="1:3" x14ac:dyDescent="0.35">
      <c r="B8" s="7"/>
      <c r="C8" s="8"/>
    </row>
    <row r="9" spans="1:3" x14ac:dyDescent="0.35">
      <c r="B9" s="5"/>
      <c r="C9" s="8"/>
    </row>
    <row r="10" spans="1:3" x14ac:dyDescent="0.35">
      <c r="B10" s="7"/>
      <c r="C10" s="10"/>
    </row>
    <row r="11" spans="1:3" x14ac:dyDescent="0.35">
      <c r="B11" s="7"/>
      <c r="C11" s="8"/>
    </row>
    <row r="12" spans="1:3" x14ac:dyDescent="0.35">
      <c r="B12" s="7"/>
      <c r="C12" s="8"/>
    </row>
    <row r="13" spans="1:3" x14ac:dyDescent="0.35">
      <c r="B13" s="7"/>
      <c r="C13" s="8"/>
    </row>
    <row r="14" spans="1:3" x14ac:dyDescent="0.35">
      <c r="B14" s="7"/>
      <c r="C14" s="8"/>
    </row>
    <row r="15" spans="1:3" x14ac:dyDescent="0.35">
      <c r="B15" s="7"/>
      <c r="C15" s="8"/>
    </row>
    <row r="16" spans="1:3" x14ac:dyDescent="0.35">
      <c r="B16" s="7"/>
      <c r="C16" s="8"/>
    </row>
    <row r="17" spans="2:8" x14ac:dyDescent="0.35">
      <c r="B17" s="7"/>
      <c r="C17" s="8"/>
    </row>
    <row r="18" spans="2:8" ht="16" customHeight="1" x14ac:dyDescent="0.35">
      <c r="B18" s="7"/>
      <c r="C18" s="8"/>
    </row>
    <row r="19" spans="2:8" x14ac:dyDescent="0.35">
      <c r="B19" s="2"/>
      <c r="C19" s="2"/>
      <c r="D19" s="2"/>
      <c r="E19" s="2"/>
      <c r="F19" s="2"/>
    </row>
    <row r="20" spans="2:8" x14ac:dyDescent="0.35">
      <c r="B20" s="2"/>
      <c r="C20" s="2"/>
      <c r="D20" s="44"/>
      <c r="E20" s="44"/>
      <c r="F20" s="2"/>
    </row>
    <row r="21" spans="2:8" x14ac:dyDescent="0.35">
      <c r="B21" s="2"/>
      <c r="C21" s="2"/>
      <c r="D21" s="44"/>
      <c r="E21" s="44"/>
      <c r="F21" s="2"/>
    </row>
    <row r="22" spans="2:8" x14ac:dyDescent="0.35">
      <c r="B22" s="47"/>
      <c r="C22" s="2"/>
      <c r="D22" s="44"/>
      <c r="E22" s="44"/>
      <c r="F22" s="2"/>
    </row>
    <row r="23" spans="2:8" x14ac:dyDescent="0.35">
      <c r="B23" s="2"/>
      <c r="C23" s="2"/>
      <c r="D23" s="44"/>
      <c r="E23" s="44"/>
      <c r="F23" s="2"/>
    </row>
    <row r="24" spans="2:8" x14ac:dyDescent="0.35">
      <c r="B24" s="2"/>
      <c r="C24" s="2"/>
      <c r="D24" s="44"/>
      <c r="E24" s="44"/>
      <c r="F24" s="2"/>
    </row>
    <row r="25" spans="2:8" x14ac:dyDescent="0.35">
      <c r="B25" s="2"/>
      <c r="C25" s="48"/>
      <c r="D25" s="44"/>
      <c r="E25" s="44"/>
      <c r="F25" s="2"/>
    </row>
    <row r="26" spans="2:8" x14ac:dyDescent="0.35">
      <c r="B26" s="2"/>
      <c r="C26" s="2"/>
      <c r="D26" s="44"/>
      <c r="E26" s="44"/>
      <c r="F26" s="2"/>
    </row>
    <row r="27" spans="2:8" x14ac:dyDescent="0.35">
      <c r="B27" s="2"/>
      <c r="C27" s="2"/>
      <c r="D27" s="2"/>
      <c r="E27" s="2"/>
      <c r="F27" s="2"/>
    </row>
    <row r="28" spans="2:8" x14ac:dyDescent="0.35">
      <c r="B28" s="2"/>
      <c r="C28" s="49"/>
      <c r="D28" s="2"/>
      <c r="E28" s="2"/>
      <c r="F28" s="2"/>
      <c r="G28" s="44"/>
    </row>
    <row r="29" spans="2:8" x14ac:dyDescent="0.35">
      <c r="B29" s="2"/>
      <c r="C29" s="49"/>
      <c r="D29" s="2"/>
      <c r="E29" s="2"/>
      <c r="F29" s="2"/>
      <c r="G29" s="44"/>
    </row>
    <row r="30" spans="2:8" x14ac:dyDescent="0.35">
      <c r="B30" s="2"/>
      <c r="C30" s="49"/>
      <c r="D30" s="8"/>
      <c r="E30" s="2"/>
      <c r="F30" s="2"/>
      <c r="G30" s="2"/>
      <c r="H30" s="44"/>
    </row>
    <row r="31" spans="2:8" x14ac:dyDescent="0.35">
      <c r="B31" s="2"/>
      <c r="C31" s="49"/>
      <c r="D31" s="8"/>
      <c r="E31" s="2"/>
      <c r="F31" s="2"/>
      <c r="G31" s="2"/>
      <c r="H31" s="44"/>
    </row>
    <row r="32" spans="2:8" x14ac:dyDescent="0.35">
      <c r="B32" s="2"/>
      <c r="C32" s="49"/>
      <c r="D32" s="2"/>
      <c r="E32" s="2"/>
      <c r="F32" s="2"/>
      <c r="G32" s="44"/>
    </row>
    <row r="33" spans="2:9" x14ac:dyDescent="0.35">
      <c r="B33" s="2"/>
      <c r="C33" s="49"/>
      <c r="D33" s="2"/>
      <c r="E33" s="2"/>
      <c r="F33" s="2"/>
      <c r="G33" s="44"/>
    </row>
    <row r="34" spans="2:9" x14ac:dyDescent="0.35">
      <c r="B34" s="2"/>
      <c r="C34" s="49"/>
      <c r="D34" s="2"/>
      <c r="E34" s="2"/>
      <c r="F34" s="2"/>
      <c r="G34" s="44"/>
    </row>
    <row r="35" spans="2:9" x14ac:dyDescent="0.35">
      <c r="B35" s="11"/>
      <c r="C35" s="2"/>
      <c r="D35" s="2"/>
      <c r="E35" s="2"/>
      <c r="F35" s="2"/>
      <c r="G35" s="2"/>
      <c r="H35" s="44"/>
      <c r="I35" s="4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127000</xdr:colOff>
                <xdr:row>3</xdr:row>
                <xdr:rowOff>50800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184150</xdr:colOff>
                <xdr:row>6</xdr:row>
                <xdr:rowOff>107950</xdr:rowOff>
              </to>
            </anchor>
          </controlPr>
        </control>
      </mc:Choice>
      <mc:Fallback>
        <control shapeId="25603" r:id="rId8" name="cmdMenu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B2:I51"/>
  <sheetViews>
    <sheetView workbookViewId="0">
      <selection activeCell="C12" sqref="C12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</cols>
  <sheetData>
    <row r="2" spans="2:9" x14ac:dyDescent="0.35">
      <c r="B2" t="s">
        <v>132</v>
      </c>
    </row>
    <row r="3" spans="2:9" ht="18" x14ac:dyDescent="0.4">
      <c r="B3" s="1" t="s">
        <v>101</v>
      </c>
      <c r="C3" s="2"/>
    </row>
    <row r="4" spans="2:9" x14ac:dyDescent="0.35">
      <c r="B4" s="2"/>
      <c r="C4" s="2"/>
    </row>
    <row r="5" spans="2:9" x14ac:dyDescent="0.35">
      <c r="B5" s="5" t="s">
        <v>81</v>
      </c>
      <c r="C5" s="8" t="s">
        <v>261</v>
      </c>
    </row>
    <row r="6" spans="2:9" x14ac:dyDescent="0.35">
      <c r="B6" s="7" t="s">
        <v>45</v>
      </c>
      <c r="C6" s="8">
        <v>11</v>
      </c>
    </row>
    <row r="7" spans="2:9" x14ac:dyDescent="0.35">
      <c r="B7" s="7" t="s">
        <v>47</v>
      </c>
      <c r="C7" s="8">
        <v>15</v>
      </c>
    </row>
    <row r="8" spans="2:9" x14ac:dyDescent="0.35">
      <c r="B8" s="7"/>
      <c r="C8" s="8"/>
    </row>
    <row r="9" spans="2:9" x14ac:dyDescent="0.35">
      <c r="B9" s="2"/>
      <c r="C9" s="2"/>
    </row>
    <row r="10" spans="2:9" x14ac:dyDescent="0.35">
      <c r="B10" s="30"/>
      <c r="C10" s="30"/>
      <c r="D10" s="30"/>
      <c r="E10" s="31" t="s">
        <v>102</v>
      </c>
      <c r="F10" s="31" t="s">
        <v>103</v>
      </c>
      <c r="G10" s="8" t="s">
        <v>103</v>
      </c>
    </row>
    <row r="11" spans="2:9" x14ac:dyDescent="0.35">
      <c r="B11" s="33"/>
      <c r="C11" s="33"/>
      <c r="D11" s="33"/>
      <c r="E11" s="34" t="s">
        <v>104</v>
      </c>
      <c r="F11" s="34" t="s">
        <v>105</v>
      </c>
      <c r="G11" s="8" t="s">
        <v>106</v>
      </c>
    </row>
    <row r="12" spans="2:9" x14ac:dyDescent="0.35">
      <c r="B12" s="33" t="s">
        <v>107</v>
      </c>
      <c r="C12" s="2"/>
      <c r="D12" s="31" t="s">
        <v>108</v>
      </c>
      <c r="E12" s="36">
        <v>45.9</v>
      </c>
      <c r="F12" s="37">
        <v>45.24</v>
      </c>
      <c r="G12" s="38"/>
    </row>
    <row r="13" spans="2:9" x14ac:dyDescent="0.35">
      <c r="B13" s="6"/>
      <c r="C13" s="2"/>
      <c r="D13" s="41"/>
      <c r="E13" s="42"/>
      <c r="F13" s="42"/>
      <c r="G13" s="42"/>
    </row>
    <row r="14" spans="2:9" x14ac:dyDescent="0.35">
      <c r="B14" s="6" t="s">
        <v>109</v>
      </c>
      <c r="C14" s="2"/>
      <c r="D14" s="42"/>
      <c r="E14" s="42"/>
      <c r="F14" s="42"/>
      <c r="G14" s="42"/>
      <c r="H14" s="32"/>
      <c r="I14" s="32"/>
    </row>
    <row r="15" spans="2:9" x14ac:dyDescent="0.35">
      <c r="B15" s="6"/>
      <c r="C15" s="2"/>
      <c r="D15" s="42"/>
      <c r="E15" s="42"/>
      <c r="F15" s="42"/>
      <c r="G15" s="42"/>
      <c r="H15" s="35"/>
      <c r="I15" s="35"/>
    </row>
    <row r="16" spans="2:9" x14ac:dyDescent="0.35">
      <c r="B16" s="6" t="s">
        <v>110</v>
      </c>
      <c r="C16" s="2"/>
      <c r="D16" s="43"/>
      <c r="E16" s="42"/>
      <c r="F16" s="42"/>
      <c r="G16" s="42"/>
      <c r="H16" s="39"/>
      <c r="I16" s="40"/>
    </row>
    <row r="17" spans="2:9" x14ac:dyDescent="0.35">
      <c r="B17" s="6" t="s">
        <v>111</v>
      </c>
      <c r="C17" s="2"/>
      <c r="D17" s="41"/>
      <c r="E17" s="43"/>
      <c r="F17" s="43"/>
      <c r="G17" s="43"/>
      <c r="H17" s="42"/>
      <c r="I17" s="42"/>
    </row>
    <row r="18" spans="2:9" x14ac:dyDescent="0.35">
      <c r="B18" s="6"/>
      <c r="C18" s="2"/>
      <c r="D18" s="41"/>
      <c r="E18" s="43"/>
      <c r="F18" s="43"/>
      <c r="G18" s="43"/>
    </row>
    <row r="19" spans="2:9" x14ac:dyDescent="0.35">
      <c r="B19" s="44" t="s">
        <v>112</v>
      </c>
      <c r="C19" s="2"/>
      <c r="D19" s="41" t="s">
        <v>113</v>
      </c>
      <c r="E19" s="41" t="s">
        <v>114</v>
      </c>
      <c r="F19" s="43"/>
      <c r="G19" s="43"/>
    </row>
    <row r="20" spans="2:9" x14ac:dyDescent="0.35">
      <c r="B20" s="44"/>
      <c r="C20" s="2" t="s">
        <v>115</v>
      </c>
      <c r="D20" s="45">
        <v>10.125</v>
      </c>
      <c r="E20" s="45">
        <v>10.5</v>
      </c>
      <c r="F20" s="41"/>
      <c r="G20" s="43"/>
    </row>
    <row r="21" spans="2:9" x14ac:dyDescent="0.35">
      <c r="B21" s="2"/>
      <c r="C21" s="2" t="s">
        <v>116</v>
      </c>
      <c r="D21" s="45">
        <v>10.25</v>
      </c>
      <c r="E21" s="45">
        <v>10.5</v>
      </c>
      <c r="F21" s="41"/>
      <c r="G21" s="43"/>
    </row>
    <row r="22" spans="2:9" x14ac:dyDescent="0.35">
      <c r="B22" s="2"/>
      <c r="C22" s="2" t="s">
        <v>117</v>
      </c>
      <c r="D22" s="45">
        <v>10.125</v>
      </c>
      <c r="E22" s="45">
        <v>10.5</v>
      </c>
      <c r="F22" s="41"/>
      <c r="G22" s="43"/>
    </row>
    <row r="23" spans="2:9" x14ac:dyDescent="0.35">
      <c r="B23" s="2"/>
      <c r="C23" s="2" t="s">
        <v>118</v>
      </c>
      <c r="D23" s="45">
        <v>10.125</v>
      </c>
      <c r="E23" s="45">
        <v>10.5</v>
      </c>
      <c r="F23" s="41"/>
      <c r="G23" s="43"/>
    </row>
    <row r="24" spans="2:9" x14ac:dyDescent="0.35">
      <c r="B24" s="2"/>
      <c r="C24" s="2" t="s">
        <v>119</v>
      </c>
      <c r="D24" s="45">
        <v>10.125</v>
      </c>
      <c r="E24" s="45">
        <v>10.5</v>
      </c>
      <c r="F24" s="2"/>
      <c r="G24" s="43"/>
    </row>
    <row r="25" spans="2:9" x14ac:dyDescent="0.35">
      <c r="B25" s="2"/>
      <c r="C25" s="2"/>
      <c r="D25" s="46"/>
      <c r="E25" s="2"/>
      <c r="F25" s="2"/>
      <c r="G25" s="2"/>
    </row>
    <row r="26" spans="2:9" x14ac:dyDescent="0.35">
      <c r="B26" s="2" t="s">
        <v>120</v>
      </c>
      <c r="C26" s="2"/>
      <c r="D26" s="8"/>
      <c r="E26" s="2"/>
      <c r="F26" s="2"/>
      <c r="G26" s="2"/>
    </row>
    <row r="27" spans="2:9" x14ac:dyDescent="0.35">
      <c r="B27" s="8" t="s">
        <v>121</v>
      </c>
      <c r="C27" s="2"/>
      <c r="D27" s="8"/>
      <c r="E27" s="2"/>
      <c r="F27" s="2"/>
      <c r="G27" s="2"/>
    </row>
    <row r="28" spans="2:9" x14ac:dyDescent="0.35">
      <c r="B28" s="47" t="s">
        <v>122</v>
      </c>
      <c r="C28" s="2" t="s">
        <v>18</v>
      </c>
      <c r="D28" s="8" t="s">
        <v>18</v>
      </c>
      <c r="E28" s="44"/>
      <c r="F28" s="44"/>
      <c r="G28" s="2"/>
    </row>
    <row r="29" spans="2:9" x14ac:dyDescent="0.35">
      <c r="B29" s="2"/>
      <c r="C29" s="2" t="s">
        <v>123</v>
      </c>
      <c r="D29" s="44"/>
      <c r="E29" s="44"/>
      <c r="F29" s="2"/>
      <c r="G29" s="2"/>
      <c r="H29" s="2"/>
    </row>
    <row r="30" spans="2:9" x14ac:dyDescent="0.35">
      <c r="B30" s="2"/>
      <c r="C30" s="2"/>
      <c r="D30" s="44"/>
      <c r="E30" s="44"/>
      <c r="F30" s="2"/>
      <c r="H30" s="2"/>
    </row>
    <row r="31" spans="2:9" x14ac:dyDescent="0.35">
      <c r="B31" s="2"/>
      <c r="C31" s="2" t="s">
        <v>124</v>
      </c>
      <c r="D31" s="2"/>
      <c r="E31" s="2"/>
      <c r="F31" s="2"/>
      <c r="H31" s="8"/>
    </row>
    <row r="32" spans="2:9" x14ac:dyDescent="0.35">
      <c r="B32" s="2"/>
      <c r="C32" s="2" t="s">
        <v>125</v>
      </c>
      <c r="D32" s="44"/>
      <c r="E32" s="44"/>
      <c r="F32" s="2"/>
    </row>
    <row r="33" spans="2:8" x14ac:dyDescent="0.35">
      <c r="B33" s="2"/>
      <c r="C33" s="2"/>
      <c r="D33" s="44"/>
      <c r="E33" s="44"/>
      <c r="F33" s="2"/>
    </row>
    <row r="34" spans="2:8" x14ac:dyDescent="0.35">
      <c r="B34" s="47" t="s">
        <v>126</v>
      </c>
      <c r="C34" s="2"/>
      <c r="D34" s="44"/>
      <c r="E34" s="44"/>
      <c r="F34" s="2"/>
    </row>
    <row r="35" spans="2:8" x14ac:dyDescent="0.35">
      <c r="B35" s="2"/>
      <c r="C35" s="2" t="s">
        <v>134</v>
      </c>
      <c r="D35" s="44"/>
      <c r="E35" s="44"/>
      <c r="F35" s="2"/>
    </row>
    <row r="36" spans="2:8" x14ac:dyDescent="0.35">
      <c r="B36" s="2"/>
      <c r="C36" s="2" t="s">
        <v>125</v>
      </c>
      <c r="D36" s="44"/>
      <c r="E36" s="44"/>
      <c r="F36" s="2"/>
    </row>
    <row r="37" spans="2:8" x14ac:dyDescent="0.35">
      <c r="B37" s="2"/>
      <c r="C37" s="48" t="s">
        <v>18</v>
      </c>
      <c r="D37" s="44"/>
      <c r="E37" s="44"/>
      <c r="F37" s="2"/>
    </row>
    <row r="38" spans="2:8" x14ac:dyDescent="0.35">
      <c r="B38" s="2" t="s">
        <v>127</v>
      </c>
      <c r="C38" s="2" t="s">
        <v>18</v>
      </c>
      <c r="D38" s="44"/>
      <c r="E38" s="44"/>
      <c r="F38" s="2"/>
    </row>
    <row r="39" spans="2:8" x14ac:dyDescent="0.35">
      <c r="B39" s="2"/>
      <c r="C39" s="2" t="s">
        <v>128</v>
      </c>
      <c r="D39" s="2"/>
      <c r="E39" s="2"/>
      <c r="F39" s="2"/>
    </row>
    <row r="40" spans="2:8" x14ac:dyDescent="0.35">
      <c r="B40" s="2"/>
      <c r="C40" s="49"/>
      <c r="D40" s="2"/>
      <c r="E40" s="2"/>
      <c r="F40" s="2"/>
    </row>
    <row r="41" spans="2:8" x14ac:dyDescent="0.35">
      <c r="B41" s="2"/>
      <c r="C41" s="49" t="s">
        <v>129</v>
      </c>
      <c r="D41" s="2"/>
      <c r="E41" s="2"/>
      <c r="F41" s="2"/>
      <c r="G41" s="44"/>
    </row>
    <row r="42" spans="2:8" x14ac:dyDescent="0.35">
      <c r="B42" s="2"/>
      <c r="C42" s="49"/>
      <c r="D42" s="8"/>
      <c r="E42" s="2"/>
      <c r="F42" s="2"/>
      <c r="G42" s="44"/>
    </row>
    <row r="43" spans="2:8" x14ac:dyDescent="0.35">
      <c r="B43" s="2" t="s">
        <v>130</v>
      </c>
      <c r="C43" s="49"/>
      <c r="D43" s="8"/>
      <c r="E43" s="2"/>
      <c r="F43" s="2"/>
      <c r="G43" s="2"/>
    </row>
    <row r="44" spans="2:8" x14ac:dyDescent="0.35">
      <c r="B44" s="2"/>
      <c r="C44" s="49" t="s">
        <v>133</v>
      </c>
      <c r="D44" s="2"/>
      <c r="E44" s="2"/>
      <c r="F44" s="2"/>
      <c r="G44" s="2"/>
    </row>
    <row r="45" spans="2:8" x14ac:dyDescent="0.35">
      <c r="B45" s="2"/>
      <c r="C45" s="49"/>
      <c r="D45" s="2"/>
      <c r="E45" s="2"/>
      <c r="F45" s="2"/>
      <c r="G45" s="44"/>
    </row>
    <row r="46" spans="2:8" x14ac:dyDescent="0.35">
      <c r="B46" s="2"/>
      <c r="C46" s="49" t="s">
        <v>131</v>
      </c>
      <c r="D46" s="2"/>
      <c r="E46" s="2"/>
      <c r="F46" s="2"/>
      <c r="G46" s="44"/>
      <c r="H46" s="44"/>
    </row>
    <row r="47" spans="2:8" x14ac:dyDescent="0.35">
      <c r="B47" s="11"/>
      <c r="C47" s="2"/>
      <c r="D47" s="2"/>
      <c r="E47" s="2"/>
      <c r="F47" s="2"/>
      <c r="G47" s="44"/>
      <c r="H47" s="44"/>
    </row>
    <row r="48" spans="2:8" x14ac:dyDescent="0.35">
      <c r="G48" s="2"/>
    </row>
    <row r="51" spans="8:9" x14ac:dyDescent="0.35">
      <c r="H51" s="44"/>
      <c r="I51" s="4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76" r:id="rId4" name="cmdMenu">
          <controlPr autoLine="0" autoPict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184150</xdr:colOff>
                <xdr:row>6</xdr:row>
                <xdr:rowOff>107950</xdr:rowOff>
              </to>
            </anchor>
          </controlPr>
        </control>
      </mc:Choice>
      <mc:Fallback>
        <control shapeId="23576" r:id="rId4" name="cmdMenu"/>
      </mc:Fallback>
    </mc:AlternateContent>
    <mc:AlternateContent xmlns:mc="http://schemas.openxmlformats.org/markup-compatibility/2006">
      <mc:Choice Requires="x14">
        <control shapeId="23575" r:id="rId6" name="cbCracking">
          <controlPr defaultSize="0" autoFill="0" autoLine="0" r:id="rId7">
            <anchor moveWithCells="1">
              <from>
                <xdr:col>3</xdr:col>
                <xdr:colOff>50800</xdr:colOff>
                <xdr:row>40</xdr:row>
                <xdr:rowOff>0</xdr:rowOff>
              </from>
              <to>
                <xdr:col>6</xdr:col>
                <xdr:colOff>584200</xdr:colOff>
                <xdr:row>41</xdr:row>
                <xdr:rowOff>31750</xdr:rowOff>
              </to>
            </anchor>
          </controlPr>
        </control>
      </mc:Choice>
      <mc:Fallback>
        <control shapeId="23575" r:id="rId6" name="cbCracking"/>
      </mc:Fallback>
    </mc:AlternateContent>
    <mc:AlternateContent xmlns:mc="http://schemas.openxmlformats.org/markup-compatibility/2006">
      <mc:Choice Requires="x14">
        <control shapeId="23574" r:id="rId8" name="cbBreachChannels">
          <controlPr defaultSize="0" autoFill="0" autoLine="0" r:id="rId9">
            <anchor moveWithCells="1">
              <from>
                <xdr:col>3</xdr:col>
                <xdr:colOff>50800</xdr:colOff>
                <xdr:row>38</xdr:row>
                <xdr:rowOff>0</xdr:rowOff>
              </from>
              <to>
                <xdr:col>6</xdr:col>
                <xdr:colOff>584200</xdr:colOff>
                <xdr:row>39</xdr:row>
                <xdr:rowOff>38100</xdr:rowOff>
              </to>
            </anchor>
          </controlPr>
        </control>
      </mc:Choice>
      <mc:Fallback>
        <control shapeId="23574" r:id="rId8" name="cbBreachChannels"/>
      </mc:Fallback>
    </mc:AlternateContent>
    <mc:AlternateContent xmlns:mc="http://schemas.openxmlformats.org/markup-compatibility/2006">
      <mc:Choice Requires="x14">
        <control shapeId="23573" r:id="rId10" name="cbOutletColor">
          <controlPr defaultSize="0" autoFill="0" autoLine="0" r:id="rId11">
            <anchor moveWithCells="1">
              <from>
                <xdr:col>3</xdr:col>
                <xdr:colOff>12700</xdr:colOff>
                <xdr:row>34</xdr:row>
                <xdr:rowOff>12700</xdr:rowOff>
              </from>
              <to>
                <xdr:col>6</xdr:col>
                <xdr:colOff>546100</xdr:colOff>
                <xdr:row>35</xdr:row>
                <xdr:rowOff>50800</xdr:rowOff>
              </to>
            </anchor>
          </controlPr>
        </control>
      </mc:Choice>
      <mc:Fallback>
        <control shapeId="23573" r:id="rId10" name="cbOutletColor"/>
      </mc:Fallback>
    </mc:AlternateContent>
    <mc:AlternateContent xmlns:mc="http://schemas.openxmlformats.org/markup-compatibility/2006">
      <mc:Choice Requires="x14">
        <control shapeId="23572" r:id="rId12" name="cbAshColor">
          <controlPr defaultSize="0" autoFill="0" autoLine="0" r:id="rId13">
            <anchor moveWithCells="1">
              <from>
                <xdr:col>3</xdr:col>
                <xdr:colOff>12700</xdr:colOff>
                <xdr:row>31</xdr:row>
                <xdr:rowOff>12700</xdr:rowOff>
              </from>
              <to>
                <xdr:col>6</xdr:col>
                <xdr:colOff>546100</xdr:colOff>
                <xdr:row>32</xdr:row>
                <xdr:rowOff>44450</xdr:rowOff>
              </to>
            </anchor>
          </controlPr>
        </control>
      </mc:Choice>
      <mc:Fallback>
        <control shapeId="23572" r:id="rId12" name="cbAshColor"/>
      </mc:Fallback>
    </mc:AlternateContent>
    <mc:AlternateContent xmlns:mc="http://schemas.openxmlformats.org/markup-compatibility/2006">
      <mc:Choice Requires="x14">
        <control shapeId="23571" r:id="rId14" name="cbAsh">
          <controlPr defaultSize="0" autoFill="0" autoLine="0" r:id="rId15">
            <anchor moveWithCells="1">
              <from>
                <xdr:col>3</xdr:col>
                <xdr:colOff>31750</xdr:colOff>
                <xdr:row>29</xdr:row>
                <xdr:rowOff>165100</xdr:rowOff>
              </from>
              <to>
                <xdr:col>6</xdr:col>
                <xdr:colOff>565150</xdr:colOff>
                <xdr:row>31</xdr:row>
                <xdr:rowOff>19050</xdr:rowOff>
              </to>
            </anchor>
          </controlPr>
        </control>
      </mc:Choice>
      <mc:Fallback>
        <control shapeId="23571" r:id="rId14" name="cbAsh"/>
      </mc:Fallback>
    </mc:AlternateContent>
    <mc:AlternateContent xmlns:mc="http://schemas.openxmlformats.org/markup-compatibility/2006">
      <mc:Choice Requires="x14">
        <control shapeId="23570" r:id="rId16" name="cbSoot">
          <controlPr defaultSize="0" autoFill="0" autoLine="0" r:id="rId17">
            <anchor moveWithCells="1">
              <from>
                <xdr:col>3</xdr:col>
                <xdr:colOff>31750</xdr:colOff>
                <xdr:row>27</xdr:row>
                <xdr:rowOff>165100</xdr:rowOff>
              </from>
              <to>
                <xdr:col>6</xdr:col>
                <xdr:colOff>565150</xdr:colOff>
                <xdr:row>29</xdr:row>
                <xdr:rowOff>19050</xdr:rowOff>
              </to>
            </anchor>
          </controlPr>
        </control>
      </mc:Choice>
      <mc:Fallback>
        <control shapeId="23570" r:id="rId16" name="cbSoot"/>
      </mc:Fallback>
    </mc:AlternateContent>
    <mc:AlternateContent xmlns:mc="http://schemas.openxmlformats.org/markup-compatibility/2006">
      <mc:Choice Requires="x14">
        <control shapeId="23561" r:id="rId18" name="cbDPF">
          <controlPr defaultSize="0" autoFill="0" autoLine="0" autoPict="0" r:id="rId19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3561" r:id="rId18" name="cbDPF"/>
      </mc:Fallback>
    </mc:AlternateContent>
    <mc:AlternateContent xmlns:mc="http://schemas.openxmlformats.org/markup-compatibility/2006">
      <mc:Choice Requires="x14">
        <control shapeId="23560" r:id="rId20" name="chkRedAsh">
          <controlPr autoLine="0" r:id="rId21">
            <anchor moveWithCells="1">
              <from>
                <xdr:col>3</xdr:col>
                <xdr:colOff>184150</xdr:colOff>
                <xdr:row>45</xdr:row>
                <xdr:rowOff>38100</xdr:rowOff>
              </from>
              <to>
                <xdr:col>3</xdr:col>
                <xdr:colOff>355600</xdr:colOff>
                <xdr:row>46</xdr:row>
                <xdr:rowOff>19050</xdr:rowOff>
              </to>
            </anchor>
          </controlPr>
        </control>
      </mc:Choice>
      <mc:Fallback>
        <control shapeId="23560" r:id="rId20" name="chkRedAsh"/>
      </mc:Fallback>
    </mc:AlternateContent>
    <mc:AlternateContent xmlns:mc="http://schemas.openxmlformats.org/markup-compatibility/2006">
      <mc:Choice Requires="x14">
        <control shapeId="23559" r:id="rId22" name="cmdSave">
          <controlPr defaultSize="0" autoFill="0" autoLine="0" autoPict="0" r:id="rId23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127000</xdr:colOff>
                <xdr:row>3</xdr:row>
                <xdr:rowOff>50800</xdr:rowOff>
              </to>
            </anchor>
          </controlPr>
        </control>
      </mc:Choice>
      <mc:Fallback>
        <control shapeId="23559" r:id="rId22" name="cmdSave"/>
      </mc:Fallback>
    </mc:AlternateContent>
    <mc:AlternateContent xmlns:mc="http://schemas.openxmlformats.org/markup-compatibility/2006">
      <mc:Choice Requires="x14">
        <control shapeId="23555" r:id="rId24" name="chkECDPinDropDepth">
          <controlPr autoLine="0" r:id="rId21">
            <anchor moveWithCells="1">
              <from>
                <xdr:col>3</xdr:col>
                <xdr:colOff>165100</xdr:colOff>
                <xdr:row>14</xdr:row>
                <xdr:rowOff>165100</xdr:rowOff>
              </from>
              <to>
                <xdr:col>3</xdr:col>
                <xdr:colOff>336550</xdr:colOff>
                <xdr:row>15</xdr:row>
                <xdr:rowOff>146050</xdr:rowOff>
              </to>
            </anchor>
          </controlPr>
        </control>
      </mc:Choice>
      <mc:Fallback>
        <control shapeId="23555" r:id="rId24" name="chkECDPinDropDepth"/>
      </mc:Fallback>
    </mc:AlternateContent>
    <mc:AlternateContent xmlns:mc="http://schemas.openxmlformats.org/markup-compatibility/2006">
      <mc:Choice Requires="x14">
        <control shapeId="23554" r:id="rId25" name="chkUSignalReceived">
          <controlPr autoLine="0" r:id="rId21">
            <anchor moveWithCells="1">
              <from>
                <xdr:col>3</xdr:col>
                <xdr:colOff>165100</xdr:colOff>
                <xdr:row>13</xdr:row>
                <xdr:rowOff>57150</xdr:rowOff>
              </from>
              <to>
                <xdr:col>3</xdr:col>
                <xdr:colOff>336550</xdr:colOff>
                <xdr:row>14</xdr:row>
                <xdr:rowOff>38100</xdr:rowOff>
              </to>
            </anchor>
          </controlPr>
        </control>
      </mc:Choice>
      <mc:Fallback>
        <control shapeId="23554" r:id="rId25" name="chkUSignalReceived"/>
      </mc:Fallback>
    </mc:AlternateContent>
    <mc:AlternateContent xmlns:mc="http://schemas.openxmlformats.org/markup-compatibility/2006">
      <mc:Choice Requires="x14">
        <control shapeId="23553" r:id="rId26" name="chkCoolant">
          <controlPr autoLine="0" r:id="rId21">
            <anchor moveWithCells="1">
              <from>
                <xdr:col>3</xdr:col>
                <xdr:colOff>190500</xdr:colOff>
                <xdr:row>43</xdr:row>
                <xdr:rowOff>12700</xdr:rowOff>
              </from>
              <to>
                <xdr:col>3</xdr:col>
                <xdr:colOff>361950</xdr:colOff>
                <xdr:row>43</xdr:row>
                <xdr:rowOff>177800</xdr:rowOff>
              </to>
            </anchor>
          </controlPr>
        </control>
      </mc:Choice>
      <mc:Fallback>
        <control shapeId="23553" r:id="rId26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2:I83"/>
  <sheetViews>
    <sheetView workbookViewId="0">
      <selection activeCell="D36" sqref="D36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  <col min="7" max="7" width="29.81640625" bestFit="1" customWidth="1"/>
    <col min="8" max="8" width="11.81640625" bestFit="1" customWidth="1"/>
    <col min="9" max="9" width="11.453125" bestFit="1" customWidth="1"/>
  </cols>
  <sheetData>
    <row r="2" spans="2:9" x14ac:dyDescent="0.35">
      <c r="B2" t="s">
        <v>132</v>
      </c>
    </row>
    <row r="3" spans="2:9" ht="18" x14ac:dyDescent="0.4">
      <c r="B3" s="1" t="s">
        <v>101</v>
      </c>
      <c r="C3" s="2"/>
    </row>
    <row r="4" spans="2:9" x14ac:dyDescent="0.35">
      <c r="B4" s="2"/>
      <c r="C4" s="2"/>
    </row>
    <row r="5" spans="2:9" x14ac:dyDescent="0.35">
      <c r="B5" s="5" t="s">
        <v>212</v>
      </c>
      <c r="C5" s="78" t="s">
        <v>261</v>
      </c>
    </row>
    <row r="6" spans="2:9" x14ac:dyDescent="0.35">
      <c r="B6" s="7" t="s">
        <v>45</v>
      </c>
      <c r="C6" s="78">
        <v>11</v>
      </c>
    </row>
    <row r="7" spans="2:9" x14ac:dyDescent="0.35">
      <c r="B7" s="7" t="s">
        <v>47</v>
      </c>
      <c r="C7" s="78">
        <v>15</v>
      </c>
    </row>
    <row r="8" spans="2:9" x14ac:dyDescent="0.35">
      <c r="B8" t="s">
        <v>158</v>
      </c>
      <c r="C8" s="45"/>
      <c r="D8" s="72" t="s">
        <v>159</v>
      </c>
      <c r="G8" s="72" t="s">
        <v>157</v>
      </c>
      <c r="H8" s="78">
        <f>(3.14*(SubDiameter/2)^2)*(SubLength)*(1/12)^3</f>
        <v>0.82452256944444446</v>
      </c>
      <c r="I8" s="80" t="s">
        <v>152</v>
      </c>
    </row>
    <row r="9" spans="2:9" x14ac:dyDescent="0.35">
      <c r="B9" t="s">
        <v>162</v>
      </c>
      <c r="C9" s="45"/>
      <c r="D9" t="s">
        <v>161</v>
      </c>
      <c r="G9" s="72"/>
      <c r="H9" s="78">
        <f>Volume*28.317</f>
        <v>23.348005598958334</v>
      </c>
      <c r="I9" s="80" t="s">
        <v>164</v>
      </c>
    </row>
    <row r="10" spans="2:9" x14ac:dyDescent="0.35">
      <c r="B10" s="7"/>
      <c r="C10" s="8"/>
      <c r="G10" t="s">
        <v>160</v>
      </c>
      <c r="H10" s="78">
        <f>(Volume*MaxSpaceVelocity)*(1/60)*(61.7)/(2350*0.395)</f>
        <v>0</v>
      </c>
      <c r="I10" t="s">
        <v>161</v>
      </c>
    </row>
    <row r="11" spans="2:9" x14ac:dyDescent="0.35">
      <c r="G11" t="s">
        <v>163</v>
      </c>
      <c r="H11" s="79">
        <f>IF(H10&gt;MaxHertz,"60",H10)</f>
        <v>0</v>
      </c>
      <c r="I11" t="s">
        <v>161</v>
      </c>
    </row>
    <row r="12" spans="2:9" x14ac:dyDescent="0.35">
      <c r="B12" s="50" t="s">
        <v>135</v>
      </c>
      <c r="C12" s="51"/>
      <c r="D12" s="52" t="str">
        <f>B5</f>
        <v>DPF</v>
      </c>
      <c r="E12" s="53"/>
      <c r="F12" s="53"/>
    </row>
    <row r="13" spans="2:9" x14ac:dyDescent="0.35">
      <c r="B13" s="54"/>
      <c r="C13" s="54"/>
      <c r="D13" s="54"/>
      <c r="E13" s="54"/>
      <c r="F13" s="54"/>
    </row>
    <row r="14" spans="2:9" x14ac:dyDescent="0.35">
      <c r="B14" s="55" t="s">
        <v>136</v>
      </c>
      <c r="D14" s="38"/>
      <c r="E14" t="s">
        <v>137</v>
      </c>
    </row>
    <row r="15" spans="2:9" x14ac:dyDescent="0.35">
      <c r="B15" s="55" t="s">
        <v>138</v>
      </c>
      <c r="D15" s="38"/>
      <c r="E15" t="s">
        <v>139</v>
      </c>
    </row>
    <row r="16" spans="2:9" x14ac:dyDescent="0.35">
      <c r="B16" s="55" t="s">
        <v>140</v>
      </c>
      <c r="D16" s="45"/>
    </row>
    <row r="17" spans="2:9" x14ac:dyDescent="0.35">
      <c r="B17" s="56" t="s">
        <v>141</v>
      </c>
      <c r="C17" s="57" t="s">
        <v>142</v>
      </c>
      <c r="D17" s="58" t="s">
        <v>143</v>
      </c>
      <c r="E17" s="58" t="s">
        <v>144</v>
      </c>
      <c r="G17" s="59" t="s">
        <v>145</v>
      </c>
      <c r="H17" s="58"/>
      <c r="I17" s="58"/>
    </row>
    <row r="18" spans="2:9" x14ac:dyDescent="0.35">
      <c r="B18" s="60" t="s">
        <v>146</v>
      </c>
      <c r="C18" s="60" t="s">
        <v>147</v>
      </c>
      <c r="D18" s="60" t="s">
        <v>148</v>
      </c>
      <c r="E18" s="60" t="s">
        <v>147</v>
      </c>
      <c r="F18" s="60" t="s">
        <v>149</v>
      </c>
      <c r="G18" s="59" t="s">
        <v>150</v>
      </c>
      <c r="H18" s="58" t="s">
        <v>147</v>
      </c>
      <c r="I18" s="58" t="s">
        <v>151</v>
      </c>
    </row>
    <row r="19" spans="2:9" x14ac:dyDescent="0.35">
      <c r="B19" s="61">
        <f>0.25*$H$11</f>
        <v>0</v>
      </c>
      <c r="C19" s="62">
        <f>(2350/61.7)*B19*0.395</f>
        <v>0</v>
      </c>
      <c r="D19" s="45">
        <v>0</v>
      </c>
      <c r="E19" s="62">
        <f t="shared" ref="E19:E28" si="0">C19-(34.4764881*D19-4.325744048*D19^2+0.369475446*D19^3-0.01733631*D19^4+0.000339472*D19^5)</f>
        <v>0</v>
      </c>
      <c r="F19" s="63">
        <f t="shared" ref="F19:F29" si="1">(E19*60)/Volume</f>
        <v>0</v>
      </c>
      <c r="G19" s="45">
        <v>0</v>
      </c>
      <c r="H19" s="64">
        <f t="shared" ref="H19:H29" si="2">G19*Volume/60</f>
        <v>0</v>
      </c>
      <c r="I19" s="65">
        <f t="shared" ref="I19:I29" si="3">G19^2*P0a+G19*P0b+P0c</f>
        <v>0</v>
      </c>
    </row>
    <row r="20" spans="2:9" x14ac:dyDescent="0.35">
      <c r="B20" s="61">
        <f>0.4*$H$11</f>
        <v>0</v>
      </c>
      <c r="C20" s="62">
        <f t="shared" ref="C20:C29" si="4">(2350/61.7)*B20*0.395</f>
        <v>0</v>
      </c>
      <c r="D20" s="45">
        <v>0</v>
      </c>
      <c r="E20" s="62">
        <f t="shared" si="0"/>
        <v>0</v>
      </c>
      <c r="F20" s="63">
        <f t="shared" si="1"/>
        <v>0</v>
      </c>
      <c r="G20" s="45">
        <v>0</v>
      </c>
      <c r="H20" s="64">
        <f t="shared" si="2"/>
        <v>0</v>
      </c>
      <c r="I20" s="65">
        <f t="shared" si="3"/>
        <v>0</v>
      </c>
    </row>
    <row r="21" spans="2:9" x14ac:dyDescent="0.35">
      <c r="B21" s="61">
        <f>0.5*$H$11</f>
        <v>0</v>
      </c>
      <c r="C21" s="62">
        <f t="shared" si="4"/>
        <v>0</v>
      </c>
      <c r="D21" s="45">
        <v>0</v>
      </c>
      <c r="E21" s="62">
        <f t="shared" si="0"/>
        <v>0</v>
      </c>
      <c r="F21" s="63">
        <f t="shared" si="1"/>
        <v>0</v>
      </c>
      <c r="G21" s="45">
        <v>0</v>
      </c>
      <c r="H21" s="64">
        <f t="shared" si="2"/>
        <v>0</v>
      </c>
      <c r="I21" s="65">
        <f t="shared" si="3"/>
        <v>0</v>
      </c>
    </row>
    <row r="22" spans="2:9" x14ac:dyDescent="0.35">
      <c r="B22" s="61">
        <f>0.6*$H$11</f>
        <v>0</v>
      </c>
      <c r="C22" s="62">
        <f t="shared" si="4"/>
        <v>0</v>
      </c>
      <c r="D22" s="45">
        <v>0</v>
      </c>
      <c r="E22" s="62">
        <f t="shared" si="0"/>
        <v>0</v>
      </c>
      <c r="F22" s="63">
        <f t="shared" si="1"/>
        <v>0</v>
      </c>
      <c r="G22" s="45">
        <v>0</v>
      </c>
      <c r="H22" s="64">
        <f t="shared" si="2"/>
        <v>0</v>
      </c>
      <c r="I22" s="65">
        <f t="shared" si="3"/>
        <v>0</v>
      </c>
    </row>
    <row r="23" spans="2:9" x14ac:dyDescent="0.35">
      <c r="B23" s="61">
        <f>0.7*$H$11</f>
        <v>0</v>
      </c>
      <c r="C23" s="62">
        <f t="shared" si="4"/>
        <v>0</v>
      </c>
      <c r="D23" s="45">
        <v>0</v>
      </c>
      <c r="E23" s="62">
        <f t="shared" si="0"/>
        <v>0</v>
      </c>
      <c r="F23" s="63">
        <f t="shared" si="1"/>
        <v>0</v>
      </c>
      <c r="G23" s="45">
        <v>0</v>
      </c>
      <c r="H23" s="64">
        <f t="shared" si="2"/>
        <v>0</v>
      </c>
      <c r="I23" s="65">
        <f t="shared" si="3"/>
        <v>0</v>
      </c>
    </row>
    <row r="24" spans="2:9" x14ac:dyDescent="0.35">
      <c r="B24" s="61">
        <f>0.75*$H$11</f>
        <v>0</v>
      </c>
      <c r="C24" s="62">
        <f t="shared" si="4"/>
        <v>0</v>
      </c>
      <c r="D24" s="45">
        <v>0</v>
      </c>
      <c r="E24" s="62">
        <f t="shared" si="0"/>
        <v>0</v>
      </c>
      <c r="F24" s="63">
        <f t="shared" si="1"/>
        <v>0</v>
      </c>
      <c r="G24" s="45">
        <v>0</v>
      </c>
      <c r="H24" s="64">
        <f t="shared" si="2"/>
        <v>0</v>
      </c>
      <c r="I24" s="65">
        <f t="shared" si="3"/>
        <v>0</v>
      </c>
    </row>
    <row r="25" spans="2:9" x14ac:dyDescent="0.35">
      <c r="B25" s="61">
        <f>0.8*$H$11</f>
        <v>0</v>
      </c>
      <c r="C25" s="62">
        <f t="shared" si="4"/>
        <v>0</v>
      </c>
      <c r="D25" s="45">
        <v>0</v>
      </c>
      <c r="E25" s="62">
        <f t="shared" si="0"/>
        <v>0</v>
      </c>
      <c r="F25" s="63">
        <f t="shared" si="1"/>
        <v>0</v>
      </c>
      <c r="G25" s="45">
        <v>0</v>
      </c>
      <c r="H25" s="64">
        <f t="shared" si="2"/>
        <v>0</v>
      </c>
      <c r="I25" s="65">
        <f t="shared" si="3"/>
        <v>0</v>
      </c>
    </row>
    <row r="26" spans="2:9" x14ac:dyDescent="0.35">
      <c r="B26" s="61">
        <f>0.85*$H$11</f>
        <v>0</v>
      </c>
      <c r="C26" s="62">
        <f t="shared" si="4"/>
        <v>0</v>
      </c>
      <c r="D26" s="45">
        <v>0</v>
      </c>
      <c r="E26" s="62">
        <f t="shared" si="0"/>
        <v>0</v>
      </c>
      <c r="F26" s="63">
        <f t="shared" si="1"/>
        <v>0</v>
      </c>
      <c r="G26" s="45">
        <v>0</v>
      </c>
      <c r="H26" s="64">
        <f t="shared" si="2"/>
        <v>0</v>
      </c>
      <c r="I26" s="65">
        <f t="shared" si="3"/>
        <v>0</v>
      </c>
    </row>
    <row r="27" spans="2:9" x14ac:dyDescent="0.35">
      <c r="B27" s="61">
        <f>0.9*$H$11</f>
        <v>0</v>
      </c>
      <c r="C27" s="62">
        <f t="shared" si="4"/>
        <v>0</v>
      </c>
      <c r="D27" s="45">
        <v>0</v>
      </c>
      <c r="E27" s="62">
        <f t="shared" si="0"/>
        <v>0</v>
      </c>
      <c r="F27" s="63">
        <f t="shared" si="1"/>
        <v>0</v>
      </c>
      <c r="G27" s="45">
        <v>0</v>
      </c>
      <c r="H27" s="64">
        <f t="shared" si="2"/>
        <v>0</v>
      </c>
      <c r="I27" s="65">
        <f t="shared" si="3"/>
        <v>0</v>
      </c>
    </row>
    <row r="28" spans="2:9" x14ac:dyDescent="0.35">
      <c r="B28" s="61">
        <f>0.95*$H$11</f>
        <v>0</v>
      </c>
      <c r="C28" s="62">
        <f t="shared" si="4"/>
        <v>0</v>
      </c>
      <c r="D28" s="45">
        <v>0</v>
      </c>
      <c r="E28" s="62">
        <f t="shared" si="0"/>
        <v>0</v>
      </c>
      <c r="F28" s="63">
        <f t="shared" si="1"/>
        <v>0</v>
      </c>
      <c r="G28" s="45">
        <v>0</v>
      </c>
      <c r="H28" s="64">
        <f t="shared" si="2"/>
        <v>0</v>
      </c>
      <c r="I28" s="65">
        <f t="shared" si="3"/>
        <v>0</v>
      </c>
    </row>
    <row r="29" spans="2:9" x14ac:dyDescent="0.35">
      <c r="B29" s="61">
        <f>1*$H$11</f>
        <v>0</v>
      </c>
      <c r="C29" s="62">
        <f t="shared" si="4"/>
        <v>0</v>
      </c>
      <c r="D29" s="45">
        <v>0</v>
      </c>
      <c r="E29" s="62">
        <f>C29-(34.4764881*D29-4.325744048*D29^2+0.369475446*D29^3-0.01733631*D29^4+0.000339472*D29^5)</f>
        <v>0</v>
      </c>
      <c r="F29" s="63">
        <f t="shared" si="1"/>
        <v>0</v>
      </c>
      <c r="G29" s="45">
        <v>0</v>
      </c>
      <c r="H29" s="64">
        <f t="shared" si="2"/>
        <v>0</v>
      </c>
      <c r="I29" s="65">
        <f t="shared" si="3"/>
        <v>0</v>
      </c>
    </row>
    <row r="30" spans="2:9" x14ac:dyDescent="0.35">
      <c r="B30" s="54"/>
      <c r="D30" s="54"/>
      <c r="E30" s="54"/>
      <c r="F30" s="54"/>
      <c r="G30" s="70" t="s">
        <v>153</v>
      </c>
    </row>
    <row r="31" spans="2:9" x14ac:dyDescent="0.35">
      <c r="C31" s="67"/>
      <c r="G31" s="70" t="s">
        <v>154</v>
      </c>
      <c r="H31" s="71"/>
    </row>
    <row r="32" spans="2:9" x14ac:dyDescent="0.35">
      <c r="B32" s="68"/>
      <c r="C32" s="68"/>
      <c r="D32" s="68"/>
      <c r="E32" s="68"/>
      <c r="F32" s="68"/>
      <c r="G32" s="70" t="s">
        <v>155</v>
      </c>
      <c r="H32" s="71"/>
    </row>
    <row r="33" spans="2:9" x14ac:dyDescent="0.35">
      <c r="B33" s="69"/>
      <c r="C33" s="69"/>
      <c r="D33" s="69"/>
      <c r="E33" s="69"/>
      <c r="F33" s="69"/>
      <c r="G33" s="70" t="s">
        <v>156</v>
      </c>
      <c r="H33" s="38"/>
    </row>
    <row r="34" spans="2:9" x14ac:dyDescent="0.35">
      <c r="B34" s="69"/>
      <c r="C34" s="69"/>
      <c r="D34" s="69"/>
      <c r="E34" s="69"/>
      <c r="F34" s="69"/>
      <c r="I34" t="s">
        <v>18</v>
      </c>
    </row>
    <row r="36" spans="2:9" x14ac:dyDescent="0.35">
      <c r="B36" s="55" t="s">
        <v>135</v>
      </c>
      <c r="D36" s="52" t="e">
        <f>#REF!</f>
        <v>#REF!</v>
      </c>
    </row>
    <row r="38" spans="2:9" x14ac:dyDescent="0.35">
      <c r="B38" s="55" t="s">
        <v>136</v>
      </c>
      <c r="D38" s="38"/>
      <c r="E38" t="s">
        <v>137</v>
      </c>
    </row>
    <row r="39" spans="2:9" x14ac:dyDescent="0.35">
      <c r="B39" s="55" t="s">
        <v>138</v>
      </c>
      <c r="D39" s="38"/>
      <c r="E39" t="s">
        <v>139</v>
      </c>
      <c r="I39" s="67"/>
    </row>
    <row r="40" spans="2:9" x14ac:dyDescent="0.35">
      <c r="B40" s="55" t="s">
        <v>140</v>
      </c>
      <c r="D40" s="45"/>
    </row>
    <row r="41" spans="2:9" x14ac:dyDescent="0.35">
      <c r="B41" s="56" t="s">
        <v>141</v>
      </c>
      <c r="C41" s="57" t="s">
        <v>142</v>
      </c>
      <c r="D41" s="58" t="s">
        <v>143</v>
      </c>
      <c r="E41" s="58" t="s">
        <v>144</v>
      </c>
      <c r="F41" s="72"/>
      <c r="G41" s="59" t="s">
        <v>145</v>
      </c>
      <c r="H41" s="58"/>
      <c r="I41" s="58"/>
    </row>
    <row r="42" spans="2:9" x14ac:dyDescent="0.35">
      <c r="B42" s="58" t="s">
        <v>146</v>
      </c>
      <c r="C42" s="58" t="s">
        <v>147</v>
      </c>
      <c r="D42" s="58" t="s">
        <v>148</v>
      </c>
      <c r="E42" s="58" t="s">
        <v>147</v>
      </c>
      <c r="F42" s="58" t="s">
        <v>149</v>
      </c>
      <c r="G42" s="59" t="s">
        <v>150</v>
      </c>
      <c r="H42" s="58" t="s">
        <v>147</v>
      </c>
      <c r="I42" s="58" t="s">
        <v>151</v>
      </c>
    </row>
    <row r="43" spans="2:9" x14ac:dyDescent="0.35">
      <c r="B43" s="61">
        <f>0.25*$H$11</f>
        <v>0</v>
      </c>
      <c r="C43" s="62">
        <f>(2350/61.7)*B43*0.395</f>
        <v>0</v>
      </c>
      <c r="D43" s="45">
        <v>0</v>
      </c>
      <c r="E43" s="62">
        <f t="shared" ref="E43:E53" si="5">C43-(34.4764881*D43-4.325744048*D43^2+0.369475446*D43^3-0.01733631*D43^4+0.000339472*D43^5)</f>
        <v>0</v>
      </c>
      <c r="F43" s="63">
        <f t="shared" ref="F43:F53" si="6">(E43*60)/Volume</f>
        <v>0</v>
      </c>
      <c r="G43" s="45">
        <v>0</v>
      </c>
      <c r="H43" s="64">
        <f t="shared" ref="H43:H53" si="7">G43*Volume/60</f>
        <v>0</v>
      </c>
      <c r="I43" s="65">
        <f t="shared" ref="I43:I53" si="8">G43^2*P1a+G43*P1b+P1c</f>
        <v>0</v>
      </c>
    </row>
    <row r="44" spans="2:9" x14ac:dyDescent="0.35">
      <c r="B44" s="61">
        <f>0.4*$H$11</f>
        <v>0</v>
      </c>
      <c r="C44" s="62">
        <f t="shared" ref="C44:C52" si="9">(2350/61.7)*B44*0.395</f>
        <v>0</v>
      </c>
      <c r="D44" s="45">
        <v>0</v>
      </c>
      <c r="E44" s="62">
        <f t="shared" si="5"/>
        <v>0</v>
      </c>
      <c r="F44" s="63">
        <f t="shared" si="6"/>
        <v>0</v>
      </c>
      <c r="G44" s="45">
        <v>0</v>
      </c>
      <c r="H44" s="64">
        <f t="shared" si="7"/>
        <v>0</v>
      </c>
      <c r="I44" s="65">
        <f t="shared" si="8"/>
        <v>0</v>
      </c>
    </row>
    <row r="45" spans="2:9" x14ac:dyDescent="0.35">
      <c r="B45" s="61">
        <f>0.5*$H$11</f>
        <v>0</v>
      </c>
      <c r="C45" s="62">
        <f t="shared" si="9"/>
        <v>0</v>
      </c>
      <c r="D45" s="45">
        <v>0</v>
      </c>
      <c r="E45" s="62">
        <f t="shared" si="5"/>
        <v>0</v>
      </c>
      <c r="F45" s="63">
        <f t="shared" si="6"/>
        <v>0</v>
      </c>
      <c r="G45" s="45">
        <v>0</v>
      </c>
      <c r="H45" s="64">
        <f t="shared" si="7"/>
        <v>0</v>
      </c>
      <c r="I45" s="65">
        <f t="shared" si="8"/>
        <v>0</v>
      </c>
    </row>
    <row r="46" spans="2:9" x14ac:dyDescent="0.35">
      <c r="B46" s="61">
        <f>0.6*$H$11</f>
        <v>0</v>
      </c>
      <c r="C46" s="62">
        <f t="shared" si="9"/>
        <v>0</v>
      </c>
      <c r="D46" s="45">
        <v>0</v>
      </c>
      <c r="E46" s="62">
        <f t="shared" si="5"/>
        <v>0</v>
      </c>
      <c r="F46" s="63">
        <f t="shared" si="6"/>
        <v>0</v>
      </c>
      <c r="G46" s="45">
        <v>0</v>
      </c>
      <c r="H46" s="64">
        <f t="shared" si="7"/>
        <v>0</v>
      </c>
      <c r="I46" s="65">
        <f t="shared" si="8"/>
        <v>0</v>
      </c>
    </row>
    <row r="47" spans="2:9" x14ac:dyDescent="0.35">
      <c r="B47" s="61">
        <f>0.7*$H$11</f>
        <v>0</v>
      </c>
      <c r="C47" s="62">
        <f t="shared" si="9"/>
        <v>0</v>
      </c>
      <c r="D47" s="45">
        <v>0</v>
      </c>
      <c r="E47" s="62">
        <f t="shared" si="5"/>
        <v>0</v>
      </c>
      <c r="F47" s="63">
        <f t="shared" si="6"/>
        <v>0</v>
      </c>
      <c r="G47" s="45">
        <v>0</v>
      </c>
      <c r="H47" s="64">
        <f t="shared" si="7"/>
        <v>0</v>
      </c>
      <c r="I47" s="65">
        <f t="shared" si="8"/>
        <v>0</v>
      </c>
    </row>
    <row r="48" spans="2:9" x14ac:dyDescent="0.35">
      <c r="B48" s="61">
        <f>0.75*$H$11</f>
        <v>0</v>
      </c>
      <c r="C48" s="62">
        <f t="shared" si="9"/>
        <v>0</v>
      </c>
      <c r="D48" s="45">
        <v>0</v>
      </c>
      <c r="E48" s="62">
        <f t="shared" si="5"/>
        <v>0</v>
      </c>
      <c r="F48" s="63">
        <f t="shared" si="6"/>
        <v>0</v>
      </c>
      <c r="G48" s="45">
        <v>0</v>
      </c>
      <c r="H48" s="64">
        <f t="shared" si="7"/>
        <v>0</v>
      </c>
      <c r="I48" s="65">
        <f t="shared" si="8"/>
        <v>0</v>
      </c>
    </row>
    <row r="49" spans="2:9" x14ac:dyDescent="0.35">
      <c r="B49" s="61">
        <f>0.8*$H$11</f>
        <v>0</v>
      </c>
      <c r="C49" s="62">
        <f t="shared" si="9"/>
        <v>0</v>
      </c>
      <c r="D49" s="45">
        <v>0</v>
      </c>
      <c r="E49" s="62">
        <f t="shared" si="5"/>
        <v>0</v>
      </c>
      <c r="F49" s="63">
        <f t="shared" si="6"/>
        <v>0</v>
      </c>
      <c r="G49" s="45">
        <v>0</v>
      </c>
      <c r="H49" s="64">
        <f t="shared" si="7"/>
        <v>0</v>
      </c>
      <c r="I49" s="65">
        <f t="shared" si="8"/>
        <v>0</v>
      </c>
    </row>
    <row r="50" spans="2:9" x14ac:dyDescent="0.35">
      <c r="B50" s="61">
        <f>0.85*$H$11</f>
        <v>0</v>
      </c>
      <c r="C50" s="62">
        <f t="shared" si="9"/>
        <v>0</v>
      </c>
      <c r="D50" s="45">
        <v>0</v>
      </c>
      <c r="E50" s="62">
        <f t="shared" si="5"/>
        <v>0</v>
      </c>
      <c r="F50" s="63">
        <f t="shared" si="6"/>
        <v>0</v>
      </c>
      <c r="G50" s="45">
        <v>0</v>
      </c>
      <c r="H50" s="64">
        <f t="shared" si="7"/>
        <v>0</v>
      </c>
      <c r="I50" s="65">
        <f t="shared" si="8"/>
        <v>0</v>
      </c>
    </row>
    <row r="51" spans="2:9" x14ac:dyDescent="0.35">
      <c r="B51" s="61">
        <f>0.9*$H$11</f>
        <v>0</v>
      </c>
      <c r="C51" s="62">
        <f t="shared" si="9"/>
        <v>0</v>
      </c>
      <c r="D51" s="45">
        <v>0</v>
      </c>
      <c r="E51" s="62">
        <f t="shared" si="5"/>
        <v>0</v>
      </c>
      <c r="F51" s="63">
        <f t="shared" si="6"/>
        <v>0</v>
      </c>
      <c r="G51" s="45">
        <v>0</v>
      </c>
      <c r="H51" s="64">
        <f t="shared" si="7"/>
        <v>0</v>
      </c>
      <c r="I51" s="65">
        <f t="shared" si="8"/>
        <v>0</v>
      </c>
    </row>
    <row r="52" spans="2:9" x14ac:dyDescent="0.35">
      <c r="B52" s="61">
        <f>0.95*$H$11</f>
        <v>0</v>
      </c>
      <c r="C52" s="62">
        <f t="shared" si="9"/>
        <v>0</v>
      </c>
      <c r="D52" s="45">
        <v>0</v>
      </c>
      <c r="E52" s="62">
        <f t="shared" si="5"/>
        <v>0</v>
      </c>
      <c r="F52" s="63">
        <f t="shared" si="6"/>
        <v>0</v>
      </c>
      <c r="G52" s="45">
        <v>0</v>
      </c>
      <c r="H52" s="64">
        <f t="shared" si="7"/>
        <v>0</v>
      </c>
      <c r="I52" s="65">
        <f t="shared" si="8"/>
        <v>0</v>
      </c>
    </row>
    <row r="53" spans="2:9" x14ac:dyDescent="0.35">
      <c r="B53" s="61">
        <f>1*$H$11</f>
        <v>0</v>
      </c>
      <c r="C53" s="62">
        <f>(2350/61.7)*B53*0.395</f>
        <v>0</v>
      </c>
      <c r="D53" s="45">
        <v>0</v>
      </c>
      <c r="E53" s="62">
        <f t="shared" si="5"/>
        <v>0</v>
      </c>
      <c r="F53" s="63">
        <f t="shared" si="6"/>
        <v>0</v>
      </c>
      <c r="G53" s="45">
        <v>0</v>
      </c>
      <c r="H53" s="64">
        <f t="shared" si="7"/>
        <v>0</v>
      </c>
      <c r="I53" s="65">
        <f t="shared" si="8"/>
        <v>0</v>
      </c>
    </row>
    <row r="54" spans="2:9" x14ac:dyDescent="0.35">
      <c r="G54" s="70" t="s">
        <v>153</v>
      </c>
    </row>
    <row r="55" spans="2:9" x14ac:dyDescent="0.35">
      <c r="B55" s="73"/>
      <c r="C55" s="73"/>
      <c r="D55" s="73"/>
      <c r="G55" s="70" t="s">
        <v>154</v>
      </c>
      <c r="H55" s="71"/>
    </row>
    <row r="56" spans="2:9" x14ac:dyDescent="0.35">
      <c r="B56" s="2"/>
      <c r="C56" s="73"/>
      <c r="D56" s="73"/>
      <c r="E56" s="72"/>
      <c r="F56" s="72"/>
      <c r="G56" s="70" t="s">
        <v>155</v>
      </c>
      <c r="H56" s="71"/>
    </row>
    <row r="57" spans="2:9" x14ac:dyDescent="0.35">
      <c r="B57" s="74"/>
      <c r="C57" s="73"/>
      <c r="D57" s="73"/>
      <c r="E57" s="72"/>
      <c r="F57" s="72"/>
      <c r="G57" s="70" t="s">
        <v>156</v>
      </c>
      <c r="H57" s="71"/>
    </row>
    <row r="58" spans="2:9" x14ac:dyDescent="0.35">
      <c r="B58" s="74"/>
      <c r="C58" s="73"/>
      <c r="D58" s="73"/>
      <c r="E58" s="73"/>
      <c r="F58" s="73"/>
    </row>
    <row r="59" spans="2:9" x14ac:dyDescent="0.35">
      <c r="B59" s="2"/>
      <c r="C59" s="73"/>
      <c r="D59" s="73"/>
      <c r="E59" s="73"/>
      <c r="F59" s="73"/>
    </row>
    <row r="61" spans="2:9" x14ac:dyDescent="0.35">
      <c r="B61" s="55" t="s">
        <v>135</v>
      </c>
      <c r="D61" s="52" t="str">
        <f>B6</f>
        <v>Substrate Diameter(inch)</v>
      </c>
    </row>
    <row r="63" spans="2:9" x14ac:dyDescent="0.35">
      <c r="B63" s="55" t="s">
        <v>136</v>
      </c>
      <c r="D63" s="38"/>
      <c r="E63" t="s">
        <v>137</v>
      </c>
      <c r="H63" s="54"/>
      <c r="I63" s="54"/>
    </row>
    <row r="64" spans="2:9" x14ac:dyDescent="0.35">
      <c r="B64" s="55" t="s">
        <v>138</v>
      </c>
      <c r="D64" s="38"/>
      <c r="E64" t="s">
        <v>139</v>
      </c>
      <c r="H64" s="54"/>
      <c r="I64" s="54"/>
    </row>
    <row r="65" spans="2:9" x14ac:dyDescent="0.35">
      <c r="B65" s="55" t="s">
        <v>140</v>
      </c>
      <c r="D65" s="45"/>
      <c r="H65" s="75"/>
      <c r="I65" s="75"/>
    </row>
    <row r="66" spans="2:9" x14ac:dyDescent="0.35">
      <c r="B66" s="56" t="s">
        <v>141</v>
      </c>
      <c r="C66" s="57" t="s">
        <v>142</v>
      </c>
      <c r="D66" s="58" t="s">
        <v>143</v>
      </c>
      <c r="E66" s="58" t="s">
        <v>144</v>
      </c>
      <c r="F66" s="72"/>
      <c r="G66" s="59" t="s">
        <v>145</v>
      </c>
      <c r="H66" s="58"/>
      <c r="I66" s="58"/>
    </row>
    <row r="67" spans="2:9" x14ac:dyDescent="0.35">
      <c r="B67" s="58" t="s">
        <v>146</v>
      </c>
      <c r="C67" s="58" t="s">
        <v>147</v>
      </c>
      <c r="D67" s="58" t="s">
        <v>148</v>
      </c>
      <c r="E67" s="58" t="s">
        <v>147</v>
      </c>
      <c r="F67" s="58" t="s">
        <v>149</v>
      </c>
      <c r="G67" s="59" t="s">
        <v>150</v>
      </c>
      <c r="H67" s="58" t="s">
        <v>147</v>
      </c>
      <c r="I67" s="58" t="s">
        <v>151</v>
      </c>
    </row>
    <row r="68" spans="2:9" x14ac:dyDescent="0.35">
      <c r="B68" s="61">
        <f>0.25*$H$11</f>
        <v>0</v>
      </c>
      <c r="C68" s="62">
        <f>(2350/61.7)*B68*0.395</f>
        <v>0</v>
      </c>
      <c r="D68" s="45">
        <v>0</v>
      </c>
      <c r="E68" s="62">
        <f t="shared" ref="E68:E78" si="10">C68-(34.4764881*D68-4.325744048*D68^2+0.369475446*D68^3-0.01733631*D68^4+0.000339472*D68^5)</f>
        <v>0</v>
      </c>
      <c r="F68" s="62">
        <f t="shared" ref="F68:F78" si="11">(E68*60)/Volume</f>
        <v>0</v>
      </c>
      <c r="G68" s="45">
        <v>0</v>
      </c>
      <c r="H68" s="64">
        <f t="shared" ref="H68:H78" si="12">G68*Volume/60</f>
        <v>0</v>
      </c>
      <c r="I68" s="65">
        <f t="shared" ref="I68:I78" si="13">G68^2*P2a+G68*P2b+P2c</f>
        <v>0</v>
      </c>
    </row>
    <row r="69" spans="2:9" x14ac:dyDescent="0.35">
      <c r="B69" s="61">
        <f>0.4*$H$11</f>
        <v>0</v>
      </c>
      <c r="C69" s="62">
        <f t="shared" ref="C69:C78" si="14">(2350/61.7)*B69*0.395</f>
        <v>0</v>
      </c>
      <c r="D69" s="45">
        <v>0</v>
      </c>
      <c r="E69" s="62">
        <f t="shared" si="10"/>
        <v>0</v>
      </c>
      <c r="F69" s="62">
        <f t="shared" si="11"/>
        <v>0</v>
      </c>
      <c r="G69" s="45">
        <v>0</v>
      </c>
      <c r="H69" s="64">
        <f t="shared" si="12"/>
        <v>0</v>
      </c>
      <c r="I69" s="65">
        <f t="shared" si="13"/>
        <v>0</v>
      </c>
    </row>
    <row r="70" spans="2:9" x14ac:dyDescent="0.35">
      <c r="B70" s="61">
        <f>0.5*$H$11</f>
        <v>0</v>
      </c>
      <c r="C70" s="62">
        <f t="shared" si="14"/>
        <v>0</v>
      </c>
      <c r="D70" s="45">
        <v>0</v>
      </c>
      <c r="E70" s="62">
        <f t="shared" si="10"/>
        <v>0</v>
      </c>
      <c r="F70" s="62">
        <f t="shared" si="11"/>
        <v>0</v>
      </c>
      <c r="G70" s="45">
        <v>0</v>
      </c>
      <c r="H70" s="64">
        <f t="shared" si="12"/>
        <v>0</v>
      </c>
      <c r="I70" s="65">
        <f t="shared" si="13"/>
        <v>0</v>
      </c>
    </row>
    <row r="71" spans="2:9" x14ac:dyDescent="0.35">
      <c r="B71" s="61">
        <f>0.6*$H$11</f>
        <v>0</v>
      </c>
      <c r="C71" s="62">
        <f t="shared" si="14"/>
        <v>0</v>
      </c>
      <c r="D71" s="45">
        <v>0</v>
      </c>
      <c r="E71" s="62">
        <f t="shared" si="10"/>
        <v>0</v>
      </c>
      <c r="F71" s="62">
        <f t="shared" si="11"/>
        <v>0</v>
      </c>
      <c r="G71" s="45">
        <v>0</v>
      </c>
      <c r="H71" s="64">
        <f t="shared" si="12"/>
        <v>0</v>
      </c>
      <c r="I71" s="65">
        <f t="shared" si="13"/>
        <v>0</v>
      </c>
    </row>
    <row r="72" spans="2:9" x14ac:dyDescent="0.35">
      <c r="B72" s="61">
        <f>0.7*$H$11</f>
        <v>0</v>
      </c>
      <c r="C72" s="62">
        <f t="shared" si="14"/>
        <v>0</v>
      </c>
      <c r="D72" s="45">
        <v>0</v>
      </c>
      <c r="E72" s="62">
        <f t="shared" si="10"/>
        <v>0</v>
      </c>
      <c r="F72" s="62">
        <f t="shared" si="11"/>
        <v>0</v>
      </c>
      <c r="G72" s="45">
        <v>0</v>
      </c>
      <c r="H72" s="64">
        <f t="shared" si="12"/>
        <v>0</v>
      </c>
      <c r="I72" s="65">
        <f t="shared" si="13"/>
        <v>0</v>
      </c>
    </row>
    <row r="73" spans="2:9" x14ac:dyDescent="0.35">
      <c r="B73" s="61">
        <f>0.75*$H$11</f>
        <v>0</v>
      </c>
      <c r="C73" s="62">
        <f t="shared" si="14"/>
        <v>0</v>
      </c>
      <c r="D73" s="45">
        <v>0</v>
      </c>
      <c r="E73" s="62">
        <f t="shared" si="10"/>
        <v>0</v>
      </c>
      <c r="F73" s="62">
        <f t="shared" si="11"/>
        <v>0</v>
      </c>
      <c r="G73" s="45">
        <v>0</v>
      </c>
      <c r="H73" s="64">
        <f t="shared" si="12"/>
        <v>0</v>
      </c>
      <c r="I73" s="65">
        <f t="shared" si="13"/>
        <v>0</v>
      </c>
    </row>
    <row r="74" spans="2:9" x14ac:dyDescent="0.35">
      <c r="B74" s="61">
        <f>0.8*$H$11</f>
        <v>0</v>
      </c>
      <c r="C74" s="62">
        <f t="shared" si="14"/>
        <v>0</v>
      </c>
      <c r="D74" s="45">
        <v>0</v>
      </c>
      <c r="E74" s="62">
        <f t="shared" si="10"/>
        <v>0</v>
      </c>
      <c r="F74" s="62">
        <f t="shared" si="11"/>
        <v>0</v>
      </c>
      <c r="G74" s="45">
        <v>0</v>
      </c>
      <c r="H74" s="64">
        <f t="shared" si="12"/>
        <v>0</v>
      </c>
      <c r="I74" s="65">
        <f t="shared" si="13"/>
        <v>0</v>
      </c>
    </row>
    <row r="75" spans="2:9" x14ac:dyDescent="0.35">
      <c r="B75" s="61">
        <f>0.85*$H$11</f>
        <v>0</v>
      </c>
      <c r="C75" s="62">
        <f t="shared" si="14"/>
        <v>0</v>
      </c>
      <c r="D75" s="45">
        <v>0</v>
      </c>
      <c r="E75" s="62">
        <f t="shared" si="10"/>
        <v>0</v>
      </c>
      <c r="F75" s="62">
        <f t="shared" si="11"/>
        <v>0</v>
      </c>
      <c r="G75" s="45">
        <v>0</v>
      </c>
      <c r="H75" s="64">
        <f t="shared" si="12"/>
        <v>0</v>
      </c>
      <c r="I75" s="65">
        <f t="shared" si="13"/>
        <v>0</v>
      </c>
    </row>
    <row r="76" spans="2:9" x14ac:dyDescent="0.35">
      <c r="B76" s="61">
        <f>0.9*$H$11</f>
        <v>0</v>
      </c>
      <c r="C76" s="62">
        <f t="shared" si="14"/>
        <v>0</v>
      </c>
      <c r="D76" s="45">
        <v>0</v>
      </c>
      <c r="E76" s="62">
        <f t="shared" si="10"/>
        <v>0</v>
      </c>
      <c r="F76" s="62">
        <f t="shared" si="11"/>
        <v>0</v>
      </c>
      <c r="G76" s="45">
        <v>0</v>
      </c>
      <c r="H76" s="64">
        <f t="shared" si="12"/>
        <v>0</v>
      </c>
      <c r="I76" s="65">
        <f t="shared" si="13"/>
        <v>0</v>
      </c>
    </row>
    <row r="77" spans="2:9" x14ac:dyDescent="0.35">
      <c r="B77" s="61">
        <f>0.95*$H$11</f>
        <v>0</v>
      </c>
      <c r="C77" s="62">
        <f t="shared" si="14"/>
        <v>0</v>
      </c>
      <c r="D77" s="45">
        <v>0</v>
      </c>
      <c r="E77" s="62">
        <f t="shared" si="10"/>
        <v>0</v>
      </c>
      <c r="F77" s="62">
        <f t="shared" si="11"/>
        <v>0</v>
      </c>
      <c r="G77" s="45">
        <v>0</v>
      </c>
      <c r="H77" s="64">
        <f t="shared" si="12"/>
        <v>0</v>
      </c>
      <c r="I77" s="65">
        <f t="shared" si="13"/>
        <v>0</v>
      </c>
    </row>
    <row r="78" spans="2:9" x14ac:dyDescent="0.35">
      <c r="B78" s="61">
        <f>1*$H$11</f>
        <v>0</v>
      </c>
      <c r="C78" s="62">
        <f t="shared" si="14"/>
        <v>0</v>
      </c>
      <c r="D78" s="45">
        <v>0</v>
      </c>
      <c r="E78" s="62">
        <f t="shared" si="10"/>
        <v>0</v>
      </c>
      <c r="F78" s="62">
        <f t="shared" si="11"/>
        <v>0</v>
      </c>
      <c r="G78" s="45">
        <v>0</v>
      </c>
      <c r="H78" s="64">
        <f t="shared" si="12"/>
        <v>0</v>
      </c>
      <c r="I78" s="65">
        <f t="shared" si="13"/>
        <v>0</v>
      </c>
    </row>
    <row r="79" spans="2:9" x14ac:dyDescent="0.35">
      <c r="G79" s="70" t="s">
        <v>153</v>
      </c>
    </row>
    <row r="80" spans="2:9" x14ac:dyDescent="0.35">
      <c r="F80" s="76"/>
      <c r="G80" s="70" t="s">
        <v>154</v>
      </c>
      <c r="H80" s="71"/>
    </row>
    <row r="81" spans="2:8" x14ac:dyDescent="0.35">
      <c r="B81" s="74"/>
      <c r="C81" s="72"/>
      <c r="D81" s="72"/>
      <c r="F81" s="66"/>
      <c r="G81" s="70" t="s">
        <v>155</v>
      </c>
      <c r="H81" s="71"/>
    </row>
    <row r="82" spans="2:8" x14ac:dyDescent="0.35">
      <c r="B82" s="74"/>
      <c r="C82" s="72"/>
      <c r="D82" s="72"/>
      <c r="E82" s="67"/>
      <c r="F82" s="66"/>
      <c r="G82" s="70" t="s">
        <v>156</v>
      </c>
      <c r="H82" s="38"/>
    </row>
    <row r="83" spans="2:8" x14ac:dyDescent="0.35">
      <c r="B83" s="2"/>
      <c r="C83" s="77"/>
      <c r="D83" s="73"/>
      <c r="F83" s="6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8</xdr:col>
                <xdr:colOff>552450</xdr:colOff>
                <xdr:row>5</xdr:row>
                <xdr:rowOff>107950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autoPict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60</vt:i4>
      </vt:variant>
    </vt:vector>
  </HeadingPairs>
  <TitlesOfParts>
    <vt:vector size="7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Quality!CleanChannels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NoteEngine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2019-02-07T17:36:07Z</dcterms:modified>
</cp:coreProperties>
</file>