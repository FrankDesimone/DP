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drawings/drawing13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0" activeTab="13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Search" sheetId="22" state="hidden" r:id="rId11"/>
    <sheet name="Report" sheetId="20" state="hidden" r:id="rId12"/>
    <sheet name="Quality" sheetId="18" state="hidden" r:id="rId13"/>
    <sheet name="QAProcess" sheetId="19" r:id="rId14"/>
  </sheets>
  <functionGroups builtInGroupCount="18"/>
  <externalReferences>
    <externalReference r:id="rId15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Quality!$B$3:$B$5</definedName>
    <definedName name="ecd" localSheetId="8">DPF!#REF!</definedName>
    <definedName name="ecd" localSheetId="7">ECD!$B$3:$B$12</definedName>
    <definedName name="ecd" localSheetId="12">Quality!$B$3:$B$5</definedName>
    <definedName name="engine" localSheetId="8">DPF!#REF!</definedName>
    <definedName name="engine" localSheetId="5">Engine!$B$3:$B$6</definedName>
    <definedName name="InletCells" localSheetId="12">Quality!$B$18:$D$22</definedName>
    <definedName name="manufacturer" localSheetId="6">Manufacturer!$B$3:$B$3</definedName>
    <definedName name="Mass0" localSheetId="12">Quality!$B$11</definedName>
    <definedName name="Mass1" localSheetId="12">Quality!$C$11</definedName>
    <definedName name="Mass2" localSheetId="12">Quality!$D$11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1">[1]QAProcess!$H$36</definedName>
    <definedName name="P0c" localSheetId="10">[1]QAProcess!$H$36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ubDiameter" localSheetId="13">QAProcess!$C$5</definedName>
    <definedName name="SubDiameter">Quality!$B$4</definedName>
    <definedName name="SubLength" localSheetId="13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3">QAProcess!$C$7</definedName>
    <definedName name="Volume">Quality!$B$6</definedName>
    <definedName name="WorkorderIDQAProcess">QAProcess!$C$3</definedName>
    <definedName name="WorkOrderIDQuality">Quality!$B$2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<sst xmlns="http://schemas.openxmlformats.org/spreadsheetml/2006/main" count="554" uniqueCount="299">
  <si>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</si>
  <si>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</si>
  <si>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</si>
  <si>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</si>
  <si>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</si>
  <si>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</si>
  <si>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</si>
  <si>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</si>
  <si>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</si>
  <si>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</si>
  <si>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</si>
  <si>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</si>
  <si>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</si>
  <si>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</si>
  <si>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</si>
  <si>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</si>
  <si>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</si>
  <si>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</si>
  <si>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</si>
  <si>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</si>
  <si>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</si>
  <si>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</si>
  <si>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</si>
  <si>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</si>
  <si>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</si>
  <si>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</si>
  <si>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</si>
  <si>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</si>
  <si>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</si>
  <si>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</si>
  <si>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</si>
  <si>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</si>
  <si>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</si>
  <si>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</si>
  <si>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</si>
  <si>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</si>
  <si>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</si>
  <si>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</si>
  <si>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</si>
  <si>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</si>
  <si>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</si>
  <si>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</si>
  <si>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</si>
  <si>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</si>
  <si>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</si>
  <si>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</si>
  <si>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</si>
  <si>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</si>
  <si>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</si>
  <si>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</si>
  <si>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</si>
  <si>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</si>
  <si>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</si>
  <si>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</si>
  <si>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</si>
  <si>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</si>
  <si>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</si>
  <si>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</si>
  <si>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</si>
  <si>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</si>
  <si>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</si>
  <si>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</si>
  <si>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</si>
  <si>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</si>
  <si>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</si>
  <si>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</si>
  <si>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</si>
  <si>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</si>
  <si>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</si>
  <si>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</si>
  <si>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</si>
  <si>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</si>
  <si>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</si>
  <si>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</si>
  <si>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</si>
  <si>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</si>
  <si>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</si>
  <si>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</si>
  <si>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</si>
  <si>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</si>
  <si>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</si>
  <si>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</si>
  <si>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</si>
  <si>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</si>
  <si>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</si>
  <si>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</si>
  <si>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</si>
  <si>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</si>
  <si>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</si>
  <si>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</si>
  <si>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</si>
  <si>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</si>
  <si>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</si>
  <si>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</si>
  <si>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</si>
  <si>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</si>
  <si>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</si>
  <si>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</si>
  <si>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</si>
  <si>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</si>
  <si>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</si>
  <si>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</si>
  <si>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</si>
  <si>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</si>
  <si>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</si>
  <si>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</si>
  <si>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</si>
  <si>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</si>
  <si>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</si>
  <si>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</si>
  <si>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</si>
  <si>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</si>
  <si>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</si>
  <si>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</si>
  <si>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</si>
  <si>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</si>
  <si>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</si>
  <si>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</si>
  <si>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</si>
  <si>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</si>
  <si>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</si>
  <si>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</si>
  <si>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</si>
  <si>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</si>
  <si>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</si>
  <si>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</si>
  <si>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</si>
  <si>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</si>
  <si>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</si>
  <si>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</si>
  <si>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</si>
  <si>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</si>
  <si>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</si>
  <si>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</si>
  <si>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</si>
  <si>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</si>
  <si>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</si>
  <si>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</si>
  <si>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</si>
  <si>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</si>
  <si>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</si>
  <si>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</si>
  <si>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</si>
  <si>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</si>
  <si>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</si>
  <si>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</si>
  <si>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</si>
  <si>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</si>
  <si>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</si>
  <si>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</si>
  <si>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</si>
  <si>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</si>
  <si>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</si>
  <si>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</si>
  <si>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</si>
  <si>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</si>
  <si>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</si>
  <si>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</si>
  <si>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</si>
  <si>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</si>
  <si>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</si>
  <si>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</si>
  <si>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</si>
  <si>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</si>
  <si>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</si>
  <si>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</si>
  <si>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</si>
  <si>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</si>
  <si>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</si>
  <si>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</si>
  <si>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</si>
  <si>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</si>
  <si>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</si>
  <si>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</si>
  <si>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</si>
  <si>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</si>
  <si>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</si>
  <si>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</si>
  <si>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</si>
  <si>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</si>
  <si>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</si>
  <si>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</si>
  <si>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</si>
  <si>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</si>
  <si>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</si>
  <si>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</si>
  <si>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</si>
  <si>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</si>
  <si>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</si>
  <si>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</si>
  <si>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</si>
  <si>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</si>
  <si>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</si>
  <si>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</si>
  <si>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</si>
  <si>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</si>
  <si>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</si>
  <si>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</si>
  <si>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</si>
  <si>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</si>
  <si>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</si>
  <si>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</si>
  <si>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</si>
  <si>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</si>
  <si>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</si>
  <si>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</si>
  <si>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</si>
  <si>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</si>
  <si>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</si>
  <si>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</si>
  <si>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</si>
  <si>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</si>
  <si>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</si>
  <si>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</si>
  <si>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</si>
  <si>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</si>
  <si>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</si>
  <si>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</si>
  <si>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</si>
  <si>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</si>
  <si>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</si>
  <si>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</si>
  <si>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</si>
  <si>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</si>
  <si>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</si>
  <si>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</si>
  <si>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</si>
  <si>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</si>
  <si>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</si>
  <si>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</si>
  <si>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</si>
  <si>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</si>
  <si>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</si>
  <si>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</si>
  <si>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</si>
  <si>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</si>
  <si>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</si>
  <si>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</si>
  <si>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</si>
  <si>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</si>
  <si>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</si>
  <si>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</si>
  <si>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</si>
  <si>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</si>
  <si>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</si>
  <si>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</si>
  <si>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</si>
  <si>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</si>
  <si>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</si>
  <si>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</si>
  <si>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</si>
  <si>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</si>
  <si>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</si>
  <si>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</si>
  <si>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</si>
  <si>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32132132321</t>
  </si>
  <si>
    <t>Notes</t>
  </si>
  <si>
    <t>se3rial # 1</t>
  </si>
  <si>
    <t>cat 5</t>
  </si>
  <si>
    <t>ser #</t>
  </si>
  <si>
    <t>par #</t>
  </si>
  <si>
    <t>other</t>
  </si>
  <si>
    <t>Cummins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</si>
  <si>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</si>
  <si>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</si>
  <si>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</si>
  <si>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</si>
  <si>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</si>
  <si>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</si>
  <si>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</si>
  <si>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</si>
  <si>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</si>
  <si>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</si>
  <si>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</si>
  <si>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model b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</si>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</sst>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39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3.emf"/><Relationship Id="rId18" Type="http://schemas.openxmlformats.org/officeDocument/2006/relationships/image" Target="../media/image68.emf"/><Relationship Id="rId3" Type="http://schemas.openxmlformats.org/officeDocument/2006/relationships/image" Target="../media/image52.emf"/><Relationship Id="rId21" Type="http://schemas.openxmlformats.org/officeDocument/2006/relationships/image" Target="../media/image70.emf"/><Relationship Id="rId7" Type="http://schemas.openxmlformats.org/officeDocument/2006/relationships/image" Target="../media/image58.emf"/><Relationship Id="rId12" Type="http://schemas.openxmlformats.org/officeDocument/2006/relationships/image" Target="../media/image51.emf"/><Relationship Id="rId17" Type="http://schemas.openxmlformats.org/officeDocument/2006/relationships/image" Target="../media/image67.emf"/><Relationship Id="rId2" Type="http://schemas.openxmlformats.org/officeDocument/2006/relationships/image" Target="../media/image53.emf"/><Relationship Id="rId16" Type="http://schemas.openxmlformats.org/officeDocument/2006/relationships/image" Target="../media/image66.emf"/><Relationship Id="rId20" Type="http://schemas.openxmlformats.org/officeDocument/2006/relationships/image" Target="../media/image50.emf"/><Relationship Id="rId1" Type="http://schemas.openxmlformats.org/officeDocument/2006/relationships/image" Target="../media/image54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5.emf"/><Relationship Id="rId10" Type="http://schemas.openxmlformats.org/officeDocument/2006/relationships/image" Target="../media/image61.emf"/><Relationship Id="rId19" Type="http://schemas.openxmlformats.org/officeDocument/2006/relationships/image" Target="../media/image69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88.emf"/><Relationship Id="rId7" Type="http://schemas.openxmlformats.org/officeDocument/2006/relationships/image" Target="../media/image84.emf"/><Relationship Id="rId2" Type="http://schemas.openxmlformats.org/officeDocument/2006/relationships/image" Target="../media/image89.emf"/><Relationship Id="rId1" Type="http://schemas.openxmlformats.org/officeDocument/2006/relationships/image" Target="../media/image82.emf"/><Relationship Id="rId6" Type="http://schemas.openxmlformats.org/officeDocument/2006/relationships/image" Target="../media/image85.emf"/><Relationship Id="rId11" Type="http://schemas.openxmlformats.org/officeDocument/2006/relationships/image" Target="../media/image79.emf"/><Relationship Id="rId5" Type="http://schemas.openxmlformats.org/officeDocument/2006/relationships/image" Target="../media/image86.emf"/><Relationship Id="rId10" Type="http://schemas.openxmlformats.org/officeDocument/2006/relationships/image" Target="../media/image80.emf"/><Relationship Id="rId4" Type="http://schemas.openxmlformats.org/officeDocument/2006/relationships/image" Target="../media/image87.emf"/><Relationship Id="rId9" Type="http://schemas.openxmlformats.org/officeDocument/2006/relationships/image" Target="../media/image8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91.emf"/><Relationship Id="rId1" Type="http://schemas.openxmlformats.org/officeDocument/2006/relationships/image" Target="../media/image9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xmlns="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xmlns="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xmlns="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xmlns="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xmlns="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xmlns="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xmlns="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xmlns="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xmlns="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xmlns="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xmlns="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xmlns="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xmlns="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xmlns="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xmlns="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C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C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C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xmlns="" id="{00000000-0008-0000-0C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xmlns="" id="{00000000-0008-0000-0C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xmlns="" id="{00000000-0008-0000-0C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xmlns="" id="{00000000-0008-0000-0C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xmlns="" id="{00000000-0008-0000-0C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xmlns="" id="{00000000-0008-0000-0C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xmlns="" id="{00000000-0008-0000-0C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xmlns="" id="{00000000-0008-0000-0C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xmlns="" id="{00000000-0008-0000-0C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xmlns="" id="{00000000-0008-0000-0C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xmlns="" id="{00000000-0008-0000-0C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xmlns="" id="{00000000-0008-0000-0C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xmlns="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5.xml"/><Relationship Id="rId18" Type="http://schemas.openxmlformats.org/officeDocument/2006/relationships/control" Target="../activeX/activeX59.xml"/><Relationship Id="rId26" Type="http://schemas.openxmlformats.org/officeDocument/2006/relationships/control" Target="../activeX/activeX63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6.emf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1.xml"/><Relationship Id="rId47" Type="http://schemas.openxmlformats.org/officeDocument/2006/relationships/image" Target="../media/image69.emf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38" Type="http://schemas.openxmlformats.org/officeDocument/2006/relationships/control" Target="../activeX/activeX69.xml"/><Relationship Id="rId46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8.xml"/><Relationship Id="rId20" Type="http://schemas.openxmlformats.org/officeDocument/2006/relationships/control" Target="../activeX/activeX60.xml"/><Relationship Id="rId29" Type="http://schemas.openxmlformats.org/officeDocument/2006/relationships/image" Target="../media/image60.emf"/><Relationship Id="rId41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6.xml"/><Relationship Id="rId37" Type="http://schemas.openxmlformats.org/officeDocument/2006/relationships/image" Target="../media/image64.emf"/><Relationship Id="rId40" Type="http://schemas.openxmlformats.org/officeDocument/2006/relationships/control" Target="../activeX/activeX70.xml"/><Relationship Id="rId45" Type="http://schemas.openxmlformats.org/officeDocument/2006/relationships/image" Target="../media/image68.emf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image" Target="../media/image57.emf"/><Relationship Id="rId28" Type="http://schemas.openxmlformats.org/officeDocument/2006/relationships/control" Target="../activeX/activeX64.xml"/><Relationship Id="rId36" Type="http://schemas.openxmlformats.org/officeDocument/2006/relationships/control" Target="../activeX/activeX68.xml"/><Relationship Id="rId49" Type="http://schemas.openxmlformats.org/officeDocument/2006/relationships/image" Target="../media/image70.emf"/><Relationship Id="rId10" Type="http://schemas.openxmlformats.org/officeDocument/2006/relationships/control" Target="../activeX/activeX53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4" Type="http://schemas.openxmlformats.org/officeDocument/2006/relationships/control" Target="../activeX/activeX72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image" Target="../media/image59.emf"/><Relationship Id="rId30" Type="http://schemas.openxmlformats.org/officeDocument/2006/relationships/control" Target="../activeX/activeX65.xml"/><Relationship Id="rId35" Type="http://schemas.openxmlformats.org/officeDocument/2006/relationships/image" Target="../media/image63.emf"/><Relationship Id="rId43" Type="http://schemas.openxmlformats.org/officeDocument/2006/relationships/image" Target="../media/image67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1.emf"/><Relationship Id="rId4" Type="http://schemas.openxmlformats.org/officeDocument/2006/relationships/control" Target="../activeX/activeX76.xml"/><Relationship Id="rId9" Type="http://schemas.openxmlformats.org/officeDocument/2006/relationships/image" Target="../media/image7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5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89.xml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6.emf"/><Relationship Id="rId7" Type="http://schemas.openxmlformats.org/officeDocument/2006/relationships/image" Target="../media/image80.emf"/><Relationship Id="rId12" Type="http://schemas.openxmlformats.org/officeDocument/2006/relationships/control" Target="../activeX/activeX88.xml"/><Relationship Id="rId17" Type="http://schemas.openxmlformats.org/officeDocument/2006/relationships/image" Target="../media/image84.emf"/><Relationship Id="rId25" Type="http://schemas.openxmlformats.org/officeDocument/2006/relationships/image" Target="../media/image88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control" Target="../activeX/activeX9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2.emf"/><Relationship Id="rId24" Type="http://schemas.openxmlformats.org/officeDocument/2006/relationships/control" Target="../activeX/activeX95.xml"/><Relationship Id="rId5" Type="http://schemas.openxmlformats.org/officeDocument/2006/relationships/image" Target="../media/image79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28" Type="http://schemas.openxmlformats.org/officeDocument/2006/relationships/image" Target="../media/image89.emf"/><Relationship Id="rId10" Type="http://schemas.openxmlformats.org/officeDocument/2006/relationships/control" Target="../activeX/activeX87.xml"/><Relationship Id="rId19" Type="http://schemas.openxmlformats.org/officeDocument/2006/relationships/image" Target="../media/image85.emf"/><Relationship Id="rId31" Type="http://schemas.openxmlformats.org/officeDocument/2006/relationships/control" Target="../activeX/activeX100.xml"/><Relationship Id="rId4" Type="http://schemas.openxmlformats.org/officeDocument/2006/relationships/control" Target="../activeX/activeX84.xml"/><Relationship Id="rId9" Type="http://schemas.openxmlformats.org/officeDocument/2006/relationships/image" Target="../media/image81.emf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control" Target="../activeX/activeX97.xml"/><Relationship Id="rId30" Type="http://schemas.openxmlformats.org/officeDocument/2006/relationships/control" Target="../activeX/activeX9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1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2.xml"/><Relationship Id="rId5" Type="http://schemas.openxmlformats.org/officeDocument/2006/relationships/image" Target="../media/image90.emf"/><Relationship Id="rId4" Type="http://schemas.openxmlformats.org/officeDocument/2006/relationships/control" Target="../activeX/activeX101.xml"/><Relationship Id="rId9" Type="http://schemas.openxmlformats.org/officeDocument/2006/relationships/image" Target="../media/image9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45"/>
  <cols>
    <col min="2" max="2" width="4.1328125" customWidth="1"/>
    <col min="11" max="11" width="7.59765625" customWidth="1"/>
  </cols>
  <sheetData>
    <row r="3" spans="2:11" ht="15" customHeight="1" x14ac:dyDescent="0.4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4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4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4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4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4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4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4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4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4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4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45">
      <c r="B14" s="55" t="s">
        <v>275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390525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390525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85725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45"/>
  <cols>
    <col min="2" max="2" width="30.86328125" style="10" bestFit="1" customWidth="1"/>
    <col min="3" max="3" width="41.86328125" style="9" customWidth="1"/>
    <col min="5" max="5" width="32.59765625" customWidth="1"/>
  </cols>
  <sheetData>
    <row r="1" spans="2:5" ht="30" customHeight="1" x14ac:dyDescent="0.45">
      <c r="C1" s="8"/>
    </row>
    <row r="2" spans="2:5" ht="30" customHeight="1" x14ac:dyDescent="0.45">
      <c r="B2" s="11" t="s">
        <v>42</v>
      </c>
      <c r="C2" s="15"/>
    </row>
    <row r="3" spans="2:5" ht="30" customHeight="1" x14ac:dyDescent="0.45">
      <c r="B3" s="11" t="s">
        <v>42</v>
      </c>
      <c r="C3" s="14"/>
      <c r="E3" s="37"/>
    </row>
    <row r="4" spans="2:5" ht="30" customHeight="1" x14ac:dyDescent="0.45">
      <c r="B4" s="11" t="s">
        <v>185</v>
      </c>
      <c r="C4" s="14"/>
      <c r="E4" s="34"/>
    </row>
    <row r="5" spans="2:5" ht="30" customHeight="1" x14ac:dyDescent="0.45">
      <c r="B5" s="11" t="s">
        <v>43</v>
      </c>
      <c r="C5" s="14"/>
      <c r="E5" s="37"/>
    </row>
    <row r="6" spans="2:5" ht="30" customHeight="1" x14ac:dyDescent="0.45">
      <c r="B6" s="11" t="s">
        <v>44</v>
      </c>
      <c r="C6" s="14"/>
    </row>
    <row r="7" spans="2:5" ht="30" customHeight="1" x14ac:dyDescent="0.45">
      <c r="B7" s="11" t="s">
        <v>45</v>
      </c>
      <c r="C7" s="14"/>
    </row>
    <row r="8" spans="2:5" ht="30" customHeight="1" x14ac:dyDescent="0.45">
      <c r="B8" s="11" t="s">
        <v>46</v>
      </c>
      <c r="C8" s="14"/>
    </row>
    <row r="9" spans="2:5" ht="30" customHeight="1" x14ac:dyDescent="0.45">
      <c r="B9" s="11" t="s">
        <v>47</v>
      </c>
      <c r="C9" s="14"/>
    </row>
    <row r="10" spans="2:5" ht="30" customHeight="1" x14ac:dyDescent="0.45">
      <c r="B10" s="11" t="s">
        <v>48</v>
      </c>
      <c r="C10" s="14"/>
    </row>
    <row r="11" spans="2:5" ht="30" customHeight="1" x14ac:dyDescent="0.45">
      <c r="B11" s="11" t="s">
        <v>167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45"/>
  <cols>
    <col min="1" max="1" width="30.86328125" bestFit="1" customWidth="1"/>
    <col min="2" max="2" width="45.59765625" style="9" customWidth="1"/>
    <col min="4" max="4" width="26.59765625" customWidth="1"/>
  </cols>
  <sheetData>
    <row r="2" spans="1:4" ht="30" customHeight="1" x14ac:dyDescent="0.45">
      <c r="A2" s="5" t="s">
        <v>33</v>
      </c>
      <c r="B2" s="12"/>
    </row>
    <row r="3" spans="1:4" ht="30" customHeight="1" x14ac:dyDescent="0.45">
      <c r="A3" s="5" t="s">
        <v>29</v>
      </c>
      <c r="B3" s="15">
        <v>28</v>
      </c>
    </row>
    <row r="4" spans="1:4" ht="30" customHeight="1" x14ac:dyDescent="0.45">
      <c r="A4" s="5" t="s">
        <v>30</v>
      </c>
      <c r="B4" s="14" t="s">
        <v>264</v>
      </c>
      <c r="D4" s="37"/>
    </row>
    <row r="5" spans="1:4" ht="30" customHeight="1" x14ac:dyDescent="0.45">
      <c r="A5" s="5" t="s">
        <v>1</v>
      </c>
      <c r="B5" s="14" t="s">
        <v>264</v>
      </c>
    </row>
    <row r="6" spans="1:4" ht="30" customHeight="1" x14ac:dyDescent="0.45">
      <c r="A6" s="5" t="s">
        <v>28</v>
      </c>
      <c r="B6" s="14" t="s">
        <v>186</v>
      </c>
    </row>
    <row r="7" spans="1:4" ht="30" customHeight="1" x14ac:dyDescent="0.45">
      <c r="A7" s="5" t="s">
        <v>2</v>
      </c>
      <c r="B7" s="14" t="s">
        <v>265</v>
      </c>
    </row>
    <row r="8" spans="1:4" ht="30" customHeight="1" x14ac:dyDescent="0.45">
      <c r="A8" s="5" t="s">
        <v>3</v>
      </c>
      <c r="B8" s="14"/>
    </row>
    <row r="9" spans="1:4" ht="30" customHeight="1" x14ac:dyDescent="0.45">
      <c r="A9" s="5" t="s">
        <v>4</v>
      </c>
      <c r="B9" s="14" t="s">
        <v>266</v>
      </c>
    </row>
    <row r="10" spans="1:4" ht="30" customHeight="1" x14ac:dyDescent="0.45">
      <c r="A10" s="5" t="s">
        <v>163</v>
      </c>
      <c r="B10" s="14" t="s">
        <v>251</v>
      </c>
    </row>
    <row r="11" spans="1:4" ht="30" customHeight="1" x14ac:dyDescent="0.4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3086100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3086100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45"/>
  <cols>
    <col min="1" max="1" width="30.86328125" style="5" bestFit="1" customWidth="1"/>
    <col min="2" max="2" width="46" style="9" customWidth="1"/>
    <col min="4" max="4" width="35.59765625" customWidth="1"/>
  </cols>
  <sheetData>
    <row r="1" spans="1:7" ht="30" customHeight="1" x14ac:dyDescent="0.45">
      <c r="B1" s="8"/>
    </row>
    <row r="2" spans="1:7" ht="30" customHeight="1" x14ac:dyDescent="0.45">
      <c r="A2" s="5" t="s">
        <v>33</v>
      </c>
      <c r="B2" s="12"/>
    </row>
    <row r="3" spans="1:7" ht="30" customHeight="1" x14ac:dyDescent="0.4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45">
      <c r="A4" s="5" t="s">
        <v>41</v>
      </c>
      <c r="B4" s="13"/>
    </row>
    <row r="5" spans="1:7" ht="30" customHeight="1" x14ac:dyDescent="0.45">
      <c r="A5" s="5" t="s">
        <v>5</v>
      </c>
      <c r="B5" s="14"/>
    </row>
    <row r="6" spans="1:7" ht="30" customHeight="1" x14ac:dyDescent="0.45">
      <c r="A6" s="5" t="s">
        <v>6</v>
      </c>
      <c r="B6" s="14"/>
    </row>
    <row r="7" spans="1:7" ht="30" customHeight="1" x14ac:dyDescent="0.45">
      <c r="A7" s="5" t="s">
        <v>1</v>
      </c>
      <c r="B7" s="14"/>
    </row>
    <row r="8" spans="1:7" ht="30" customHeight="1" x14ac:dyDescent="0.45">
      <c r="A8" s="5" t="s">
        <v>28</v>
      </c>
      <c r="B8" s="14"/>
    </row>
    <row r="9" spans="1:7" ht="30" customHeight="1" x14ac:dyDescent="0.45">
      <c r="A9" s="5" t="s">
        <v>2</v>
      </c>
      <c r="B9" s="14"/>
    </row>
    <row r="10" spans="1:7" ht="30" customHeight="1" x14ac:dyDescent="0.45">
      <c r="A10" s="5" t="s">
        <v>3</v>
      </c>
      <c r="B10" s="14"/>
    </row>
    <row r="11" spans="1:7" ht="30" customHeight="1" x14ac:dyDescent="0.45">
      <c r="A11" s="5" t="s">
        <v>4</v>
      </c>
      <c r="B11" s="14"/>
    </row>
    <row r="12" spans="1:7" ht="30" customHeight="1" x14ac:dyDescent="0.45">
      <c r="A12" s="5" t="s">
        <v>38</v>
      </c>
      <c r="B12" s="16"/>
    </row>
    <row r="13" spans="1:7" ht="30" customHeight="1" x14ac:dyDescent="0.45">
      <c r="A13" s="5" t="s">
        <v>39</v>
      </c>
      <c r="B13" s="14"/>
    </row>
    <row r="14" spans="1:7" ht="30" customHeight="1" x14ac:dyDescent="0.4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1</xdr:col>
                <xdr:colOff>3086100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45"/>
  <cols>
    <col min="1" max="1" width="37.59765625" customWidth="1"/>
    <col min="2" max="2" width="46" style="9" customWidth="1"/>
    <col min="4" max="4" width="23.3984375" customWidth="1"/>
  </cols>
  <sheetData>
    <row r="1" spans="1:4" ht="30" customHeight="1" x14ac:dyDescent="0.45">
      <c r="B1" s="8"/>
    </row>
    <row r="2" spans="1:4" ht="30" customHeight="1" x14ac:dyDescent="0.45">
      <c r="A2" s="5" t="s">
        <v>33</v>
      </c>
      <c r="B2" s="12"/>
    </row>
    <row r="3" spans="1:4" ht="30" customHeight="1" x14ac:dyDescent="0.45">
      <c r="A3" s="5" t="s">
        <v>195</v>
      </c>
      <c r="B3" s="57" t="s">
        <v>257</v>
      </c>
      <c r="D3" s="37"/>
    </row>
    <row r="4" spans="1:4" ht="30" customHeight="1" x14ac:dyDescent="0.45">
      <c r="A4" s="5" t="s">
        <v>252</v>
      </c>
      <c r="B4" s="57" t="s">
        <v>186</v>
      </c>
    </row>
    <row r="5" spans="1:4" ht="30" customHeight="1" x14ac:dyDescent="0.45">
      <c r="A5" s="5" t="s">
        <v>9</v>
      </c>
      <c r="B5" s="14"/>
    </row>
    <row r="6" spans="1:4" ht="30" customHeight="1" x14ac:dyDescent="0.45">
      <c r="A6" s="5" t="s">
        <v>10</v>
      </c>
      <c r="B6" s="14" t="s">
        <v>258</v>
      </c>
    </row>
    <row r="7" spans="1:4" ht="30" customHeight="1" x14ac:dyDescent="0.45">
      <c r="A7" s="5" t="s">
        <v>11</v>
      </c>
      <c r="B7" s="14">
        <v>2015</v>
      </c>
    </row>
    <row r="8" spans="1:4" ht="30" customHeight="1" x14ac:dyDescent="0.45">
      <c r="A8" s="5" t="s">
        <v>253</v>
      </c>
      <c r="B8" s="14">
        <v>1515115</v>
      </c>
    </row>
    <row r="9" spans="1:4" ht="30" customHeight="1" x14ac:dyDescent="0.45">
      <c r="A9" s="113" t="s">
        <v>254</v>
      </c>
      <c r="B9" s="14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1</xdr:col>
                <xdr:colOff>3086100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5" sqref="B5"/>
    </sheetView>
  </sheetViews>
  <sheetFormatPr defaultRowHeight="30" customHeight="1" x14ac:dyDescent="0.45"/>
  <cols>
    <col min="1" max="1" width="13.265625" customWidth="1"/>
    <col min="2" max="2" width="23.1328125" style="9" customWidth="1"/>
    <col min="3" max="3" width="6.59765625" customWidth="1"/>
    <col min="4" max="4" width="20.59765625" customWidth="1"/>
  </cols>
  <sheetData>
    <row r="1" spans="1:4" ht="30" customHeight="1" x14ac:dyDescent="0.45">
      <c r="B1" s="8"/>
    </row>
    <row r="2" spans="1:4" ht="30" customHeight="1" x14ac:dyDescent="0.45">
      <c r="A2" s="5" t="s">
        <v>33</v>
      </c>
      <c r="B2" s="12"/>
    </row>
    <row r="3" spans="1:4" ht="30" customHeight="1" x14ac:dyDescent="0.45">
      <c r="A3" s="5" t="s">
        <v>31</v>
      </c>
      <c r="B3" s="58" t="s">
        <v>255</v>
      </c>
      <c r="D3" s="56"/>
    </row>
    <row r="4" spans="1:4" ht="30" customHeight="1" x14ac:dyDescent="0.45">
      <c r="A4" s="5" t="s">
        <v>9</v>
      </c>
      <c r="B4" s="14"/>
    </row>
    <row r="5" spans="1:4" ht="30" customHeight="1" x14ac:dyDescent="0.45">
      <c r="A5" s="5" t="s">
        <v>10</v>
      </c>
      <c r="B5" s="14" t="s">
        <v>274</v>
      </c>
    </row>
    <row r="6" spans="1:4" ht="30" customHeight="1" x14ac:dyDescent="0.45">
      <c r="A6" s="5" t="s">
        <v>11</v>
      </c>
      <c r="B6" s="35">
        <v>2017</v>
      </c>
    </row>
    <row r="7" spans="1:4" ht="30" customHeight="1" x14ac:dyDescent="0.45">
      <c r="A7" s="5"/>
      <c r="B7" s="8"/>
    </row>
    <row r="8" spans="1:4" ht="30" customHeight="1" x14ac:dyDescent="0.45">
      <c r="A8" s="5"/>
      <c r="B8" s="8"/>
    </row>
    <row r="9" spans="1:4" ht="30" customHeight="1" x14ac:dyDescent="0.4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633413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1543050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642938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642938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642938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45"/>
  <cols>
    <col min="1" max="1" width="30.86328125" bestFit="1" customWidth="1"/>
    <col min="2" max="2" width="47" style="9" customWidth="1"/>
    <col min="5" max="5" width="20.265625" customWidth="1"/>
  </cols>
  <sheetData>
    <row r="1" spans="1:5" ht="30" customHeight="1" x14ac:dyDescent="0.45">
      <c r="B1" s="8"/>
    </row>
    <row r="2" spans="1:5" ht="30" customHeight="1" x14ac:dyDescent="0.45">
      <c r="A2" s="5" t="s">
        <v>32</v>
      </c>
      <c r="B2" s="12"/>
    </row>
    <row r="3" spans="1:5" ht="30" customHeight="1" x14ac:dyDescent="0.45">
      <c r="A3" s="5" t="s">
        <v>193</v>
      </c>
      <c r="B3" s="14" t="s">
        <v>194</v>
      </c>
      <c r="E3" t="s">
        <v>187</v>
      </c>
    </row>
    <row r="4" spans="1:5" ht="30" customHeight="1" x14ac:dyDescent="0.45">
      <c r="A4" s="5"/>
      <c r="B4" s="8"/>
    </row>
    <row r="5" spans="1:5" ht="30" customHeight="1" x14ac:dyDescent="0.45">
      <c r="A5" s="5"/>
      <c r="B5" s="8"/>
    </row>
    <row r="6" spans="1:5" ht="30" customHeight="1" x14ac:dyDescent="0.45">
      <c r="A6" s="5"/>
      <c r="B6" s="8"/>
    </row>
    <row r="7" spans="1:5" ht="30" customHeight="1" x14ac:dyDescent="0.45">
      <c r="A7" s="5"/>
      <c r="B7" s="8"/>
    </row>
    <row r="8" spans="1:5" ht="30" customHeight="1" x14ac:dyDescent="0.45">
      <c r="A8" s="5"/>
      <c r="B8" s="8"/>
    </row>
    <row r="9" spans="1:5" ht="30" customHeight="1" x14ac:dyDescent="0.4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1333500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3219450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1323975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45"/>
  <cols>
    <col min="1" max="1" width="30.86328125" bestFit="1" customWidth="1"/>
    <col min="2" max="2" width="46.59765625" style="9" customWidth="1"/>
    <col min="5" max="5" width="22" customWidth="1"/>
  </cols>
  <sheetData>
    <row r="1" spans="1:5" ht="30" customHeight="1" x14ac:dyDescent="0.45">
      <c r="B1" s="8"/>
    </row>
    <row r="2" spans="1:5" ht="30" customHeight="1" x14ac:dyDescent="0.45">
      <c r="A2" s="3" t="s">
        <v>33</v>
      </c>
      <c r="B2" s="12"/>
    </row>
    <row r="3" spans="1:5" ht="30" customHeight="1" x14ac:dyDescent="0.45">
      <c r="A3" s="5" t="s">
        <v>35</v>
      </c>
      <c r="B3" s="58" t="s">
        <v>259</v>
      </c>
      <c r="E3" s="37"/>
    </row>
    <row r="4" spans="1:5" ht="30" customHeight="1" x14ac:dyDescent="0.45">
      <c r="A4" s="5" t="s">
        <v>36</v>
      </c>
      <c r="B4" s="58" t="s">
        <v>260</v>
      </c>
    </row>
    <row r="5" spans="1:5" ht="30" customHeight="1" x14ac:dyDescent="0.45">
      <c r="A5" s="5" t="s">
        <v>13</v>
      </c>
      <c r="B5" s="14" t="s">
        <v>261</v>
      </c>
    </row>
    <row r="6" spans="1:5" ht="30" customHeight="1" x14ac:dyDescent="0.45">
      <c r="A6" s="5" t="s">
        <v>34</v>
      </c>
      <c r="B6" s="14" t="s">
        <v>262</v>
      </c>
    </row>
    <row r="7" spans="1:5" ht="30" customHeight="1" x14ac:dyDescent="0.45">
      <c r="A7" s="5" t="s">
        <v>14</v>
      </c>
      <c r="B7" s="14" t="s">
        <v>118</v>
      </c>
    </row>
    <row r="8" spans="1:5" ht="30" customHeight="1" x14ac:dyDescent="0.45">
      <c r="A8" s="5" t="s">
        <v>37</v>
      </c>
      <c r="B8" s="109" t="s">
        <v>263</v>
      </c>
    </row>
    <row r="9" spans="1:5" ht="30" customHeight="1" x14ac:dyDescent="0.45">
      <c r="A9" s="5" t="s">
        <v>15</v>
      </c>
      <c r="B9" s="14">
        <v>10</v>
      </c>
    </row>
    <row r="10" spans="1:5" ht="30" customHeight="1" x14ac:dyDescent="0.45">
      <c r="A10" s="5" t="s">
        <v>16</v>
      </c>
      <c r="B10" s="14">
        <v>11</v>
      </c>
    </row>
    <row r="11" spans="1:5" ht="30" customHeight="1" x14ac:dyDescent="0.45">
      <c r="A11" s="5" t="s">
        <v>17</v>
      </c>
      <c r="B11" s="14">
        <v>12</v>
      </c>
    </row>
    <row r="12" spans="1:5" ht="30" customHeight="1" x14ac:dyDescent="0.45">
      <c r="A12" s="5" t="s">
        <v>18</v>
      </c>
      <c r="B12" s="14">
        <v>13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1009650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3105150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1000125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990600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B1:J29"/>
  <sheetViews>
    <sheetView showGridLines="0" workbookViewId="0">
      <selection activeCell="E4" sqref="E4"/>
    </sheetView>
  </sheetViews>
  <sheetFormatPr defaultRowHeight="18" customHeight="1" x14ac:dyDescent="0.45"/>
  <cols>
    <col min="1" max="1" width="12.59765625" customWidth="1"/>
    <col min="2" max="2" width="38.3984375" style="5" bestFit="1" customWidth="1"/>
    <col min="3" max="3" width="45.59765625" customWidth="1"/>
    <col min="5" max="5" width="22.59765625" customWidth="1"/>
  </cols>
  <sheetData>
    <row r="1" spans="2:10" ht="21" customHeight="1" x14ac:dyDescent="0.45"/>
    <row r="3" spans="2:10" ht="18" customHeight="1" x14ac:dyDescent="0.45">
      <c r="B3" s="5" t="s">
        <v>0</v>
      </c>
    </row>
    <row r="4" spans="2:10" ht="18" customHeight="1" x14ac:dyDescent="0.55000000000000004">
      <c r="B4" s="5" t="s">
        <v>170</v>
      </c>
      <c r="E4" s="45"/>
    </row>
    <row r="5" spans="2:10" ht="18" customHeight="1" x14ac:dyDescent="0.45">
      <c r="B5" s="5" t="s">
        <v>171</v>
      </c>
      <c r="C5" s="1"/>
      <c r="J5" s="5"/>
    </row>
    <row r="6" spans="2:10" ht="18" customHeight="1" x14ac:dyDescent="0.45">
      <c r="B6" s="5" t="s">
        <v>215</v>
      </c>
      <c r="C6" s="53">
        <v>43667.838805057872</v>
      </c>
      <c r="J6" s="5"/>
    </row>
    <row r="7" spans="2:10" ht="18" customHeight="1" x14ac:dyDescent="0.45">
      <c r="B7" s="5" t="s">
        <v>210</v>
      </c>
      <c r="C7" s="2"/>
    </row>
    <row r="8" spans="2:10" ht="18" customHeight="1" x14ac:dyDescent="0.45">
      <c r="B8" s="5" t="s">
        <v>211</v>
      </c>
      <c r="C8" s="53"/>
    </row>
    <row r="9" spans="2:10" ht="18" customHeight="1" x14ac:dyDescent="0.45">
      <c r="C9" s="2"/>
    </row>
    <row r="10" spans="2:10" ht="18" customHeight="1" x14ac:dyDescent="0.45">
      <c r="B10" s="5" t="s">
        <v>172</v>
      </c>
      <c r="C10" s="4"/>
    </row>
    <row r="11" spans="2:10" ht="18" customHeight="1" x14ac:dyDescent="0.45">
      <c r="B11" s="5" t="s">
        <v>8</v>
      </c>
      <c r="C11" s="1"/>
    </row>
    <row r="12" spans="2:10" ht="18" customHeight="1" x14ac:dyDescent="0.45">
      <c r="B12" s="5" t="s">
        <v>12</v>
      </c>
      <c r="C12" s="1"/>
    </row>
    <row r="13" spans="2:10" ht="18" customHeight="1" x14ac:dyDescent="0.45">
      <c r="B13" s="5" t="s">
        <v>212</v>
      </c>
      <c r="C13" s="1"/>
    </row>
    <row r="14" spans="2:10" ht="18" customHeight="1" x14ac:dyDescent="0.45">
      <c r="B14" s="5" t="s">
        <v>213</v>
      </c>
      <c r="C14" s="54">
        <v>0</v>
      </c>
    </row>
    <row r="15" spans="2:10" ht="18" customHeight="1" x14ac:dyDescent="0.45">
      <c r="B15" s="5" t="s">
        <v>214</v>
      </c>
      <c r="C15" s="53">
        <v>0</v>
      </c>
    </row>
    <row r="16" spans="2:10" ht="18" customHeight="1" x14ac:dyDescent="0.45">
      <c r="C16" s="1"/>
    </row>
    <row r="17" spans="2:3" ht="18" customHeight="1" x14ac:dyDescent="0.45">
      <c r="B17" s="5" t="s">
        <v>19</v>
      </c>
      <c r="C17" s="52"/>
    </row>
    <row r="18" spans="2:3" ht="18" customHeight="1" x14ac:dyDescent="0.45">
      <c r="B18" s="5" t="s">
        <v>20</v>
      </c>
      <c r="C18" s="53"/>
    </row>
    <row r="19" spans="2:3" ht="18" customHeight="1" x14ac:dyDescent="0.45">
      <c r="B19" s="5" t="s">
        <v>21</v>
      </c>
      <c r="C19" s="53"/>
    </row>
    <row r="20" spans="2:3" ht="18" customHeight="1" x14ac:dyDescent="0.45">
      <c r="B20" s="5" t="s">
        <v>22</v>
      </c>
      <c r="C20" s="1"/>
    </row>
    <row r="21" spans="2:3" ht="18" customHeight="1" x14ac:dyDescent="0.45">
      <c r="C21" s="1"/>
    </row>
    <row r="22" spans="2:3" ht="18" customHeight="1" x14ac:dyDescent="0.45">
      <c r="B22" s="5" t="s">
        <v>23</v>
      </c>
      <c r="C22" s="52"/>
    </row>
    <row r="23" spans="2:3" ht="18" customHeight="1" x14ac:dyDescent="0.45">
      <c r="B23" s="5" t="s">
        <v>24</v>
      </c>
      <c r="C23" s="53"/>
    </row>
    <row r="24" spans="2:3" ht="18" customHeight="1" x14ac:dyDescent="0.45">
      <c r="B24" s="5" t="s">
        <v>25</v>
      </c>
      <c r="C24" s="53"/>
    </row>
    <row r="25" spans="2:3" ht="18" customHeight="1" x14ac:dyDescent="0.45">
      <c r="B25" s="5" t="s">
        <v>26</v>
      </c>
      <c r="C25" s="1"/>
    </row>
    <row r="26" spans="2:3" ht="18" customHeight="1" x14ac:dyDescent="0.45">
      <c r="B26" s="5" t="s">
        <v>7</v>
      </c>
      <c r="C26" s="1"/>
    </row>
    <row r="27" spans="2:3" ht="18" customHeight="1" x14ac:dyDescent="0.45">
      <c r="B27"/>
    </row>
    <row r="28" spans="2:3" ht="18" customHeight="1" x14ac:dyDescent="0.45">
      <c r="B28"/>
    </row>
    <row r="29" spans="2:3" ht="18" customHeight="1" x14ac:dyDescent="0.4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7</xdr:col>
                <xdr:colOff>628650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2</xdr:col>
                <xdr:colOff>3076575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3076575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3076575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2</xdr:col>
                <xdr:colOff>3076575</xdr:colOff>
                <xdr:row>11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2</xdr:col>
                <xdr:colOff>3076575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2</xdr:col>
                <xdr:colOff>3076575</xdr:colOff>
                <xdr:row>13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2</xdr:col>
                <xdr:colOff>3076575</xdr:colOff>
                <xdr:row>20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3076575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3076575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autoPict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  <mc:AlternateContent xmlns:mc="http://schemas.openxmlformats.org/markup-compatibility/2006">
      <mc:Choice Requires="x14">
        <control shapeId="21540" r:id="rId48" name="txtTrackingNo">
          <controlPr defaultSize="0" autoLine="0" r:id="rId49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3086100</xdr:colOff>
                <xdr:row>6</xdr:row>
                <xdr:rowOff>19050</xdr:rowOff>
              </to>
            </anchor>
          </controlPr>
        </control>
      </mc:Choice>
      <mc:Fallback>
        <control shapeId="21540" r:id="rId48" name="txtTrackingNo"/>
      </mc:Fallback>
    </mc:AlternateContent>
    <mc:AlternateContent xmlns:mc="http://schemas.openxmlformats.org/markup-compatibility/2006">
      <mc:Choice Requires="x14">
        <control shapeId="21541" r:id="rId50" name="txtContact">
          <controlPr defaultSize="0" autoLine="0" r:id="rId49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2</xdr:col>
                <xdr:colOff>3067050</xdr:colOff>
                <xdr:row>8</xdr:row>
                <xdr:rowOff>9525</xdr:rowOff>
              </to>
            </anchor>
          </controlPr>
        </control>
      </mc:Choice>
      <mc:Fallback>
        <control shapeId="21541" r:id="rId50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H4"/>
  <sheetViews>
    <sheetView topLeftCell="CJ1" workbookViewId="0">
      <selection activeCell="CK38" sqref="CK38"/>
    </sheetView>
  </sheetViews>
  <sheetFormatPr defaultRowHeight="14.25" x14ac:dyDescent="0.45"/>
  <cols>
    <col min="1" max="1" width="12.1328125" bestFit="1" customWidth="1"/>
    <col min="2" max="2" width="8.86328125" bestFit="1" customWidth="1"/>
    <col min="3" max="3" width="7.86328125" bestFit="1" customWidth="1"/>
    <col min="4" max="4" width="17.3984375" bestFit="1" customWidth="1"/>
    <col min="5" max="5" width="11.86328125" bestFit="1" customWidth="1"/>
    <col min="6" max="6" width="8.59765625" bestFit="1" customWidth="1"/>
    <col min="7" max="10" width="9.59765625" bestFit="1" customWidth="1"/>
    <col min="11" max="11" width="13.1328125" bestFit="1" customWidth="1"/>
    <col min="12" max="12" width="11.73046875" bestFit="1" customWidth="1"/>
    <col min="13" max="13" width="11.86328125" bestFit="1" customWidth="1"/>
    <col min="14" max="14" width="11.59765625" bestFit="1" customWidth="1"/>
    <col min="15" max="23" width="4.265625" bestFit="1" customWidth="1"/>
    <col min="24" max="25" width="5.265625" bestFit="1" customWidth="1"/>
    <col min="26" max="34" width="3.86328125" bestFit="1" customWidth="1"/>
    <col min="35" max="36" width="4.86328125" bestFit="1" customWidth="1"/>
    <col min="37" max="37" width="12.1328125" bestFit="1" customWidth="1"/>
    <col min="38" max="38" width="9.86328125" bestFit="1" customWidth="1"/>
    <col min="39" max="39" width="17.3984375" bestFit="1" customWidth="1"/>
    <col min="40" max="40" width="24.1328125" bestFit="1" customWidth="1"/>
    <col min="41" max="41" width="11.1328125" bestFit="1" customWidth="1"/>
    <col min="42" max="42" width="25.3984375" bestFit="1" customWidth="1"/>
    <col min="43" max="43" width="15.86328125" bestFit="1" customWidth="1"/>
    <col min="44" max="44" width="12.1328125" bestFit="1" customWidth="1"/>
    <col min="45" max="45" width="8.3984375" bestFit="1" customWidth="1"/>
    <col min="46" max="46" width="7.59765625" bestFit="1" customWidth="1"/>
    <col min="47" max="47" width="12.3984375" bestFit="1" customWidth="1"/>
    <col min="48" max="48" width="11.3984375" bestFit="1" customWidth="1"/>
    <col min="49" max="49" width="17.59765625" bestFit="1" customWidth="1"/>
    <col min="50" max="50" width="16" bestFit="1" customWidth="1"/>
    <col min="51" max="51" width="10.3984375" bestFit="1" customWidth="1"/>
    <col min="52" max="52" width="10.59765625" bestFit="1" customWidth="1"/>
    <col min="53" max="53" width="13.73046875" bestFit="1" customWidth="1"/>
    <col min="54" max="54" width="17.59765625" bestFit="1" customWidth="1"/>
    <col min="55" max="55" width="13.59765625" bestFit="1" customWidth="1"/>
    <col min="56" max="56" width="12.1328125" bestFit="1" customWidth="1"/>
    <col min="57" max="57" width="8.1328125" bestFit="1" customWidth="1"/>
    <col min="58" max="58" width="6.86328125" bestFit="1" customWidth="1"/>
    <col min="59" max="59" width="5" bestFit="1" customWidth="1"/>
    <col min="60" max="60" width="9.86328125" bestFit="1" customWidth="1"/>
    <col min="61" max="61" width="5.86328125" bestFit="1" customWidth="1"/>
    <col min="62" max="62" width="18.59765625" bestFit="1" customWidth="1"/>
    <col min="63" max="64" width="17.59765625" bestFit="1" customWidth="1"/>
    <col min="65" max="65" width="8.59765625" bestFit="1" customWidth="1"/>
    <col min="66" max="66" width="12.1328125" bestFit="1" customWidth="1"/>
    <col min="67" max="67" width="5.86328125" bestFit="1" customWidth="1"/>
    <col min="68" max="68" width="6.86328125" bestFit="1" customWidth="1"/>
    <col min="69" max="69" width="5" bestFit="1" customWidth="1"/>
    <col min="70" max="70" width="8.59765625" bestFit="1" customWidth="1"/>
    <col min="71" max="71" width="10.59765625" bestFit="1" customWidth="1"/>
    <col min="72" max="73" width="12.1328125" bestFit="1" customWidth="1"/>
    <col min="74" max="74" width="14.265625" bestFit="1" customWidth="1"/>
    <col min="75" max="75" width="12.3984375" bestFit="1" customWidth="1"/>
    <col min="76" max="76" width="6.1328125" bestFit="1" customWidth="1"/>
    <col min="77" max="77" width="4.86328125" bestFit="1" customWidth="1"/>
    <col min="78" max="78" width="8.1328125" bestFit="1" customWidth="1"/>
    <col min="79" max="79" width="10.59765625" bestFit="1" customWidth="1"/>
    <col min="80" max="80" width="14.265625" bestFit="1" customWidth="1"/>
    <col min="81" max="81" width="12.3984375" bestFit="1" customWidth="1"/>
    <col min="82" max="82" width="12.1328125" bestFit="1" customWidth="1"/>
    <col min="83" max="83" width="6.1328125" bestFit="1" customWidth="1"/>
    <col min="84" max="84" width="4.59765625" bestFit="1" customWidth="1"/>
    <col min="85" max="85" width="6" bestFit="1" customWidth="1"/>
    <col min="86" max="86" width="10.59765625" bestFit="1" customWidth="1"/>
    <col min="87" max="87" width="14.59765625" bestFit="1" customWidth="1"/>
    <col min="88" max="88" width="17.3984375" bestFit="1" customWidth="1"/>
    <col min="89" max="89" width="13.1328125" bestFit="1" customWidth="1"/>
    <col min="90" max="90" width="12.3984375" bestFit="1" customWidth="1"/>
    <col min="91" max="91" width="12.1328125" bestFit="1" customWidth="1"/>
    <col min="92" max="92" width="10.265625" bestFit="1" customWidth="1"/>
    <col min="93" max="93" width="12.3984375" bestFit="1" customWidth="1"/>
    <col min="94" max="94" width="11" bestFit="1" customWidth="1"/>
    <col min="95" max="95" width="12.1328125" bestFit="1" customWidth="1"/>
    <col min="96" max="96" width="12.3984375" bestFit="1" customWidth="1"/>
    <col min="97" max="97" width="13.3984375" bestFit="1" customWidth="1"/>
    <col min="98" max="98" width="16.59765625" bestFit="1" customWidth="1"/>
    <col min="99" max="99" width="11.1328125" bestFit="1" customWidth="1"/>
    <col min="100" max="100" width="14.3984375" bestFit="1" customWidth="1"/>
    <col min="101" max="101" width="15.1328125" bestFit="1" customWidth="1"/>
    <col min="102" max="102" width="14.59765625" bestFit="1" customWidth="1"/>
    <col min="103" max="103" width="12.73046875" bestFit="1" customWidth="1"/>
    <col min="104" max="104" width="13.1328125" bestFit="1" customWidth="1"/>
    <col min="105" max="105" width="7.265625" bestFit="1" customWidth="1"/>
    <col min="106" max="106" width="7.1328125" bestFit="1" customWidth="1"/>
    <col min="107" max="107" width="14.3984375" bestFit="1" customWidth="1"/>
    <col min="108" max="108" width="16.1328125" bestFit="1" customWidth="1"/>
    <col min="109" max="109" width="13.1328125" bestFit="1" customWidth="1"/>
    <col min="110" max="110" width="21.265625" bestFit="1" customWidth="1"/>
    <col min="111" max="111" width="8.86328125" bestFit="1" customWidth="1"/>
  </cols>
  <sheetData>
    <row r="1" spans="1:112" x14ac:dyDescent="0.45">
      <c r="A1" t="s">
        <v>93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  <c r="U1" t="s">
        <v>145</v>
      </c>
      <c r="V1" t="s">
        <v>146</v>
      </c>
      <c r="W1" t="s">
        <v>147</v>
      </c>
      <c r="X1" t="s">
        <v>148</v>
      </c>
      <c r="Y1" t="s">
        <v>149</v>
      </c>
      <c r="Z1" t="s">
        <v>150</v>
      </c>
      <c r="AA1" t="s">
        <v>151</v>
      </c>
      <c r="AB1" t="s">
        <v>152</v>
      </c>
      <c r="AC1" t="s">
        <v>153</v>
      </c>
      <c r="AD1" t="s">
        <v>154</v>
      </c>
      <c r="AE1" t="s">
        <v>155</v>
      </c>
      <c r="AF1" t="s">
        <v>156</v>
      </c>
      <c r="AG1" t="s">
        <v>157</v>
      </c>
      <c r="AH1" t="s">
        <v>158</v>
      </c>
      <c r="AI1" t="s">
        <v>159</v>
      </c>
      <c r="AJ1" t="s">
        <v>160</v>
      </c>
      <c r="AK1" t="s">
        <v>93</v>
      </c>
      <c r="AL1" t="s">
        <v>197</v>
      </c>
      <c r="AM1" t="s">
        <v>163</v>
      </c>
      <c r="AN1" t="s">
        <v>224</v>
      </c>
      <c r="AO1" t="s">
        <v>164</v>
      </c>
      <c r="AP1" t="s">
        <v>94</v>
      </c>
      <c r="AQ1" t="s">
        <v>95</v>
      </c>
      <c r="AR1" t="s">
        <v>96</v>
      </c>
      <c r="AS1" t="s">
        <v>165</v>
      </c>
      <c r="AT1" t="s">
        <v>97</v>
      </c>
      <c r="AU1" t="s">
        <v>98</v>
      </c>
      <c r="AV1" t="s">
        <v>99</v>
      </c>
      <c r="AW1" t="s">
        <v>166</v>
      </c>
      <c r="AX1" t="s">
        <v>198</v>
      </c>
      <c r="AY1" t="s">
        <v>199</v>
      </c>
      <c r="AZ1" t="s">
        <v>175</v>
      </c>
      <c r="BA1" t="s">
        <v>173</v>
      </c>
      <c r="BB1" t="s">
        <v>200</v>
      </c>
      <c r="BC1" t="s">
        <v>101</v>
      </c>
      <c r="BD1" t="s">
        <v>102</v>
      </c>
      <c r="BE1" t="s">
        <v>103</v>
      </c>
      <c r="BF1" t="s">
        <v>104</v>
      </c>
      <c r="BG1" t="s">
        <v>174</v>
      </c>
      <c r="BH1" t="s">
        <v>100</v>
      </c>
      <c r="BI1" t="s">
        <v>200</v>
      </c>
      <c r="BJ1" t="s">
        <v>105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105</v>
      </c>
      <c r="BQ1" t="s">
        <v>28</v>
      </c>
      <c r="BR1" t="s">
        <v>2</v>
      </c>
      <c r="BS1" t="s">
        <v>4</v>
      </c>
      <c r="BT1" t="s">
        <v>3</v>
      </c>
      <c r="BU1" t="s">
        <v>106</v>
      </c>
      <c r="BV1" t="s">
        <v>107</v>
      </c>
      <c r="BW1" t="s">
        <v>14</v>
      </c>
      <c r="BX1" t="s">
        <v>10</v>
      </c>
      <c r="BY1" t="s">
        <v>11</v>
      </c>
      <c r="BZ1" t="s">
        <v>201</v>
      </c>
      <c r="CA1" t="s">
        <v>202</v>
      </c>
      <c r="CB1" t="s">
        <v>14</v>
      </c>
      <c r="CC1" t="s">
        <v>106</v>
      </c>
      <c r="CD1" t="s">
        <v>10</v>
      </c>
      <c r="CE1" t="s">
        <v>11</v>
      </c>
      <c r="CF1" t="s">
        <v>108</v>
      </c>
      <c r="CG1" t="s">
        <v>232</v>
      </c>
      <c r="CH1" t="s">
        <v>109</v>
      </c>
      <c r="CI1" t="s">
        <v>110</v>
      </c>
      <c r="CJ1" t="s">
        <v>111</v>
      </c>
      <c r="CK1" t="s">
        <v>106</v>
      </c>
      <c r="CL1" t="s">
        <v>112</v>
      </c>
      <c r="CM1" t="s">
        <v>113</v>
      </c>
      <c r="CN1" t="s">
        <v>114</v>
      </c>
      <c r="CO1" t="s">
        <v>115</v>
      </c>
      <c r="CP1" t="s">
        <v>116</v>
      </c>
      <c r="CQ1" t="s">
        <v>225</v>
      </c>
      <c r="CR1" t="s">
        <v>233</v>
      </c>
      <c r="CS1" t="s">
        <v>226</v>
      </c>
      <c r="CT1" t="s">
        <v>234</v>
      </c>
      <c r="CU1" t="s">
        <v>227</v>
      </c>
      <c r="CV1" t="s">
        <v>228</v>
      </c>
      <c r="CW1" t="s">
        <v>235</v>
      </c>
      <c r="CX1" t="s">
        <v>119</v>
      </c>
      <c r="CY1" t="s">
        <v>120</v>
      </c>
      <c r="CZ1" t="s">
        <v>121</v>
      </c>
      <c r="DA1" t="s">
        <v>122</v>
      </c>
      <c r="DB1" t="s">
        <v>181</v>
      </c>
      <c r="DC1" t="s">
        <v>182</v>
      </c>
      <c r="DD1" t="s">
        <v>183</v>
      </c>
      <c r="DE1" t="s">
        <v>184</v>
      </c>
      <c r="DF1" t="s">
        <v>123</v>
      </c>
      <c r="DG1" t="s">
        <v>124</v>
      </c>
      <c r="DH1" t="s">
        <v>125</v>
      </c>
    </row>
    <row r="2" spans="1:112" ht="71.25" x14ac:dyDescent="0.4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236</v>
      </c>
      <c r="AM2" t="s">
        <v>237</v>
      </c>
      <c r="AN2" t="s">
        <v>238</v>
      </c>
      <c r="AO2">
        <v>0</v>
      </c>
      <c r="AP2" t="b">
        <v>1</v>
      </c>
      <c r="AQ2" t="b">
        <v>0</v>
      </c>
      <c r="AR2" t="b">
        <v>0</v>
      </c>
      <c r="AS2" t="s">
        <v>239</v>
      </c>
      <c r="AT2" t="b">
        <v>1</v>
      </c>
      <c r="AU2" t="b">
        <v>0</v>
      </c>
      <c r="AV2" t="b">
        <v>0</v>
      </c>
      <c r="AW2" t="s">
        <v>240</v>
      </c>
      <c r="AX2">
        <v>2121</v>
      </c>
      <c r="AY2" s="36">
        <v>1212</v>
      </c>
      <c r="AZ2" s="36">
        <v>43608.71115127315</v>
      </c>
      <c r="BA2" t="s">
        <v>188</v>
      </c>
      <c r="BB2" t="s">
        <v>192</v>
      </c>
      <c r="BC2" t="s">
        <v>189</v>
      </c>
      <c r="BE2" t="s">
        <v>190</v>
      </c>
      <c r="BF2" t="s">
        <v>191</v>
      </c>
      <c r="BG2" t="s">
        <v>241</v>
      </c>
      <c r="BH2" t="s">
        <v>188</v>
      </c>
      <c r="BI2" t="s">
        <v>192</v>
      </c>
      <c r="BJ2" t="s">
        <v>189</v>
      </c>
      <c r="BL2" t="s">
        <v>190</v>
      </c>
      <c r="BM2" t="s">
        <v>191</v>
      </c>
      <c r="BN2" t="s">
        <v>241</v>
      </c>
      <c r="BO2" t="s">
        <v>189</v>
      </c>
      <c r="BP2" t="s">
        <v>189</v>
      </c>
      <c r="BR2" t="s">
        <v>190</v>
      </c>
      <c r="BS2" t="s">
        <v>203</v>
      </c>
      <c r="BT2" t="s">
        <v>241</v>
      </c>
      <c r="BU2" t="s">
        <v>229</v>
      </c>
      <c r="BV2" t="s">
        <v>230</v>
      </c>
      <c r="BW2" t="s">
        <v>117</v>
      </c>
      <c r="BX2" t="s">
        <v>231</v>
      </c>
      <c r="BY2">
        <v>2019</v>
      </c>
      <c r="BZ2">
        <v>0</v>
      </c>
      <c r="CA2">
        <v>0</v>
      </c>
      <c r="CB2" t="s">
        <v>117</v>
      </c>
      <c r="CC2" t="s">
        <v>242</v>
      </c>
      <c r="CD2" t="s">
        <v>243</v>
      </c>
      <c r="CE2">
        <v>2016</v>
      </c>
      <c r="CF2" s="112" t="s">
        <v>221</v>
      </c>
      <c r="CG2" t="s">
        <v>117</v>
      </c>
      <c r="CH2" s="112" t="s">
        <v>118</v>
      </c>
      <c r="CI2">
        <v>0</v>
      </c>
      <c r="CJ2" s="112" t="s">
        <v>223</v>
      </c>
      <c r="CK2" t="s">
        <v>222</v>
      </c>
      <c r="CM2" s="112">
        <v>13</v>
      </c>
      <c r="CN2">
        <v>12</v>
      </c>
      <c r="CO2">
        <v>12</v>
      </c>
      <c r="CP2">
        <v>11</v>
      </c>
      <c r="CQ2" t="s">
        <v>244</v>
      </c>
      <c r="CR2" t="s">
        <v>245</v>
      </c>
      <c r="CS2" t="s">
        <v>246</v>
      </c>
      <c r="CT2" t="s">
        <v>247</v>
      </c>
      <c r="CU2" t="s">
        <v>248</v>
      </c>
      <c r="CV2" t="s">
        <v>249</v>
      </c>
      <c r="CW2" t="s">
        <v>250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71.25" x14ac:dyDescent="0.4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236</v>
      </c>
      <c r="AM3" t="s">
        <v>237</v>
      </c>
      <c r="AN3" t="s">
        <v>238</v>
      </c>
      <c r="AO3">
        <v>0</v>
      </c>
      <c r="AP3" t="b">
        <v>1</v>
      </c>
      <c r="AQ3" t="b">
        <v>0</v>
      </c>
      <c r="AR3" t="b">
        <v>0</v>
      </c>
      <c r="AS3" t="s">
        <v>239</v>
      </c>
      <c r="AT3" t="b">
        <v>1</v>
      </c>
      <c r="AU3" t="b">
        <v>0</v>
      </c>
      <c r="AV3" t="b">
        <v>0</v>
      </c>
      <c r="AW3" t="s">
        <v>240</v>
      </c>
      <c r="AX3">
        <v>2121</v>
      </c>
      <c r="AY3" s="36">
        <v>1212</v>
      </c>
      <c r="AZ3" s="36">
        <v>43608.71115127315</v>
      </c>
      <c r="BA3" t="s">
        <v>188</v>
      </c>
      <c r="BB3" t="s">
        <v>192</v>
      </c>
      <c r="BC3" t="s">
        <v>189</v>
      </c>
      <c r="BE3" t="s">
        <v>190</v>
      </c>
      <c r="BF3" t="s">
        <v>191</v>
      </c>
      <c r="BG3" t="s">
        <v>241</v>
      </c>
      <c r="BH3" t="s">
        <v>188</v>
      </c>
      <c r="BI3" t="s">
        <v>192</v>
      </c>
      <c r="BJ3" t="s">
        <v>189</v>
      </c>
      <c r="BL3" t="s">
        <v>190</v>
      </c>
      <c r="BM3" t="s">
        <v>191</v>
      </c>
      <c r="BN3" t="s">
        <v>241</v>
      </c>
      <c r="BO3" t="s">
        <v>189</v>
      </c>
      <c r="BP3" t="s">
        <v>189</v>
      </c>
      <c r="BR3" t="s">
        <v>190</v>
      </c>
      <c r="BS3" t="s">
        <v>203</v>
      </c>
      <c r="BT3" t="s">
        <v>241</v>
      </c>
      <c r="BU3" t="s">
        <v>229</v>
      </c>
      <c r="BV3" t="s">
        <v>230</v>
      </c>
      <c r="BW3" t="s">
        <v>117</v>
      </c>
      <c r="BX3" t="s">
        <v>231</v>
      </c>
      <c r="BY3">
        <v>2019</v>
      </c>
      <c r="BZ3">
        <v>0</v>
      </c>
      <c r="CA3">
        <v>0</v>
      </c>
      <c r="CB3" t="s">
        <v>117</v>
      </c>
      <c r="CC3" t="s">
        <v>242</v>
      </c>
      <c r="CD3" t="s">
        <v>243</v>
      </c>
      <c r="CE3">
        <v>2016</v>
      </c>
      <c r="CF3" s="112" t="s">
        <v>221</v>
      </c>
      <c r="CG3" t="s">
        <v>117</v>
      </c>
      <c r="CH3" s="112" t="s">
        <v>118</v>
      </c>
      <c r="CI3">
        <v>0</v>
      </c>
      <c r="CJ3" s="112" t="s">
        <v>223</v>
      </c>
      <c r="CK3" t="s">
        <v>222</v>
      </c>
      <c r="CM3" s="112">
        <v>13</v>
      </c>
      <c r="CN3">
        <v>12</v>
      </c>
      <c r="CO3">
        <v>12</v>
      </c>
      <c r="CP3">
        <v>11</v>
      </c>
      <c r="CQ3" t="s">
        <v>244</v>
      </c>
      <c r="CR3" t="s">
        <v>245</v>
      </c>
      <c r="CS3" t="s">
        <v>246</v>
      </c>
      <c r="CT3" t="s">
        <v>247</v>
      </c>
      <c r="CU3" t="s">
        <v>248</v>
      </c>
      <c r="CV3" t="s">
        <v>249</v>
      </c>
      <c r="CW3" t="s">
        <v>250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71.25" x14ac:dyDescent="0.4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236</v>
      </c>
      <c r="AM4" t="s">
        <v>237</v>
      </c>
      <c r="AN4" t="s">
        <v>238</v>
      </c>
      <c r="AO4">
        <v>0</v>
      </c>
      <c r="AP4" t="b">
        <v>1</v>
      </c>
      <c r="AQ4" t="b">
        <v>0</v>
      </c>
      <c r="AR4" t="b">
        <v>0</v>
      </c>
      <c r="AS4" t="s">
        <v>239</v>
      </c>
      <c r="AT4" t="b">
        <v>1</v>
      </c>
      <c r="AU4" t="b">
        <v>0</v>
      </c>
      <c r="AV4" t="b">
        <v>0</v>
      </c>
      <c r="AW4" t="s">
        <v>240</v>
      </c>
      <c r="AX4">
        <v>2121</v>
      </c>
      <c r="AY4" s="36">
        <v>1212</v>
      </c>
      <c r="AZ4" s="36">
        <v>43608.71115127315</v>
      </c>
      <c r="BA4" t="s">
        <v>188</v>
      </c>
      <c r="BB4" t="s">
        <v>192</v>
      </c>
      <c r="BC4" t="s">
        <v>189</v>
      </c>
      <c r="BE4" t="s">
        <v>190</v>
      </c>
      <c r="BF4" t="s">
        <v>191</v>
      </c>
      <c r="BG4" t="s">
        <v>241</v>
      </c>
      <c r="BH4" t="s">
        <v>188</v>
      </c>
      <c r="BI4" t="s">
        <v>192</v>
      </c>
      <c r="BJ4" t="s">
        <v>189</v>
      </c>
      <c r="BL4" t="s">
        <v>190</v>
      </c>
      <c r="BM4" t="s">
        <v>191</v>
      </c>
      <c r="BN4" t="s">
        <v>241</v>
      </c>
      <c r="BO4" t="s">
        <v>189</v>
      </c>
      <c r="BP4" t="s">
        <v>189</v>
      </c>
      <c r="BR4" t="s">
        <v>190</v>
      </c>
      <c r="BS4" t="s">
        <v>203</v>
      </c>
      <c r="BT4" t="s">
        <v>241</v>
      </c>
      <c r="BU4" t="s">
        <v>229</v>
      </c>
      <c r="BV4" t="s">
        <v>230</v>
      </c>
      <c r="BW4" t="s">
        <v>117</v>
      </c>
      <c r="BX4" t="s">
        <v>231</v>
      </c>
      <c r="BY4">
        <v>2019</v>
      </c>
      <c r="BZ4">
        <v>0</v>
      </c>
      <c r="CA4">
        <v>0</v>
      </c>
      <c r="CB4" t="s">
        <v>117</v>
      </c>
      <c r="CC4" t="s">
        <v>242</v>
      </c>
      <c r="CD4" t="s">
        <v>243</v>
      </c>
      <c r="CE4">
        <v>2016</v>
      </c>
      <c r="CF4" s="112" t="s">
        <v>221</v>
      </c>
      <c r="CG4" t="s">
        <v>117</v>
      </c>
      <c r="CH4" s="112" t="s">
        <v>118</v>
      </c>
      <c r="CI4">
        <v>0</v>
      </c>
      <c r="CJ4" s="112" t="s">
        <v>223</v>
      </c>
      <c r="CK4" t="s">
        <v>222</v>
      </c>
      <c r="CM4" s="112">
        <v>13</v>
      </c>
      <c r="CN4">
        <v>12</v>
      </c>
      <c r="CO4">
        <v>12</v>
      </c>
      <c r="CP4">
        <v>11</v>
      </c>
      <c r="CQ4" t="s">
        <v>244</v>
      </c>
      <c r="CR4" t="s">
        <v>245</v>
      </c>
      <c r="CS4" t="s">
        <v>246</v>
      </c>
      <c r="CT4" t="s">
        <v>247</v>
      </c>
      <c r="CU4" t="s">
        <v>248</v>
      </c>
      <c r="CV4" t="s">
        <v>249</v>
      </c>
      <c r="CW4" t="s">
        <v>250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25" x14ac:dyDescent="0.45"/>
  <cols>
    <col min="2" max="2" width="14.1328125" style="19" hidden="1" customWidth="1"/>
    <col min="3" max="3" width="16" style="114" customWidth="1"/>
    <col min="4" max="4" width="13.59765625" style="19" customWidth="1"/>
    <col min="5" max="5" width="20.3984375" style="2" customWidth="1"/>
    <col min="6" max="6" width="16.59765625" style="1" customWidth="1"/>
    <col min="7" max="7" width="47.59765625" customWidth="1"/>
  </cols>
  <sheetData>
    <row r="5" spans="2:8" ht="18" x14ac:dyDescent="0.55000000000000004">
      <c r="C5" s="19"/>
      <c r="E5" s="19"/>
      <c r="F5" s="117"/>
    </row>
    <row r="6" spans="2:8" x14ac:dyDescent="0.45">
      <c r="C6" s="19"/>
      <c r="E6" s="19"/>
    </row>
    <row r="7" spans="2:8" x14ac:dyDescent="0.45">
      <c r="C7" s="19"/>
      <c r="E7" s="19"/>
    </row>
    <row r="8" spans="2:8" x14ac:dyDescent="0.45">
      <c r="C8" s="19"/>
      <c r="E8" s="19"/>
    </row>
    <row r="12" spans="2:8" s="25" customFormat="1" x14ac:dyDescent="0.45">
      <c r="B12" s="115" t="s">
        <v>273</v>
      </c>
      <c r="C12" s="25" t="s">
        <v>268</v>
      </c>
      <c r="D12" s="115" t="s">
        <v>267</v>
      </c>
      <c r="E12" s="116" t="s">
        <v>269</v>
      </c>
      <c r="F12" s="118" t="s">
        <v>270</v>
      </c>
      <c r="G12" s="25" t="s">
        <v>271</v>
      </c>
      <c r="H12" s="25" t="s">
        <v>272</v>
      </c>
    </row>
    <row r="13" spans="2:8" x14ac:dyDescent="0.45">
      <c r="B13" s="19">
        <v>9</v>
      </c>
      <c r="C13" s="114" t="s">
        <v>276</v>
      </c>
      <c r="D13" s="19">
        <v>22</v>
      </c>
      <c r="F13" s="2">
        <v>43554.784374768518</v>
      </c>
      <c r="G13" t="s">
        <v>188</v>
      </c>
      <c r="H13" t="s">
        <v>188</v>
      </c>
    </row>
    <row r="14" spans="2:8" x14ac:dyDescent="0.45">
      <c r="B14" s="19">
        <v>8</v>
      </c>
      <c r="C14" s="114" t="s">
        <v>277</v>
      </c>
      <c r="D14" s="19">
        <v>21</v>
      </c>
      <c r="F14" s="2">
        <v>43554.782228321761</v>
      </c>
      <c r="G14" t="s">
        <v>188</v>
      </c>
      <c r="H14" t="s">
        <v>188</v>
      </c>
    </row>
    <row r="15" spans="2:8" x14ac:dyDescent="0.45">
      <c r="B15" s="19">
        <v>7</v>
      </c>
      <c r="C15" s="114" t="s">
        <v>278</v>
      </c>
      <c r="D15" s="19">
        <v>20</v>
      </c>
      <c r="F15" s="2">
        <v>43554.782133298613</v>
      </c>
      <c r="G15" t="s">
        <v>188</v>
      </c>
      <c r="H15" t="s">
        <v>188</v>
      </c>
    </row>
    <row r="16" spans="2:8" x14ac:dyDescent="0.45">
      <c r="B16" s="19">
        <v>6</v>
      </c>
      <c r="C16" s="114" t="s">
        <v>279</v>
      </c>
      <c r="D16" s="19">
        <v>19</v>
      </c>
      <c r="F16" s="2">
        <v>43554.781524189813</v>
      </c>
      <c r="G16" t="s">
        <v>188</v>
      </c>
      <c r="H16" t="s">
        <v>188</v>
      </c>
    </row>
    <row r="17" spans="2:8" x14ac:dyDescent="0.45">
      <c r="B17" s="19">
        <v>35</v>
      </c>
      <c r="C17" s="114" t="s">
        <v>280</v>
      </c>
      <c r="D17" s="19">
        <v>41</v>
      </c>
      <c r="F17" s="2">
        <v>43607.795680439813</v>
      </c>
      <c r="G17" t="s">
        <v>281</v>
      </c>
      <c r="H17" t="s">
        <v>282</v>
      </c>
    </row>
    <row r="18" spans="2:8" ht="15.95" customHeight="1" x14ac:dyDescent="0.45">
      <c r="B18" s="19">
        <v>35</v>
      </c>
      <c r="C18" s="114" t="s">
        <v>280</v>
      </c>
      <c r="D18" s="19">
        <v>42</v>
      </c>
      <c r="F18" s="2">
        <v>43607.808764930553</v>
      </c>
      <c r="G18" t="s">
        <v>281</v>
      </c>
      <c r="H18" t="s">
        <v>282</v>
      </c>
    </row>
    <row r="19" spans="2:8" x14ac:dyDescent="0.45">
      <c r="B19" s="19">
        <v>13</v>
      </c>
      <c r="C19" s="114" t="s">
        <v>283</v>
      </c>
      <c r="D19" s="19">
        <v>26</v>
      </c>
      <c r="F19" s="2">
        <v>43555.732841979167</v>
      </c>
      <c r="G19" t="s">
        <v>188</v>
      </c>
      <c r="H19" t="s">
        <v>188</v>
      </c>
    </row>
    <row r="20" spans="2:8" x14ac:dyDescent="0.45">
      <c r="B20" s="19">
        <v>12</v>
      </c>
      <c r="C20" s="114" t="s">
        <v>284</v>
      </c>
      <c r="D20" s="19">
        <v>25</v>
      </c>
      <c r="F20" s="2">
        <v>43555.731991932873</v>
      </c>
      <c r="G20" t="s">
        <v>188</v>
      </c>
      <c r="H20" t="s">
        <v>188</v>
      </c>
    </row>
    <row r="21" spans="2:8" x14ac:dyDescent="0.45">
      <c r="B21" s="19">
        <v>11</v>
      </c>
      <c r="C21" s="114" t="s">
        <v>285</v>
      </c>
      <c r="D21" s="19">
        <v>24</v>
      </c>
      <c r="F21" s="2">
        <v>43555.721536655095</v>
      </c>
      <c r="G21" t="s">
        <v>188</v>
      </c>
      <c r="H21" t="s">
        <v>188</v>
      </c>
    </row>
    <row r="22" spans="2:8" x14ac:dyDescent="0.45">
      <c r="B22" s="19">
        <v>10</v>
      </c>
      <c r="C22" s="114" t="s">
        <v>286</v>
      </c>
      <c r="D22" s="19">
        <v>23</v>
      </c>
      <c r="F22" s="2">
        <v>43554.786333530094</v>
      </c>
      <c r="G22" t="s">
        <v>188</v>
      </c>
      <c r="H22" t="s">
        <v>188</v>
      </c>
    </row>
    <row r="23" spans="2:8" x14ac:dyDescent="0.45">
      <c r="B23" s="19">
        <v>39</v>
      </c>
      <c r="C23" s="114" t="s">
        <v>236</v>
      </c>
      <c r="D23" s="19">
        <v>47</v>
      </c>
      <c r="E23" s="2" t="s">
        <v>238</v>
      </c>
      <c r="F23" s="2">
        <v>43608.71115127315</v>
      </c>
      <c r="G23" t="s">
        <v>188</v>
      </c>
      <c r="H23" t="s">
        <v>188</v>
      </c>
    </row>
    <row r="24" spans="2:8" x14ac:dyDescent="0.45">
      <c r="B24" s="19">
        <v>39</v>
      </c>
      <c r="C24" s="114" t="s">
        <v>236</v>
      </c>
      <c r="D24" s="19">
        <v>52</v>
      </c>
      <c r="E24" s="2" t="s">
        <v>238</v>
      </c>
      <c r="F24" s="2">
        <v>43641.855874421293</v>
      </c>
      <c r="G24" t="s">
        <v>188</v>
      </c>
      <c r="H24" t="s">
        <v>188</v>
      </c>
    </row>
    <row r="25" spans="2:8" x14ac:dyDescent="0.45">
      <c r="B25" s="19">
        <v>37</v>
      </c>
      <c r="C25" s="114" t="s">
        <v>287</v>
      </c>
      <c r="D25" s="19">
        <v>53</v>
      </c>
      <c r="F25" s="2">
        <v>43641.856067395835</v>
      </c>
      <c r="G25" t="s">
        <v>188</v>
      </c>
      <c r="H25" t="s">
        <v>188</v>
      </c>
    </row>
    <row r="26" spans="2:8" x14ac:dyDescent="0.45">
      <c r="B26" s="19">
        <v>37</v>
      </c>
      <c r="C26" s="114" t="s">
        <v>287</v>
      </c>
      <c r="D26" s="19">
        <v>44</v>
      </c>
      <c r="F26" s="2">
        <v>43608.687795104168</v>
      </c>
      <c r="G26" t="s">
        <v>188</v>
      </c>
      <c r="H26" t="s">
        <v>188</v>
      </c>
    </row>
    <row r="27" spans="2:8" x14ac:dyDescent="0.45">
      <c r="B27" s="19">
        <v>36</v>
      </c>
      <c r="C27" s="114" t="s">
        <v>288</v>
      </c>
      <c r="D27" s="19">
        <v>43</v>
      </c>
      <c r="F27" s="2">
        <v>43608.681211226853</v>
      </c>
      <c r="G27" t="s">
        <v>188</v>
      </c>
      <c r="H27" t="s">
        <v>188</v>
      </c>
    </row>
    <row r="28" spans="2:8" x14ac:dyDescent="0.45">
      <c r="B28" s="19">
        <v>34</v>
      </c>
      <c r="C28" s="114" t="s">
        <v>289</v>
      </c>
      <c r="D28" s="19">
        <v>40</v>
      </c>
      <c r="F28" s="2">
        <v>43607.790823958334</v>
      </c>
      <c r="G28" t="s">
        <v>290</v>
      </c>
      <c r="H28" t="s">
        <v>188</v>
      </c>
    </row>
    <row r="29" spans="2:8" x14ac:dyDescent="0.45">
      <c r="B29" s="19">
        <v>33</v>
      </c>
      <c r="C29" s="114" t="s">
        <v>291</v>
      </c>
      <c r="D29" s="19">
        <v>39</v>
      </c>
      <c r="F29" s="2">
        <v>43607.79031369213</v>
      </c>
      <c r="G29" t="s">
        <v>292</v>
      </c>
      <c r="H29" t="s">
        <v>188</v>
      </c>
    </row>
    <row r="30" spans="2:8" x14ac:dyDescent="0.45">
      <c r="B30" s="19">
        <v>32</v>
      </c>
      <c r="C30" s="114" t="s">
        <v>293</v>
      </c>
      <c r="D30" s="19">
        <v>36</v>
      </c>
      <c r="F30" s="2">
        <v>43597.715333796295</v>
      </c>
      <c r="G30" t="s">
        <v>188</v>
      </c>
      <c r="H30" t="s">
        <v>188</v>
      </c>
    </row>
    <row r="31" spans="2:8" x14ac:dyDescent="0.45">
      <c r="B31" s="19">
        <v>32</v>
      </c>
      <c r="C31" s="114" t="s">
        <v>293</v>
      </c>
      <c r="D31" s="19">
        <v>37</v>
      </c>
      <c r="F31" s="2">
        <v>43597.720580127316</v>
      </c>
      <c r="G31" t="s">
        <v>188</v>
      </c>
      <c r="H31" t="s">
        <v>188</v>
      </c>
    </row>
    <row r="32" spans="2:8" x14ac:dyDescent="0.45">
      <c r="B32" s="19">
        <v>31</v>
      </c>
      <c r="C32" s="114" t="s">
        <v>294</v>
      </c>
      <c r="D32" s="19">
        <v>38</v>
      </c>
      <c r="F32" s="2">
        <v>43604.774235613426</v>
      </c>
      <c r="G32" t="s">
        <v>188</v>
      </c>
      <c r="H32" t="s">
        <v>188</v>
      </c>
    </row>
    <row r="33" spans="2:8" x14ac:dyDescent="0.45">
      <c r="B33" s="19">
        <v>31</v>
      </c>
      <c r="C33" s="114" t="s">
        <v>294</v>
      </c>
      <c r="D33" s="19">
        <v>34</v>
      </c>
      <c r="F33" s="2">
        <v>43590.760459606485</v>
      </c>
      <c r="G33" t="s">
        <v>188</v>
      </c>
      <c r="H33" t="s">
        <v>188</v>
      </c>
    </row>
    <row r="34" spans="2:8" x14ac:dyDescent="0.45">
      <c r="B34" s="19">
        <v>31</v>
      </c>
      <c r="C34" s="114" t="s">
        <v>294</v>
      </c>
      <c r="D34" s="19">
        <v>35</v>
      </c>
      <c r="F34" s="2">
        <v>43590.825798067126</v>
      </c>
      <c r="G34" t="s">
        <v>188</v>
      </c>
      <c r="H34" t="s">
        <v>188</v>
      </c>
    </row>
    <row r="35" spans="2:8" x14ac:dyDescent="0.45">
      <c r="B35" s="19">
        <v>30</v>
      </c>
      <c r="C35" s="114" t="s">
        <v>295</v>
      </c>
      <c r="D35" s="19">
        <v>33</v>
      </c>
      <c r="F35" s="2">
        <v>43590.760064780094</v>
      </c>
      <c r="G35" t="s">
        <v>188</v>
      </c>
      <c r="H35" t="s">
        <v>188</v>
      </c>
    </row>
    <row r="36" spans="2:8" x14ac:dyDescent="0.45">
      <c r="B36" s="19">
        <v>16</v>
      </c>
      <c r="C36" s="114" t="s">
        <v>296</v>
      </c>
      <c r="D36" s="19">
        <v>31</v>
      </c>
      <c r="F36" s="2">
        <v>43562.717906944446</v>
      </c>
      <c r="G36" t="s">
        <v>188</v>
      </c>
      <c r="H36" t="s">
        <v>188</v>
      </c>
    </row>
    <row r="37" spans="2:8" x14ac:dyDescent="0.45">
      <c r="B37" s="19">
        <v>16</v>
      </c>
      <c r="C37" s="114" t="s">
        <v>296</v>
      </c>
      <c r="D37" s="19">
        <v>32</v>
      </c>
      <c r="F37" s="2">
        <v>43569.762119016203</v>
      </c>
      <c r="G37" t="s">
        <v>188</v>
      </c>
      <c r="H37" t="s">
        <v>188</v>
      </c>
    </row>
    <row r="38" spans="2:8" x14ac:dyDescent="0.45">
      <c r="B38" s="19">
        <v>15</v>
      </c>
      <c r="C38" s="114" t="s">
        <v>297</v>
      </c>
      <c r="D38" s="19">
        <v>30</v>
      </c>
      <c r="F38" s="2">
        <v>43555.750073877316</v>
      </c>
      <c r="G38" t="s">
        <v>188</v>
      </c>
      <c r="H38" t="s">
        <v>188</v>
      </c>
    </row>
    <row r="39" spans="2:8" x14ac:dyDescent="0.45">
      <c r="B39" s="19">
        <v>14</v>
      </c>
      <c r="C39" s="114" t="s">
        <v>298</v>
      </c>
      <c r="D39" s="19">
        <v>27</v>
      </c>
      <c r="F39" s="2">
        <v>43555.736252858798</v>
      </c>
      <c r="G39" t="s">
        <v>188</v>
      </c>
      <c r="H39" t="s">
        <v>188</v>
      </c>
    </row>
    <row r="40" spans="2:8" x14ac:dyDescent="0.45">
      <c r="B40" s="19">
        <v>14</v>
      </c>
      <c r="C40" s="114" t="s">
        <v>298</v>
      </c>
      <c r="D40" s="19">
        <v>28</v>
      </c>
      <c r="F40" s="2">
        <v>43555.738319942131</v>
      </c>
      <c r="G40" t="s">
        <v>188</v>
      </c>
      <c r="H40" t="s">
        <v>188</v>
      </c>
    </row>
    <row r="41" spans="2:8" x14ac:dyDescent="0.45">
      <c r="B41" s="19">
        <v>14</v>
      </c>
      <c r="C41" s="114" t="s">
        <v>298</v>
      </c>
      <c r="D41" s="19">
        <v>29</v>
      </c>
      <c r="F41" s="2">
        <v>43555.73908240741</v>
      </c>
      <c r="G41" t="s">
        <v>188</v>
      </c>
      <c r="H41" t="s">
        <v>188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5</xdr:col>
                <xdr:colOff>1143000</xdr:colOff>
                <xdr:row>3</xdr:row>
                <xdr:rowOff>152400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5</xdr:col>
                <xdr:colOff>1162050</xdr:colOff>
                <xdr:row>7</xdr:row>
                <xdr:rowOff>123825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771525</xdr:colOff>
                <xdr:row>3</xdr:row>
                <xdr:rowOff>142875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A24" sqref="A1:XFD1048576"/>
    </sheetView>
  </sheetViews>
  <sheetFormatPr defaultRowHeight="14.25" x14ac:dyDescent="0.45"/>
  <cols>
    <col min="2" max="2" width="46.86328125" bestFit="1" customWidth="1"/>
    <col min="3" max="3" width="24.59765625" bestFit="1" customWidth="1"/>
    <col min="4" max="4" width="10.59765625" bestFit="1" customWidth="1"/>
    <col min="5" max="5" width="11.1328125" bestFit="1" customWidth="1"/>
  </cols>
  <sheetData>
    <row r="3" spans="2:3" x14ac:dyDescent="0.45">
      <c r="B3" s="5" t="s">
        <v>0</v>
      </c>
    </row>
    <row r="5" spans="2:3" x14ac:dyDescent="0.45">
      <c r="B5" s="5" t="s">
        <v>172</v>
      </c>
      <c r="C5" s="1"/>
    </row>
    <row r="6" spans="2:3" x14ac:dyDescent="0.45">
      <c r="B6" s="1"/>
      <c r="C6" s="2"/>
    </row>
    <row r="7" spans="2:3" x14ac:dyDescent="0.45">
      <c r="B7" s="5" t="s">
        <v>180</v>
      </c>
    </row>
    <row r="8" spans="2:3" x14ac:dyDescent="0.45">
      <c r="B8" s="5"/>
      <c r="C8" s="1"/>
    </row>
    <row r="9" spans="2:3" x14ac:dyDescent="0.45">
      <c r="B9" s="3"/>
      <c r="C9" s="1"/>
    </row>
    <row r="10" spans="2:3" x14ac:dyDescent="0.45">
      <c r="B10" s="5"/>
      <c r="C10" s="6"/>
    </row>
    <row r="11" spans="2:3" x14ac:dyDescent="0.45">
      <c r="C11" s="1"/>
    </row>
    <row r="12" spans="2:3" x14ac:dyDescent="0.45">
      <c r="B12" s="5"/>
      <c r="C12" s="1"/>
    </row>
    <row r="13" spans="2:3" x14ac:dyDescent="0.45">
      <c r="B13" s="5"/>
      <c r="C13" s="1"/>
    </row>
    <row r="14" spans="2:3" x14ac:dyDescent="0.45">
      <c r="B14" s="5"/>
      <c r="C14" s="1"/>
    </row>
    <row r="15" spans="2:3" x14ac:dyDescent="0.45">
      <c r="B15" s="5"/>
      <c r="C15" s="1"/>
    </row>
    <row r="16" spans="2:3" x14ac:dyDescent="0.45">
      <c r="B16" s="5"/>
      <c r="C16" s="1"/>
    </row>
    <row r="17" spans="2:8" x14ac:dyDescent="0.45">
      <c r="B17" s="5"/>
      <c r="C17" s="1"/>
    </row>
    <row r="18" spans="2:8" ht="15.95" customHeight="1" x14ac:dyDescent="0.45">
      <c r="B18" s="5"/>
      <c r="C18" s="1"/>
    </row>
    <row r="20" spans="2:8" x14ac:dyDescent="0.45">
      <c r="D20" s="19"/>
      <c r="E20" s="19"/>
    </row>
    <row r="21" spans="2:8" x14ac:dyDescent="0.45">
      <c r="D21" s="19"/>
      <c r="E21" s="19"/>
    </row>
    <row r="22" spans="2:8" x14ac:dyDescent="0.45">
      <c r="B22" s="10"/>
      <c r="D22" s="19"/>
      <c r="E22" s="19"/>
    </row>
    <row r="23" spans="2:8" x14ac:dyDescent="0.45">
      <c r="D23" s="19"/>
      <c r="E23" s="19"/>
    </row>
    <row r="24" spans="2:8" x14ac:dyDescent="0.45">
      <c r="D24" s="19"/>
      <c r="E24" s="19"/>
    </row>
    <row r="25" spans="2:8" x14ac:dyDescent="0.45">
      <c r="C25" s="21"/>
      <c r="D25" s="19"/>
      <c r="E25" s="19"/>
    </row>
    <row r="26" spans="2:8" x14ac:dyDescent="0.45">
      <c r="D26" s="19"/>
      <c r="E26" s="19"/>
    </row>
    <row r="28" spans="2:8" x14ac:dyDescent="0.45">
      <c r="C28" s="22"/>
      <c r="G28" s="19"/>
    </row>
    <row r="29" spans="2:8" x14ac:dyDescent="0.45">
      <c r="C29" s="22"/>
      <c r="G29" s="19"/>
    </row>
    <row r="30" spans="2:8" x14ac:dyDescent="0.45">
      <c r="C30" s="22"/>
      <c r="D30" s="1"/>
      <c r="H30" s="19"/>
    </row>
    <row r="31" spans="2:8" x14ac:dyDescent="0.45">
      <c r="C31" s="22"/>
      <c r="D31" s="1"/>
      <c r="H31" s="19"/>
    </row>
    <row r="32" spans="2:8" x14ac:dyDescent="0.45">
      <c r="C32" s="22"/>
      <c r="G32" s="19"/>
    </row>
    <row r="33" spans="2:9" x14ac:dyDescent="0.45">
      <c r="C33" s="22"/>
      <c r="G33" s="19"/>
    </row>
    <row r="34" spans="2:9" x14ac:dyDescent="0.45">
      <c r="C34" s="22"/>
      <c r="G34" s="19"/>
    </row>
    <row r="35" spans="2:9" x14ac:dyDescent="0.4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433388</xdr:colOff>
                <xdr:row>3</xdr:row>
                <xdr:rowOff>76200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471488</xdr:colOff>
                <xdr:row>5</xdr:row>
                <xdr:rowOff>133350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4"/>
  <sheetViews>
    <sheetView showGridLines="0" workbookViewId="0">
      <selection activeCell="B2" sqref="B2"/>
    </sheetView>
  </sheetViews>
  <sheetFormatPr defaultRowHeight="18" customHeight="1" x14ac:dyDescent="0.45"/>
  <cols>
    <col min="1" max="1" width="30.73046875" customWidth="1"/>
    <col min="2" max="2" width="14" customWidth="1"/>
    <col min="3" max="3" width="11.73046875" customWidth="1"/>
    <col min="4" max="4" width="12.86328125" customWidth="1"/>
    <col min="5" max="5" width="6.73046875" customWidth="1"/>
    <col min="6" max="6" width="20.86328125" customWidth="1"/>
    <col min="7" max="7" width="8.59765625" customWidth="1"/>
    <col min="8" max="8" width="25" customWidth="1"/>
    <col min="9" max="9" width="16.86328125" customWidth="1"/>
  </cols>
  <sheetData>
    <row r="2" spans="1:10" ht="18" customHeight="1" x14ac:dyDescent="0.45">
      <c r="A2" s="40" t="s">
        <v>220</v>
      </c>
      <c r="B2" s="107">
        <v>70</v>
      </c>
      <c r="J2" s="19"/>
    </row>
    <row r="3" spans="1:10" ht="18" customHeight="1" x14ac:dyDescent="0.45">
      <c r="A3" s="40" t="s">
        <v>219</v>
      </c>
      <c r="B3" s="108"/>
      <c r="E3" s="40"/>
      <c r="F3" s="40"/>
      <c r="H3" s="10" t="s">
        <v>161</v>
      </c>
      <c r="I3" s="19"/>
      <c r="J3" s="19"/>
    </row>
    <row r="4" spans="1:10" ht="18" customHeight="1" x14ac:dyDescent="0.45">
      <c r="A4" s="40" t="s">
        <v>16</v>
      </c>
      <c r="B4" s="107"/>
      <c r="F4" s="43"/>
      <c r="H4" s="10"/>
      <c r="I4" s="19"/>
      <c r="J4" s="19"/>
    </row>
    <row r="5" spans="1:10" ht="18" customHeight="1" x14ac:dyDescent="0.45">
      <c r="A5" s="40" t="s">
        <v>18</v>
      </c>
      <c r="B5" s="107"/>
      <c r="F5" s="41"/>
      <c r="H5" s="10" t="s">
        <v>65</v>
      </c>
    </row>
    <row r="6" spans="1:10" ht="18" customHeight="1" x14ac:dyDescent="0.45">
      <c r="A6" s="40" t="s">
        <v>217</v>
      </c>
      <c r="B6" s="110">
        <f>(3.14*(SubDiameter/2)^2)*(SubLength)*(1/12)^3</f>
        <v>0</v>
      </c>
      <c r="E6" s="1"/>
      <c r="F6" s="41"/>
      <c r="H6" s="10" t="s">
        <v>162</v>
      </c>
      <c r="I6" s="19"/>
      <c r="J6" s="19"/>
    </row>
    <row r="7" spans="1:10" ht="18" customHeight="1" x14ac:dyDescent="0.45">
      <c r="A7" s="40" t="s">
        <v>218</v>
      </c>
      <c r="B7" s="111">
        <f>Volume*28.317</f>
        <v>0</v>
      </c>
      <c r="F7" s="41"/>
      <c r="H7" s="10"/>
      <c r="I7" s="19"/>
      <c r="J7" s="19"/>
    </row>
    <row r="8" spans="1:10" ht="18" customHeight="1" x14ac:dyDescent="0.45">
      <c r="E8" s="41"/>
      <c r="F8" s="41"/>
      <c r="H8" s="10" t="s">
        <v>70</v>
      </c>
      <c r="I8" s="19"/>
      <c r="J8" s="19"/>
    </row>
    <row r="9" spans="1:10" ht="18" customHeight="1" x14ac:dyDescent="0.45">
      <c r="B9" s="1" t="s">
        <v>49</v>
      </c>
      <c r="C9" s="1" t="s">
        <v>50</v>
      </c>
      <c r="D9" s="1" t="s">
        <v>50</v>
      </c>
      <c r="J9" s="19"/>
    </row>
    <row r="10" spans="1:10" ht="18" customHeight="1" x14ac:dyDescent="0.45">
      <c r="B10" s="1" t="s">
        <v>51</v>
      </c>
      <c r="C10" s="1" t="s">
        <v>52</v>
      </c>
      <c r="D10" s="1" t="s">
        <v>53</v>
      </c>
      <c r="E10" s="41" t="s">
        <v>204</v>
      </c>
      <c r="F10" s="41"/>
      <c r="G10" s="41"/>
      <c r="J10" s="19"/>
    </row>
    <row r="11" spans="1:10" ht="18" customHeight="1" x14ac:dyDescent="0.45">
      <c r="A11" s="10" t="s">
        <v>54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4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45">
      <c r="A13" s="10"/>
      <c r="B13" s="41"/>
      <c r="C13" s="41"/>
      <c r="D13" s="41"/>
      <c r="E13" s="20"/>
      <c r="F13" s="42"/>
      <c r="G13" s="42"/>
      <c r="H13" s="10" t="s">
        <v>69</v>
      </c>
      <c r="I13" s="44"/>
    </row>
    <row r="14" spans="1:10" ht="18" customHeight="1" x14ac:dyDescent="0.45">
      <c r="A14" s="39" t="s">
        <v>55</v>
      </c>
      <c r="B14" s="44"/>
      <c r="C14" s="41"/>
      <c r="D14" s="41"/>
      <c r="E14" s="20"/>
      <c r="F14" s="42"/>
      <c r="G14" s="42"/>
      <c r="H14" s="10" t="s">
        <v>68</v>
      </c>
      <c r="I14" s="44"/>
    </row>
    <row r="15" spans="1:10" ht="18" customHeight="1" x14ac:dyDescent="0.45">
      <c r="A15" s="39" t="s">
        <v>56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45">
      <c r="A16" s="39"/>
      <c r="B16" s="20"/>
      <c r="C16" s="42"/>
      <c r="D16" s="42"/>
      <c r="E16" s="20"/>
      <c r="F16" s="20"/>
      <c r="G16" s="42"/>
      <c r="I16" s="59" t="s">
        <v>196</v>
      </c>
    </row>
    <row r="17" spans="1:9" ht="18" customHeight="1" x14ac:dyDescent="0.45">
      <c r="A17" s="10" t="s">
        <v>57</v>
      </c>
      <c r="B17" s="20" t="s">
        <v>58</v>
      </c>
      <c r="C17" s="20" t="s">
        <v>59</v>
      </c>
      <c r="D17" s="42"/>
      <c r="F17" s="20"/>
      <c r="G17" s="42"/>
      <c r="H17" s="10" t="s">
        <v>176</v>
      </c>
      <c r="I17" s="44"/>
    </row>
    <row r="18" spans="1:9" ht="18" customHeight="1" x14ac:dyDescent="0.45">
      <c r="A18" s="38" t="s">
        <v>60</v>
      </c>
      <c r="B18" s="44"/>
      <c r="C18" s="44"/>
      <c r="D18" s="20"/>
      <c r="F18" s="20"/>
      <c r="G18" s="42"/>
      <c r="H18" s="10" t="s">
        <v>177</v>
      </c>
      <c r="I18" s="44"/>
    </row>
    <row r="19" spans="1:9" ht="18" customHeight="1" x14ac:dyDescent="0.45">
      <c r="A19" s="38" t="s">
        <v>61</v>
      </c>
      <c r="B19" s="44"/>
      <c r="C19" s="44"/>
      <c r="D19" s="20"/>
      <c r="H19" s="10" t="s">
        <v>178</v>
      </c>
      <c r="I19" s="44"/>
    </row>
    <row r="20" spans="1:9" ht="18" customHeight="1" x14ac:dyDescent="0.45">
      <c r="A20" s="38" t="s">
        <v>62</v>
      </c>
      <c r="B20" s="44"/>
      <c r="C20" s="44"/>
      <c r="D20" s="20"/>
      <c r="H20" s="10" t="s">
        <v>22</v>
      </c>
      <c r="I20" s="44"/>
    </row>
    <row r="21" spans="1:9" ht="18" customHeight="1" x14ac:dyDescent="0.45">
      <c r="A21" s="38" t="s">
        <v>63</v>
      </c>
      <c r="B21" s="44"/>
      <c r="C21" s="44"/>
      <c r="D21" s="20"/>
    </row>
    <row r="22" spans="1:9" ht="18" customHeight="1" x14ac:dyDescent="0.45">
      <c r="A22" s="38" t="s">
        <v>64</v>
      </c>
      <c r="B22" s="44"/>
      <c r="C22" s="44"/>
      <c r="G22" s="19"/>
      <c r="I22" t="s">
        <v>216</v>
      </c>
    </row>
    <row r="23" spans="1:9" ht="18" customHeight="1" x14ac:dyDescent="0.45">
      <c r="H23" s="40" t="s">
        <v>179</v>
      </c>
    </row>
    <row r="24" spans="1:9" ht="18" customHeight="1" x14ac:dyDescent="0.45">
      <c r="A24" s="10" t="s">
        <v>66</v>
      </c>
      <c r="E24" s="19"/>
      <c r="H24" s="10" t="s">
        <v>256</v>
      </c>
      <c r="I24" s="44"/>
    </row>
    <row r="25" spans="1:9" ht="18" customHeight="1" x14ac:dyDescent="0.45">
      <c r="A25" s="10" t="s">
        <v>67</v>
      </c>
      <c r="E25" s="19"/>
    </row>
    <row r="26" spans="1:9" ht="18" customHeight="1" x14ac:dyDescent="0.45">
      <c r="A26" s="10"/>
      <c r="F26" s="19"/>
    </row>
    <row r="27" spans="1:9" ht="18" customHeight="1" x14ac:dyDescent="0.45">
      <c r="F27" s="19"/>
    </row>
    <row r="29" spans="1:9" ht="18" customHeight="1" x14ac:dyDescent="0.45">
      <c r="B29" s="21" t="s">
        <v>7</v>
      </c>
      <c r="C29" s="19"/>
      <c r="D29" s="19"/>
    </row>
    <row r="30" spans="1:9" ht="18" customHeight="1" x14ac:dyDescent="0.45">
      <c r="B30" t="s">
        <v>7</v>
      </c>
      <c r="C30" s="19"/>
      <c r="D30" s="19"/>
    </row>
    <row r="32" spans="1:9" ht="18" customHeight="1" x14ac:dyDescent="0.45">
      <c r="B32" s="4"/>
      <c r="H32" s="19"/>
    </row>
    <row r="33" spans="1:10" ht="18" customHeight="1" x14ac:dyDescent="0.45">
      <c r="H33" s="19"/>
    </row>
    <row r="34" spans="1:10" ht="18" customHeight="1" x14ac:dyDescent="0.45">
      <c r="B34" s="4"/>
      <c r="C34" s="1"/>
    </row>
    <row r="35" spans="1:10" ht="18" customHeight="1" x14ac:dyDescent="0.45">
      <c r="B35" s="4"/>
      <c r="C35" s="1"/>
    </row>
    <row r="36" spans="1:10" ht="18" customHeight="1" x14ac:dyDescent="0.45">
      <c r="H36" s="19"/>
    </row>
    <row r="37" spans="1:10" ht="18" customHeight="1" x14ac:dyDescent="0.45">
      <c r="B37" s="4"/>
      <c r="H37" s="19"/>
      <c r="I37" s="19"/>
    </row>
    <row r="38" spans="1:10" ht="18" customHeight="1" x14ac:dyDescent="0.45">
      <c r="H38" s="19"/>
      <c r="I38" s="19"/>
    </row>
    <row r="39" spans="1:10" ht="18" customHeight="1" x14ac:dyDescent="0.45">
      <c r="A39" s="7"/>
    </row>
    <row r="42" spans="1:10" ht="18" customHeight="1" x14ac:dyDescent="0.45">
      <c r="I42" s="19"/>
    </row>
    <row r="44" spans="1:10" ht="18" customHeight="1" x14ac:dyDescent="0.4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8</xdr:col>
                <xdr:colOff>1181100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161925</xdr:colOff>
                <xdr:row>25</xdr:row>
                <xdr:rowOff>38100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161925</xdr:colOff>
                <xdr:row>24</xdr:row>
                <xdr:rowOff>19050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8</xdr:col>
                <xdr:colOff>1143000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8</xdr:col>
                <xdr:colOff>1143000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8</xdr:col>
                <xdr:colOff>1143000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8</xdr:col>
                <xdr:colOff>1143000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tabSelected="1" workbookViewId="0">
      <selection activeCell="F2" sqref="F2"/>
    </sheetView>
  </sheetViews>
  <sheetFormatPr defaultRowHeight="14.25" x14ac:dyDescent="0.45"/>
  <cols>
    <col min="2" max="2" width="30.265625" customWidth="1"/>
    <col min="3" max="3" width="17.265625" customWidth="1"/>
    <col min="4" max="4" width="10.59765625" bestFit="1" customWidth="1"/>
    <col min="5" max="5" width="23.86328125" customWidth="1"/>
    <col min="6" max="6" width="24.86328125" customWidth="1"/>
    <col min="7" max="7" width="15.1328125" customWidth="1"/>
    <col min="8" max="8" width="11.86328125" bestFit="1" customWidth="1"/>
    <col min="9" max="9" width="23" customWidth="1"/>
  </cols>
  <sheetData>
    <row r="3" spans="2:9" x14ac:dyDescent="0.45">
      <c r="B3" s="91" t="s">
        <v>205</v>
      </c>
      <c r="C3" s="1">
        <v>71</v>
      </c>
    </row>
    <row r="4" spans="2:9" ht="18" x14ac:dyDescent="0.55000000000000004">
      <c r="I4" s="45"/>
    </row>
    <row r="5" spans="2:9" x14ac:dyDescent="0.45">
      <c r="B5" s="105" t="s">
        <v>16</v>
      </c>
      <c r="C5" s="106"/>
      <c r="D5" s="61"/>
      <c r="E5" s="61" t="s">
        <v>207</v>
      </c>
      <c r="F5" s="92">
        <v>110000</v>
      </c>
      <c r="G5" s="93" t="s">
        <v>91</v>
      </c>
      <c r="H5" s="64"/>
    </row>
    <row r="6" spans="2:9" x14ac:dyDescent="0.45">
      <c r="B6" s="94" t="s">
        <v>18</v>
      </c>
      <c r="C6" s="95"/>
      <c r="D6" s="64"/>
      <c r="E6" s="64" t="s">
        <v>206</v>
      </c>
      <c r="F6" s="96">
        <v>60</v>
      </c>
      <c r="G6" s="67" t="s">
        <v>92</v>
      </c>
      <c r="H6" s="64"/>
    </row>
    <row r="7" spans="2:9" x14ac:dyDescent="0.45">
      <c r="B7" s="97" t="s">
        <v>168</v>
      </c>
      <c r="C7" s="95">
        <f>(3.14*(SubDiameter/2)^2)*(SubLength)*(1/12)^3</f>
        <v>0</v>
      </c>
      <c r="D7" s="98"/>
      <c r="E7" s="64" t="s">
        <v>208</v>
      </c>
      <c r="F7" s="96">
        <f>(Volume*MaxSpaceVelocity)*(1/60)*(61.7)/(2350*0.395)</f>
        <v>0</v>
      </c>
      <c r="G7" s="67" t="s">
        <v>92</v>
      </c>
      <c r="H7" s="64"/>
    </row>
    <row r="8" spans="2:9" x14ac:dyDescent="0.45">
      <c r="B8" s="99" t="s">
        <v>169</v>
      </c>
      <c r="C8" s="100">
        <f>Volume*28.317</f>
        <v>0</v>
      </c>
      <c r="D8" s="101"/>
      <c r="E8" s="102" t="s">
        <v>209</v>
      </c>
      <c r="F8" s="104">
        <f>IF(F7&gt;MaxHertz,"60",F7)</f>
        <v>0</v>
      </c>
      <c r="G8" s="103" t="s">
        <v>92</v>
      </c>
      <c r="H8" s="64"/>
    </row>
    <row r="9" spans="2:9" x14ac:dyDescent="0.45">
      <c r="H9" s="64"/>
    </row>
    <row r="11" spans="2:9" x14ac:dyDescent="0.45">
      <c r="B11" s="87" t="s">
        <v>71</v>
      </c>
      <c r="C11" s="61"/>
      <c r="D11" s="88"/>
      <c r="E11" s="61" t="s">
        <v>72</v>
      </c>
      <c r="F11" s="61"/>
      <c r="G11" s="62" t="s">
        <v>87</v>
      </c>
      <c r="H11" s="62" t="s">
        <v>88</v>
      </c>
      <c r="I11" s="89"/>
    </row>
    <row r="12" spans="2:9" x14ac:dyDescent="0.45">
      <c r="B12" s="63" t="s">
        <v>73</v>
      </c>
      <c r="C12" s="64"/>
      <c r="D12" s="65"/>
      <c r="E12" s="64" t="s">
        <v>74</v>
      </c>
      <c r="F12" s="64"/>
      <c r="G12" s="64"/>
      <c r="H12" s="66" t="s">
        <v>89</v>
      </c>
      <c r="I12" s="90"/>
    </row>
    <row r="13" spans="2:9" x14ac:dyDescent="0.45">
      <c r="B13" s="63" t="s">
        <v>75</v>
      </c>
      <c r="C13" s="64"/>
      <c r="D13" s="64"/>
      <c r="E13" s="64"/>
      <c r="F13" s="64"/>
      <c r="G13" s="64"/>
      <c r="H13" s="66" t="s">
        <v>90</v>
      </c>
      <c r="I13" s="90"/>
    </row>
    <row r="14" spans="2:9" x14ac:dyDescent="0.45">
      <c r="B14" s="69" t="s">
        <v>76</v>
      </c>
      <c r="C14" s="70" t="s">
        <v>77</v>
      </c>
      <c r="D14" s="70" t="s">
        <v>78</v>
      </c>
      <c r="E14" s="70" t="s">
        <v>79</v>
      </c>
      <c r="F14" s="64"/>
      <c r="G14" s="70" t="s">
        <v>80</v>
      </c>
      <c r="H14" s="70"/>
      <c r="I14" s="71"/>
    </row>
    <row r="15" spans="2:9" x14ac:dyDescent="0.45">
      <c r="B15" s="72" t="s">
        <v>81</v>
      </c>
      <c r="C15" s="73" t="s">
        <v>82</v>
      </c>
      <c r="D15" s="73" t="s">
        <v>83</v>
      </c>
      <c r="E15" s="73" t="s">
        <v>82</v>
      </c>
      <c r="F15" s="73" t="s">
        <v>84</v>
      </c>
      <c r="G15" s="70" t="s">
        <v>85</v>
      </c>
      <c r="H15" s="70" t="s">
        <v>82</v>
      </c>
      <c r="I15" s="71" t="s">
        <v>86</v>
      </c>
    </row>
    <row r="16" spans="2:9" x14ac:dyDescent="0.4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 t="e">
        <f t="shared" ref="F16:F26" si="1">(E16*60)/Volume</f>
        <v>#DIV/0!</v>
      </c>
      <c r="G16" s="119">
        <v>20000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4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 t="e">
        <f t="shared" si="1"/>
        <v>#DIV/0!</v>
      </c>
      <c r="G17" s="119">
        <v>35000</v>
      </c>
      <c r="H17" s="77">
        <f t="shared" si="2"/>
        <v>0</v>
      </c>
      <c r="I17" s="78">
        <f t="shared" si="3"/>
        <v>0</v>
      </c>
    </row>
    <row r="18" spans="2:9" x14ac:dyDescent="0.45">
      <c r="B18" s="74">
        <f>0.5*$F$8</f>
        <v>0</v>
      </c>
      <c r="C18" s="75">
        <f t="shared" si="4"/>
        <v>0</v>
      </c>
      <c r="D18" s="121"/>
      <c r="E18" s="75">
        <f t="shared" si="0"/>
        <v>0</v>
      </c>
      <c r="F18" s="76" t="e">
        <f t="shared" si="1"/>
        <v>#DIV/0!</v>
      </c>
      <c r="G18" s="119">
        <v>50000</v>
      </c>
      <c r="H18" s="77">
        <f t="shared" si="2"/>
        <v>0</v>
      </c>
      <c r="I18" s="78">
        <f t="shared" si="3"/>
        <v>0</v>
      </c>
    </row>
    <row r="19" spans="2:9" x14ac:dyDescent="0.45">
      <c r="B19" s="74">
        <f>0.6*$F$8</f>
        <v>0</v>
      </c>
      <c r="C19" s="75">
        <f t="shared" si="4"/>
        <v>0</v>
      </c>
      <c r="D19" s="121"/>
      <c r="E19" s="75">
        <f t="shared" si="0"/>
        <v>0</v>
      </c>
      <c r="F19" s="76" t="e">
        <f t="shared" si="1"/>
        <v>#DIV/0!</v>
      </c>
      <c r="G19" s="119">
        <v>60000</v>
      </c>
      <c r="H19" s="77">
        <f t="shared" si="2"/>
        <v>0</v>
      </c>
      <c r="I19" s="78">
        <f t="shared" si="3"/>
        <v>0</v>
      </c>
    </row>
    <row r="20" spans="2:9" x14ac:dyDescent="0.45">
      <c r="B20" s="74">
        <f>0.7*$F$8</f>
        <v>0</v>
      </c>
      <c r="C20" s="75">
        <f t="shared" si="4"/>
        <v>0</v>
      </c>
      <c r="D20" s="121"/>
      <c r="E20" s="75">
        <f t="shared" si="0"/>
        <v>0</v>
      </c>
      <c r="F20" s="76" t="e">
        <f t="shared" si="1"/>
        <v>#DIV/0!</v>
      </c>
      <c r="G20" s="119">
        <v>70000</v>
      </c>
      <c r="H20" s="77">
        <f t="shared" si="2"/>
        <v>0</v>
      </c>
      <c r="I20" s="78">
        <f t="shared" si="3"/>
        <v>0</v>
      </c>
    </row>
    <row r="21" spans="2:9" x14ac:dyDescent="0.45">
      <c r="B21" s="74">
        <f>0.75*$F$8</f>
        <v>0</v>
      </c>
      <c r="C21" s="75">
        <f t="shared" si="4"/>
        <v>0</v>
      </c>
      <c r="D21" s="121"/>
      <c r="E21" s="75">
        <f t="shared" si="0"/>
        <v>0</v>
      </c>
      <c r="F21" s="76" t="e">
        <f t="shared" si="1"/>
        <v>#DIV/0!</v>
      </c>
      <c r="G21" s="119">
        <v>75000</v>
      </c>
      <c r="H21" s="77">
        <f t="shared" si="2"/>
        <v>0</v>
      </c>
      <c r="I21" s="78">
        <f t="shared" si="3"/>
        <v>0</v>
      </c>
    </row>
    <row r="22" spans="2:9" x14ac:dyDescent="0.45">
      <c r="B22" s="74">
        <f>0.8*$F$8</f>
        <v>0</v>
      </c>
      <c r="C22" s="75">
        <f t="shared" si="4"/>
        <v>0</v>
      </c>
      <c r="D22" s="121"/>
      <c r="E22" s="75">
        <f t="shared" si="0"/>
        <v>0</v>
      </c>
      <c r="F22" s="76" t="e">
        <f t="shared" si="1"/>
        <v>#DIV/0!</v>
      </c>
      <c r="G22" s="119">
        <v>80000</v>
      </c>
      <c r="H22" s="77">
        <f t="shared" si="2"/>
        <v>0</v>
      </c>
      <c r="I22" s="78">
        <f t="shared" si="3"/>
        <v>0</v>
      </c>
    </row>
    <row r="23" spans="2:9" x14ac:dyDescent="0.45">
      <c r="B23" s="74">
        <f>0.85*$F$8</f>
        <v>0</v>
      </c>
      <c r="C23" s="75">
        <f t="shared" si="4"/>
        <v>0</v>
      </c>
      <c r="D23" s="121"/>
      <c r="E23" s="75">
        <f t="shared" si="0"/>
        <v>0</v>
      </c>
      <c r="F23" s="76" t="e">
        <f t="shared" si="1"/>
        <v>#DIV/0!</v>
      </c>
      <c r="G23" s="119">
        <v>85000</v>
      </c>
      <c r="H23" s="77">
        <f t="shared" si="2"/>
        <v>0</v>
      </c>
      <c r="I23" s="78">
        <f t="shared" si="3"/>
        <v>0</v>
      </c>
    </row>
    <row r="24" spans="2:9" x14ac:dyDescent="0.45">
      <c r="B24" s="74">
        <f>0.9*$F$8</f>
        <v>0</v>
      </c>
      <c r="C24" s="75">
        <f t="shared" si="4"/>
        <v>0</v>
      </c>
      <c r="D24" s="121"/>
      <c r="E24" s="75">
        <f t="shared" si="0"/>
        <v>0</v>
      </c>
      <c r="F24" s="76" t="e">
        <f t="shared" si="1"/>
        <v>#DIV/0!</v>
      </c>
      <c r="G24" s="119">
        <v>90000</v>
      </c>
      <c r="H24" s="77">
        <f t="shared" si="2"/>
        <v>0</v>
      </c>
      <c r="I24" s="78">
        <f t="shared" si="3"/>
        <v>0</v>
      </c>
    </row>
    <row r="25" spans="2:9" x14ac:dyDescent="0.45">
      <c r="B25" s="74">
        <f>0.95*$F$8</f>
        <v>0</v>
      </c>
      <c r="C25" s="75">
        <f t="shared" si="4"/>
        <v>0</v>
      </c>
      <c r="D25" s="121"/>
      <c r="E25" s="75">
        <f t="shared" si="0"/>
        <v>0</v>
      </c>
      <c r="F25" s="76" t="e">
        <f t="shared" si="1"/>
        <v>#DIV/0!</v>
      </c>
      <c r="G25" s="119">
        <v>95000</v>
      </c>
      <c r="H25" s="77">
        <f t="shared" si="2"/>
        <v>0</v>
      </c>
      <c r="I25" s="78">
        <f t="shared" si="3"/>
        <v>0</v>
      </c>
    </row>
    <row r="26" spans="2:9" x14ac:dyDescent="0.45">
      <c r="B26" s="79">
        <f>1*$F$8</f>
        <v>0</v>
      </c>
      <c r="C26" s="80">
        <f t="shared" si="4"/>
        <v>0</v>
      </c>
      <c r="D26" s="121"/>
      <c r="E26" s="80">
        <f t="shared" si="0"/>
        <v>0</v>
      </c>
      <c r="F26" s="82" t="e">
        <f t="shared" si="1"/>
        <v>#DIV/0!</v>
      </c>
      <c r="G26" s="120">
        <v>100000</v>
      </c>
      <c r="H26" s="83">
        <f t="shared" si="2"/>
        <v>0</v>
      </c>
      <c r="I26" s="84">
        <f t="shared" si="3"/>
        <v>0</v>
      </c>
    </row>
    <row r="28" spans="2:9" x14ac:dyDescent="0.45">
      <c r="B28" s="87" t="s">
        <v>71</v>
      </c>
      <c r="C28" s="61"/>
      <c r="D28" s="88"/>
      <c r="E28" s="61" t="s">
        <v>72</v>
      </c>
      <c r="F28" s="61"/>
      <c r="G28" s="62" t="s">
        <v>87</v>
      </c>
      <c r="H28" s="62" t="s">
        <v>88</v>
      </c>
      <c r="I28" s="89"/>
    </row>
    <row r="29" spans="2:9" x14ac:dyDescent="0.45">
      <c r="B29" s="63" t="s">
        <v>73</v>
      </c>
      <c r="C29" s="64"/>
      <c r="D29" s="65"/>
      <c r="E29" s="64" t="s">
        <v>74</v>
      </c>
      <c r="F29" s="64"/>
      <c r="G29" s="64"/>
      <c r="H29" s="66" t="s">
        <v>89</v>
      </c>
      <c r="I29" s="90"/>
    </row>
    <row r="30" spans="2:9" x14ac:dyDescent="0.45">
      <c r="B30" s="63" t="s">
        <v>75</v>
      </c>
      <c r="C30" s="64"/>
      <c r="D30" s="64"/>
      <c r="E30" s="64"/>
      <c r="F30" s="64"/>
      <c r="G30" s="64"/>
      <c r="H30" s="66" t="s">
        <v>90</v>
      </c>
      <c r="I30" s="90"/>
    </row>
    <row r="31" spans="2:9" x14ac:dyDescent="0.45">
      <c r="B31" s="69" t="s">
        <v>76</v>
      </c>
      <c r="C31" s="70" t="s">
        <v>77</v>
      </c>
      <c r="D31" s="70" t="s">
        <v>78</v>
      </c>
      <c r="E31" s="70" t="s">
        <v>79</v>
      </c>
      <c r="F31" s="85"/>
      <c r="G31" s="70" t="s">
        <v>80</v>
      </c>
      <c r="H31" s="70"/>
      <c r="I31" s="71"/>
    </row>
    <row r="32" spans="2:9" x14ac:dyDescent="0.45">
      <c r="B32" s="86" t="s">
        <v>81</v>
      </c>
      <c r="C32" s="70" t="s">
        <v>82</v>
      </c>
      <c r="D32" s="70" t="s">
        <v>83</v>
      </c>
      <c r="E32" s="70" t="s">
        <v>82</v>
      </c>
      <c r="F32" s="70" t="s">
        <v>84</v>
      </c>
      <c r="G32" s="70" t="s">
        <v>85</v>
      </c>
      <c r="H32" s="70" t="s">
        <v>82</v>
      </c>
      <c r="I32" s="71" t="s">
        <v>86</v>
      </c>
    </row>
    <row r="33" spans="2:9" x14ac:dyDescent="0.4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 t="e">
        <f t="shared" ref="F33:F43" si="6">(E33*60)/Volume</f>
        <v>#DIV/0!</v>
      </c>
      <c r="G33" s="119">
        <v>20000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4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 t="e">
        <f t="shared" si="6"/>
        <v>#DIV/0!</v>
      </c>
      <c r="G34" s="119">
        <v>35000</v>
      </c>
      <c r="H34" s="77">
        <f t="shared" si="7"/>
        <v>0</v>
      </c>
      <c r="I34" s="78">
        <f t="shared" si="8"/>
        <v>0</v>
      </c>
    </row>
    <row r="35" spans="2:9" x14ac:dyDescent="0.4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 t="e">
        <f t="shared" si="6"/>
        <v>#DIV/0!</v>
      </c>
      <c r="G35" s="119">
        <v>50000</v>
      </c>
      <c r="H35" s="77">
        <f t="shared" si="7"/>
        <v>0</v>
      </c>
      <c r="I35" s="78">
        <f t="shared" si="8"/>
        <v>0</v>
      </c>
    </row>
    <row r="36" spans="2:9" x14ac:dyDescent="0.4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 t="e">
        <f t="shared" si="6"/>
        <v>#DIV/0!</v>
      </c>
      <c r="G36" s="119">
        <v>60000</v>
      </c>
      <c r="H36" s="77">
        <f t="shared" si="7"/>
        <v>0</v>
      </c>
      <c r="I36" s="78">
        <f t="shared" si="8"/>
        <v>0</v>
      </c>
    </row>
    <row r="37" spans="2:9" x14ac:dyDescent="0.4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 t="e">
        <f t="shared" si="6"/>
        <v>#DIV/0!</v>
      </c>
      <c r="G37" s="119">
        <v>70000</v>
      </c>
      <c r="H37" s="77">
        <f t="shared" si="7"/>
        <v>0</v>
      </c>
      <c r="I37" s="78">
        <f t="shared" si="8"/>
        <v>0</v>
      </c>
    </row>
    <row r="38" spans="2:9" x14ac:dyDescent="0.4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 t="e">
        <f t="shared" si="6"/>
        <v>#DIV/0!</v>
      </c>
      <c r="G38" s="119">
        <v>75000</v>
      </c>
      <c r="H38" s="77">
        <f t="shared" si="7"/>
        <v>0</v>
      </c>
      <c r="I38" s="78">
        <f t="shared" si="8"/>
        <v>0</v>
      </c>
    </row>
    <row r="39" spans="2:9" x14ac:dyDescent="0.4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 t="e">
        <f t="shared" si="6"/>
        <v>#DIV/0!</v>
      </c>
      <c r="G39" s="119">
        <v>80000</v>
      </c>
      <c r="H39" s="77">
        <f t="shared" si="7"/>
        <v>0</v>
      </c>
      <c r="I39" s="78">
        <f t="shared" si="8"/>
        <v>0</v>
      </c>
    </row>
    <row r="40" spans="2:9" x14ac:dyDescent="0.4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 t="e">
        <f t="shared" si="6"/>
        <v>#DIV/0!</v>
      </c>
      <c r="G40" s="119">
        <v>85000</v>
      </c>
      <c r="H40" s="77">
        <f t="shared" si="7"/>
        <v>0</v>
      </c>
      <c r="I40" s="78">
        <f t="shared" si="8"/>
        <v>0</v>
      </c>
    </row>
    <row r="41" spans="2:9" x14ac:dyDescent="0.4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 t="e">
        <f t="shared" si="6"/>
        <v>#DIV/0!</v>
      </c>
      <c r="G41" s="119">
        <v>90000</v>
      </c>
      <c r="H41" s="77">
        <f t="shared" si="7"/>
        <v>0</v>
      </c>
      <c r="I41" s="78">
        <f t="shared" si="8"/>
        <v>0</v>
      </c>
    </row>
    <row r="42" spans="2:9" x14ac:dyDescent="0.4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 t="e">
        <f t="shared" si="6"/>
        <v>#DIV/0!</v>
      </c>
      <c r="G42" s="119">
        <v>95000</v>
      </c>
      <c r="H42" s="77">
        <f t="shared" si="7"/>
        <v>0</v>
      </c>
      <c r="I42" s="78">
        <f t="shared" si="8"/>
        <v>0</v>
      </c>
    </row>
    <row r="43" spans="2:9" x14ac:dyDescent="0.4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 t="e">
        <f t="shared" si="6"/>
        <v>#DIV/0!</v>
      </c>
      <c r="G43" s="120">
        <v>100000</v>
      </c>
      <c r="H43" s="83">
        <f t="shared" si="7"/>
        <v>0</v>
      </c>
      <c r="I43" s="84">
        <f t="shared" si="8"/>
        <v>0</v>
      </c>
    </row>
    <row r="45" spans="2:9" x14ac:dyDescent="0.45">
      <c r="B45" s="87" t="s">
        <v>71</v>
      </c>
      <c r="C45" s="61"/>
      <c r="D45" s="88"/>
      <c r="E45" s="61" t="s">
        <v>72</v>
      </c>
      <c r="F45" s="61"/>
      <c r="G45" s="62" t="s">
        <v>87</v>
      </c>
      <c r="H45" s="62" t="s">
        <v>88</v>
      </c>
      <c r="I45" s="89"/>
    </row>
    <row r="46" spans="2:9" x14ac:dyDescent="0.45">
      <c r="B46" s="63" t="s">
        <v>73</v>
      </c>
      <c r="C46" s="64"/>
      <c r="D46" s="65"/>
      <c r="E46" s="64" t="s">
        <v>74</v>
      </c>
      <c r="F46" s="64"/>
      <c r="G46" s="64"/>
      <c r="H46" s="66" t="s">
        <v>89</v>
      </c>
      <c r="I46" s="90"/>
    </row>
    <row r="47" spans="2:9" x14ac:dyDescent="0.45">
      <c r="B47" s="63" t="s">
        <v>75</v>
      </c>
      <c r="C47" s="64"/>
      <c r="E47" s="64"/>
      <c r="F47" s="64"/>
      <c r="G47" s="64"/>
      <c r="H47" s="66" t="s">
        <v>90</v>
      </c>
      <c r="I47" s="90"/>
    </row>
    <row r="48" spans="2:9" x14ac:dyDescent="0.45">
      <c r="B48" s="69" t="s">
        <v>76</v>
      </c>
      <c r="C48" s="70" t="s">
        <v>77</v>
      </c>
      <c r="D48" s="70" t="s">
        <v>78</v>
      </c>
      <c r="E48" s="70" t="s">
        <v>79</v>
      </c>
      <c r="F48" s="85"/>
      <c r="G48" s="70" t="s">
        <v>80</v>
      </c>
      <c r="H48" s="70"/>
      <c r="I48" s="71"/>
    </row>
    <row r="49" spans="2:9" x14ac:dyDescent="0.45">
      <c r="B49" s="86" t="s">
        <v>81</v>
      </c>
      <c r="C49" s="70" t="s">
        <v>82</v>
      </c>
      <c r="D49" s="70" t="s">
        <v>83</v>
      </c>
      <c r="E49" s="70" t="s">
        <v>82</v>
      </c>
      <c r="F49" s="70" t="s">
        <v>84</v>
      </c>
      <c r="G49" s="70" t="s">
        <v>85</v>
      </c>
      <c r="H49" s="70" t="s">
        <v>82</v>
      </c>
      <c r="I49" s="71" t="s">
        <v>86</v>
      </c>
    </row>
    <row r="50" spans="2:9" x14ac:dyDescent="0.4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 t="e">
        <f t="shared" ref="F50:F60" si="11">(E50*60)/Volume</f>
        <v>#DIV/0!</v>
      </c>
      <c r="G50" s="119">
        <v>20000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4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 t="e">
        <f t="shared" si="11"/>
        <v>#DIV/0!</v>
      </c>
      <c r="G51" s="119">
        <v>35000</v>
      </c>
      <c r="H51" s="77">
        <f t="shared" si="12"/>
        <v>0</v>
      </c>
      <c r="I51" s="78">
        <f t="shared" si="13"/>
        <v>0</v>
      </c>
    </row>
    <row r="52" spans="2:9" x14ac:dyDescent="0.4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 t="e">
        <f t="shared" si="11"/>
        <v>#DIV/0!</v>
      </c>
      <c r="G52" s="119">
        <v>50000</v>
      </c>
      <c r="H52" s="77">
        <f t="shared" si="12"/>
        <v>0</v>
      </c>
      <c r="I52" s="78">
        <f t="shared" si="13"/>
        <v>0</v>
      </c>
    </row>
    <row r="53" spans="2:9" x14ac:dyDescent="0.4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 t="e">
        <f t="shared" si="11"/>
        <v>#DIV/0!</v>
      </c>
      <c r="G53" s="119">
        <v>60000</v>
      </c>
      <c r="H53" s="77">
        <f t="shared" si="12"/>
        <v>0</v>
      </c>
      <c r="I53" s="78">
        <f t="shared" si="13"/>
        <v>0</v>
      </c>
    </row>
    <row r="54" spans="2:9" x14ac:dyDescent="0.4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 t="e">
        <f t="shared" si="11"/>
        <v>#DIV/0!</v>
      </c>
      <c r="G54" s="119">
        <v>70000</v>
      </c>
      <c r="H54" s="77">
        <f t="shared" si="12"/>
        <v>0</v>
      </c>
      <c r="I54" s="78">
        <f t="shared" si="13"/>
        <v>0</v>
      </c>
    </row>
    <row r="55" spans="2:9" x14ac:dyDescent="0.4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 t="e">
        <f t="shared" si="11"/>
        <v>#DIV/0!</v>
      </c>
      <c r="G55" s="119">
        <v>75000</v>
      </c>
      <c r="H55" s="77">
        <f t="shared" si="12"/>
        <v>0</v>
      </c>
      <c r="I55" s="78">
        <f t="shared" si="13"/>
        <v>0</v>
      </c>
    </row>
    <row r="56" spans="2:9" x14ac:dyDescent="0.4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 t="e">
        <f t="shared" si="11"/>
        <v>#DIV/0!</v>
      </c>
      <c r="G56" s="119">
        <v>80000</v>
      </c>
      <c r="H56" s="77">
        <f t="shared" si="12"/>
        <v>0</v>
      </c>
      <c r="I56" s="78">
        <f t="shared" si="13"/>
        <v>0</v>
      </c>
    </row>
    <row r="57" spans="2:9" x14ac:dyDescent="0.4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 t="e">
        <f t="shared" si="11"/>
        <v>#DIV/0!</v>
      </c>
      <c r="G57" s="119">
        <v>85000</v>
      </c>
      <c r="H57" s="77">
        <f t="shared" si="12"/>
        <v>0</v>
      </c>
      <c r="I57" s="78">
        <f t="shared" si="13"/>
        <v>0</v>
      </c>
    </row>
    <row r="58" spans="2:9" x14ac:dyDescent="0.4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 t="e">
        <f t="shared" si="11"/>
        <v>#DIV/0!</v>
      </c>
      <c r="G58" s="119">
        <v>90000</v>
      </c>
      <c r="H58" s="77">
        <f t="shared" si="12"/>
        <v>0</v>
      </c>
      <c r="I58" s="78">
        <f t="shared" si="13"/>
        <v>0</v>
      </c>
    </row>
    <row r="59" spans="2:9" x14ac:dyDescent="0.4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 t="e">
        <f t="shared" si="11"/>
        <v>#DIV/0!</v>
      </c>
      <c r="G59" s="119">
        <v>95000</v>
      </c>
      <c r="H59" s="77">
        <f t="shared" si="12"/>
        <v>0</v>
      </c>
      <c r="I59" s="78">
        <f t="shared" si="13"/>
        <v>0</v>
      </c>
    </row>
    <row r="60" spans="2:9" x14ac:dyDescent="0.4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 t="e">
        <f t="shared" si="11"/>
        <v>#DIV/0!</v>
      </c>
      <c r="G60" s="120">
        <v>100000</v>
      </c>
      <c r="H60" s="83">
        <f t="shared" si="12"/>
        <v>0</v>
      </c>
      <c r="I60" s="84">
        <f t="shared" si="13"/>
        <v>0</v>
      </c>
    </row>
    <row r="62" spans="2:9" x14ac:dyDescent="0.45">
      <c r="F62" s="27"/>
    </row>
    <row r="63" spans="2:9" x14ac:dyDescent="0.45">
      <c r="B63" s="26"/>
      <c r="C63" s="25"/>
      <c r="D63" s="25"/>
      <c r="F63" s="19"/>
    </row>
    <row r="64" spans="2:9" x14ac:dyDescent="0.45">
      <c r="B64" s="26"/>
      <c r="C64" s="25"/>
      <c r="D64" s="25"/>
      <c r="E64" s="23"/>
      <c r="F64" s="19"/>
    </row>
    <row r="65" spans="3:6" x14ac:dyDescent="0.4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171450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19050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3</xdr:row>
                <xdr:rowOff>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64</vt:i4>
      </vt:variant>
    </vt:vector>
  </HeadingPairs>
  <TitlesOfParts>
    <vt:vector size="78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2019-07-23T20:24:45Z</dcterms:modified>
</cp:coreProperties>
</file>