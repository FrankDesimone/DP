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9D25995-E2C5-4F9A-8C49-E3A606F2915A}" xr6:coauthVersionLast="41" xr6:coauthVersionMax="41" xr10:uidLastSave="{00000000-0000-0000-0000-000000000000}"/>
  <bookViews>
    <workbookView xWindow="-120" yWindow="-120" windowWidth="29040" windowHeight="15990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DPF!$C$5:$C$27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<sst xmlns="http://schemas.openxmlformats.org/spreadsheetml/2006/main" count="423" uniqueCount="249">
  <si>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</si>
  <si>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</si>
  <si>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</si>
  <si>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</si>
  <si>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</si>
  <si>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</si>
  <si>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</si>
  <si>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</si>
  <si>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</si>
  <si>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</si>
  <si>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</si>
  <si>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</si>
  <si>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</si>
  <si>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</si>
  <si>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</si>
  <si>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</si>
  <si>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</si>
  <si>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</si>
  <si>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</si>
  <si>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</si>
  <si>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</si>
  <si>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</si>
  <si>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</si>
  <si>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</si>
  <si>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</si>
  <si>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</si>
  <si>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</si>
  <si>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</si>
  <si>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</si>
  <si>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</si>
  <si>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</si>
  <si>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</si>
  <si>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</si>
  <si>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</si>
  <si>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</si>
  <si>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</si>
  <si>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</si>
  <si>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</si>
  <si>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</si>
  <si>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</si>
  <si>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</si>
  <si>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</si>
  <si>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</si>
  <si>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</si>
  <si>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</si>
  <si>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</si>
  <si>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</si>
  <si>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</si>
  <si>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</si>
  <si>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</si>
  <si>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</si>
  <si>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</si>
  <si>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</si>
  <si>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</si>
  <si>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</si>
  <si>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</si>
  <si>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</si>
  <si>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</si>
  <si>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</si>
  <si>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</si>
  <si>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</si>
  <si>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</si>
  <si>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</si>
  <si>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</si>
  <si>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</si>
  <si>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</si>
  <si>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</si>
  <si>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</si>
  <si>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</si>
  <si>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</si>
  <si>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</si>
  <si>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</si>
  <si>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</si>
  <si>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</si>
  <si>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</si>
  <si>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</si>
  <si>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</si>
  <si>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</si>
  <si>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</si>
  <si>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</si>
  <si>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</si>
  <si>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</si>
  <si>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</si>
  <si>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</si>
  <si>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</si>
  <si>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</si>
  <si>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</si>
  <si>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</si>
  <si>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</si>
  <si>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</si>
  <si>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</si>
  <si>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</si>
  <si>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</si>
  <si>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</si>
  <si>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</si>
  <si>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</si>
  <si>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</si>
  <si>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</si>
  <si>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</si>
  <si>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</si>
  <si>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</si>
  <si>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</si>
  <si>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</si>
  <si>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</si>
  <si>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</si>
  <si>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</si>
  <si>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</si>
  <si>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</si>
  <si>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</si>
  <si>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</si>
  <si>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</si>
  <si>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</si>
  <si>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</si>
  <si>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</si>
  <si>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</si>
  <si>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</si>
  <si>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</si>
  <si>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</si>
  <si>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</si>
  <si>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</si>
  <si>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</si>
  <si>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</si>
  <si>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</si>
  <si>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</si>
  <si>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</si>
  <si>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</si>
  <si>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</si>
  <si>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</si>
  <si>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</si>
  <si>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</si>
  <si>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</si>
  <si>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</si>
  <si>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</si>
  <si>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</si>
  <si>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</si>
  <si>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</si>
  <si>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</si>
  <si>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</si>
  <si>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</si>
  <si>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</si>
  <si>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</si>
  <si>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</si>
  <si>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</si>
  <si>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</si>
  <si>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</si>
  <si>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</si>
  <si>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</si>
  <si>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</si>
  <si>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</si>
  <si>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</si>
  <si>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</si>
  <si>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</si>
  <si>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</si>
  <si>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</si>
  <si>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</si>
  <si>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</si>
  <si>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</si>
  <si>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</si>
  <si>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</si>
  <si>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</si>
  <si>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</si>
  <si>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</si>
  <si>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</si>
  <si>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</si>
  <si>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</si>
  <si>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</si>
  <si>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</si>
  <si>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</si>
  <si>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</si>
  <si>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</si>
  <si>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</si>
  <si>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</si>
  <si>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</si>
  <si>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</si>
  <si>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</si>
  <si>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</si>
  <si>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</si>
  <si>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</si>
  <si>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</si>
  <si>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</si>
  <si>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</si>
  <si>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</si>
  <si>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</si>
  <si>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</si>
  <si>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</si>
  <si>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</si>
  <si>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</si>
  <si>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</si>
  <si>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</si>
  <si>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</si>
  <si>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</si>
  <si>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</si>
  <si>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</si>
  <si>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</si>
  <si>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</si>
  <si>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</si>
  <si>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</si>
  <si>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</si>
  <si>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</si>
  <si>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</si>
  <si>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</si>
  <si>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</si>
  <si>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</si>
  <si>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</si>
  <si>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</si>
  <si>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</si>
  <si>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</si>
  <si>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</si>
  <si>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</si>
  <si>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</si>
  <si>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</si>
  <si>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</si>
  <si>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</si>
  <si>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</si>
  <si>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</si>
  <si>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</si>
  <si>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</si>
  <si>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</si>
  <si>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</si>
  <si>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</si>
  <si>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</si>
  <si>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</si>
  <si>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</si>
  <si>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</si>
  <si>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</si>
  <si>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</si>
  <si>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</si>
  <si>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</si>
  <si>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</si>
  <si>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</si>
  <si>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</si>
  <si>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</si>
  <si>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</si>
  <si>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</si>
  <si>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</si>
  <si>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</si>
  <si>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</si>
  <si>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</si>
  <si>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</si>
  <si>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</si>
  <si>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Miliage</t>
  </si>
  <si>
    <t>Hours</t>
  </si>
  <si>
    <t>Optinal</t>
  </si>
  <si>
    <t>Optional</t>
  </si>
  <si>
    <t>Previoulsy cleaned</t>
  </si>
  <si>
    <t>check box</t>
  </si>
  <si>
    <t>remove</t>
  </si>
  <si>
    <t>Vehicle Current Mileage</t>
  </si>
  <si>
    <t>Vehicle Current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</si>
</sst>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3" fillId="7" borderId="0" xfId="0" applyFont="1" applyFill="1" applyAlignment="1">
      <alignment horizontal="right" vertical="center" indent="2"/>
    </xf>
    <xf numFmtId="0" fontId="0" fillId="7" borderId="0" xfId="0" applyFill="1" applyAlignment="1">
      <alignment horizontal="center"/>
    </xf>
    <xf numFmtId="0" fontId="5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image" Target="../media/image55.emf"/><Relationship Id="rId7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59.emf"/><Relationship Id="rId5" Type="http://schemas.openxmlformats.org/officeDocument/2006/relationships/image" Target="../media/image58.emf"/><Relationship Id="rId4" Type="http://schemas.openxmlformats.org/officeDocument/2006/relationships/image" Target="../media/image53.emf"/><Relationship Id="rId9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66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67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73.emf"/><Relationship Id="rId11" Type="http://schemas.openxmlformats.org/officeDocument/2006/relationships/image" Target="../media/image68.emf"/><Relationship Id="rId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184150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184150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184150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193675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28575</xdr:rowOff>
        </xdr:from>
        <xdr:to>
          <xdr:col>2</xdr:col>
          <xdr:colOff>200025</xdr:colOff>
          <xdr:row>25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304800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285750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285750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285750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285750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285750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285750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285750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5</xdr:col>
          <xdr:colOff>581025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19050</xdr:rowOff>
        </xdr:from>
        <xdr:to>
          <xdr:col>6</xdr:col>
          <xdr:colOff>295275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285750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28575</xdr:rowOff>
        </xdr:from>
        <xdr:to>
          <xdr:col>2</xdr:col>
          <xdr:colOff>200025</xdr:colOff>
          <xdr:row>26</xdr:row>
          <xdr:rowOff>209550</xdr:rowOff>
        </xdr:to>
        <xdr:sp macro="" textlink="">
          <xdr:nvSpPr>
            <xdr:cNvPr id="21534" name="CheckBox1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5F1C2A1B-91A0-4DAA-9CD0-4D9EDD17E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7.emf"/><Relationship Id="rId26" Type="http://schemas.openxmlformats.org/officeDocument/2006/relationships/control" Target="../activeX/activeX69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4.xml"/><Relationship Id="rId7" Type="http://schemas.openxmlformats.org/officeDocument/2006/relationships/image" Target="../media/image54.emf"/><Relationship Id="rId12" Type="http://schemas.openxmlformats.org/officeDocument/2006/relationships/image" Target="../media/image56.emf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8.xml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image" Target="../media/image58.emf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7.xml"/><Relationship Id="rId32" Type="http://schemas.openxmlformats.org/officeDocument/2006/relationships/control" Target="../activeX/activeX73.xml"/><Relationship Id="rId5" Type="http://schemas.openxmlformats.org/officeDocument/2006/relationships/image" Target="../media/image53.emf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6.xml"/><Relationship Id="rId28" Type="http://schemas.openxmlformats.org/officeDocument/2006/relationships/control" Target="../activeX/activeX71.xml"/><Relationship Id="rId10" Type="http://schemas.openxmlformats.org/officeDocument/2006/relationships/image" Target="../media/image55.emf"/><Relationship Id="rId19" Type="http://schemas.openxmlformats.org/officeDocument/2006/relationships/control" Target="../activeX/activeX63.xml"/><Relationship Id="rId31" Type="http://schemas.openxmlformats.org/officeDocument/2006/relationships/image" Target="../media/image60.emf"/><Relationship Id="rId4" Type="http://schemas.openxmlformats.org/officeDocument/2006/relationships/control" Target="../activeX/activeX53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5.xml"/><Relationship Id="rId27" Type="http://schemas.openxmlformats.org/officeDocument/2006/relationships/control" Target="../activeX/activeX70.xml"/><Relationship Id="rId30" Type="http://schemas.openxmlformats.org/officeDocument/2006/relationships/control" Target="../activeX/activeX7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6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9.emf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3.emf"/><Relationship Id="rId34" Type="http://schemas.openxmlformats.org/officeDocument/2006/relationships/control" Target="../activeX/activeX95.xml"/><Relationship Id="rId7" Type="http://schemas.openxmlformats.org/officeDocument/2006/relationships/image" Target="../media/image67.emf"/><Relationship Id="rId12" Type="http://schemas.openxmlformats.org/officeDocument/2006/relationships/control" Target="../activeX/activeX83.xml"/><Relationship Id="rId17" Type="http://schemas.openxmlformats.org/officeDocument/2006/relationships/image" Target="../media/image71.emf"/><Relationship Id="rId25" Type="http://schemas.openxmlformats.org/officeDocument/2006/relationships/image" Target="../media/image75.emf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image" Target="../media/image77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2.xml"/><Relationship Id="rId24" Type="http://schemas.openxmlformats.org/officeDocument/2006/relationships/control" Target="../activeX/activeX89.xml"/><Relationship Id="rId32" Type="http://schemas.openxmlformats.org/officeDocument/2006/relationships/control" Target="../activeX/activeX93.xml"/><Relationship Id="rId5" Type="http://schemas.openxmlformats.org/officeDocument/2006/relationships/image" Target="../media/image66.emf"/><Relationship Id="rId15" Type="http://schemas.openxmlformats.org/officeDocument/2006/relationships/image" Target="../media/image70.emf"/><Relationship Id="rId23" Type="http://schemas.openxmlformats.org/officeDocument/2006/relationships/image" Target="../media/image74.emf"/><Relationship Id="rId28" Type="http://schemas.openxmlformats.org/officeDocument/2006/relationships/control" Target="../activeX/activeX91.xml"/><Relationship Id="rId10" Type="http://schemas.openxmlformats.org/officeDocument/2006/relationships/control" Target="../activeX/activeX81.xml"/><Relationship Id="rId19" Type="http://schemas.openxmlformats.org/officeDocument/2006/relationships/image" Target="../media/image72.emf"/><Relationship Id="rId31" Type="http://schemas.openxmlformats.org/officeDocument/2006/relationships/image" Target="../media/image78.emf"/><Relationship Id="rId4" Type="http://schemas.openxmlformats.org/officeDocument/2006/relationships/control" Target="../activeX/activeX78.xml"/><Relationship Id="rId9" Type="http://schemas.openxmlformats.org/officeDocument/2006/relationships/image" Target="../media/image68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image" Target="../media/image76.emf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79.emf"/><Relationship Id="rId4" Type="http://schemas.openxmlformats.org/officeDocument/2006/relationships/control" Target="../activeX/activeX96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6" max="6" width="32.5703125" customWidth="1"/>
  </cols>
  <sheetData>
    <row r="1" spans="2:6" ht="30" customHeight="1" x14ac:dyDescent="0.25">
      <c r="C1" s="11"/>
    </row>
    <row r="2" spans="2:6" ht="30" customHeight="1" x14ac:dyDescent="0.25">
      <c r="B2" s="14" t="s">
        <v>53</v>
      </c>
      <c r="C2" s="18"/>
    </row>
    <row r="3" spans="2:6" ht="30" customHeight="1" x14ac:dyDescent="0.25">
      <c r="B3" s="14" t="s">
        <v>53</v>
      </c>
      <c r="C3" s="18"/>
    </row>
    <row r="4" spans="2:6" ht="30" customHeight="1" x14ac:dyDescent="0.25">
      <c r="B4" s="14" t="s">
        <v>238</v>
      </c>
      <c r="C4" s="17"/>
      <c r="F4" s="54"/>
    </row>
    <row r="5" spans="2:6" ht="30" customHeight="1" x14ac:dyDescent="0.25">
      <c r="B5" s="14" t="s">
        <v>54</v>
      </c>
      <c r="C5" s="17"/>
      <c r="F5" s="57"/>
    </row>
    <row r="6" spans="2:6" ht="30" customHeight="1" x14ac:dyDescent="0.25">
      <c r="B6" s="14" t="s">
        <v>55</v>
      </c>
      <c r="C6" s="17"/>
    </row>
    <row r="7" spans="2:6" ht="30" customHeight="1" x14ac:dyDescent="0.25">
      <c r="B7" s="14" t="s">
        <v>56</v>
      </c>
      <c r="C7" s="17"/>
    </row>
    <row r="8" spans="2:6" ht="30" customHeight="1" x14ac:dyDescent="0.25">
      <c r="B8" s="14" t="s">
        <v>57</v>
      </c>
      <c r="C8" s="17"/>
    </row>
    <row r="9" spans="2:6" ht="30" customHeight="1" x14ac:dyDescent="0.25">
      <c r="B9" s="14" t="s">
        <v>58</v>
      </c>
      <c r="C9" s="17"/>
    </row>
    <row r="10" spans="2:6" ht="30" customHeight="1" x14ac:dyDescent="0.25">
      <c r="B10" s="14" t="s">
        <v>59</v>
      </c>
      <c r="C10" s="17"/>
    </row>
    <row r="11" spans="2:6" ht="30" customHeight="1" x14ac:dyDescent="0.25">
      <c r="B11" s="14" t="s">
        <v>203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33</v>
      </c>
      <c r="B3" s="18">
        <v>28</v>
      </c>
    </row>
    <row r="4" spans="1:4" ht="30" customHeight="1" x14ac:dyDescent="0.25">
      <c r="A4" s="6" t="s">
        <v>34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32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197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40</v>
      </c>
      <c r="B2" s="15"/>
    </row>
    <row r="3" spans="1:7" ht="30" customHeight="1" x14ac:dyDescent="0.25">
      <c r="A3" s="6" t="s">
        <v>51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52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32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49</v>
      </c>
      <c r="B12" s="20"/>
    </row>
    <row r="13" spans="1:7" ht="30" customHeight="1" x14ac:dyDescent="0.25">
      <c r="A13" s="6" t="s">
        <v>50</v>
      </c>
      <c r="B13" s="17"/>
    </row>
    <row r="14" spans="1:7" ht="30" customHeight="1" x14ac:dyDescent="0.25">
      <c r="A14" s="6" t="s">
        <v>31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3"/>
  <sheetViews>
    <sheetView showGridLines="0" tabSelected="1" workbookViewId="0">
      <selection activeCell="A10" sqref="A10:B13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35</v>
      </c>
      <c r="B3" s="18">
        <v>28</v>
      </c>
      <c r="D3" s="57"/>
    </row>
    <row r="4" spans="1:4" ht="30" customHeight="1" x14ac:dyDescent="0.25">
      <c r="A4" s="6" t="s">
        <v>202</v>
      </c>
      <c r="B4" s="16"/>
    </row>
    <row r="5" spans="1:4" ht="30" customHeight="1" x14ac:dyDescent="0.25">
      <c r="A5" s="6" t="s">
        <v>36</v>
      </c>
      <c r="B5" s="17"/>
    </row>
    <row r="6" spans="1:4" ht="30" customHeight="1" x14ac:dyDescent="0.25">
      <c r="A6" s="6" t="s">
        <v>37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29</v>
      </c>
      <c r="B10" s="11" t="s">
        <v>245</v>
      </c>
    </row>
    <row r="11" spans="1:4" ht="30" customHeight="1" x14ac:dyDescent="0.25">
      <c r="A11" s="6" t="s">
        <v>244</v>
      </c>
      <c r="B11" s="11" t="s">
        <v>245</v>
      </c>
    </row>
    <row r="12" spans="1:4" ht="30" customHeight="1" x14ac:dyDescent="0.25">
      <c r="A12" s="6" t="s">
        <v>240</v>
      </c>
      <c r="B12" s="11" t="s">
        <v>242</v>
      </c>
    </row>
    <row r="13" spans="1:4" ht="30" customHeight="1" x14ac:dyDescent="0.25">
      <c r="A13" s="6" t="s">
        <v>241</v>
      </c>
      <c r="B13" s="11" t="s">
        <v>243</v>
      </c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41</v>
      </c>
      <c r="B3" s="18"/>
      <c r="D3" s="57"/>
    </row>
    <row r="4" spans="1:4" ht="30" customHeight="1" x14ac:dyDescent="0.25">
      <c r="A4" s="6" t="s">
        <v>42</v>
      </c>
      <c r="B4" s="16"/>
    </row>
    <row r="5" spans="1:4" ht="30" customHeight="1" x14ac:dyDescent="0.25">
      <c r="A5" s="6" t="s">
        <v>36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5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38</v>
      </c>
      <c r="B2" s="15"/>
    </row>
    <row r="3" spans="1:2" ht="30" customHeight="1" x14ac:dyDescent="0.25">
      <c r="A3" s="7" t="s">
        <v>39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40</v>
      </c>
      <c r="B2" s="15"/>
    </row>
    <row r="3" spans="1:5" ht="30" customHeight="1" x14ac:dyDescent="0.25">
      <c r="A3" s="4" t="s">
        <v>43</v>
      </c>
      <c r="B3" s="18">
        <v>28</v>
      </c>
      <c r="E3" s="57"/>
    </row>
    <row r="4" spans="1:5" ht="30" customHeight="1" x14ac:dyDescent="0.25">
      <c r="A4" s="7" t="s">
        <v>44</v>
      </c>
      <c r="B4" s="16"/>
    </row>
    <row r="5" spans="1:5" ht="30" customHeight="1" x14ac:dyDescent="0.25">
      <c r="A5" s="6" t="s">
        <v>45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46</v>
      </c>
      <c r="B7" s="17"/>
    </row>
    <row r="8" spans="1:5" ht="30" customHeight="1" x14ac:dyDescent="0.25">
      <c r="A8" s="6" t="s">
        <v>47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48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7"/>
  <sheetViews>
    <sheetView showGridLines="0" workbookViewId="0">
      <selection activeCell="J6" sqref="J6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207</v>
      </c>
      <c r="H4" s="66"/>
    </row>
    <row r="5" spans="2:13" ht="18" customHeight="1" x14ac:dyDescent="0.25">
      <c r="B5" s="6" t="s">
        <v>211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239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212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247</v>
      </c>
      <c r="C13" s="76"/>
    </row>
    <row r="14" spans="2:13" ht="18" customHeight="1" x14ac:dyDescent="0.25">
      <c r="B14" s="6" t="s">
        <v>248</v>
      </c>
      <c r="C14" s="75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4"/>
    </row>
    <row r="17" spans="2:4" ht="18" customHeight="1" x14ac:dyDescent="0.25">
      <c r="B17" s="6" t="s">
        <v>22</v>
      </c>
      <c r="C17" s="75"/>
    </row>
    <row r="18" spans="2:4" ht="18" customHeight="1" x14ac:dyDescent="0.25">
      <c r="B18" s="6" t="s">
        <v>23</v>
      </c>
      <c r="C18" s="75"/>
    </row>
    <row r="19" spans="2:4" ht="18" customHeight="1" x14ac:dyDescent="0.25">
      <c r="B19" s="6" t="s">
        <v>24</v>
      </c>
      <c r="C19" s="2"/>
    </row>
    <row r="20" spans="2:4" ht="18" customHeight="1" x14ac:dyDescent="0.25">
      <c r="C20" s="2"/>
    </row>
    <row r="21" spans="2:4" ht="18" customHeight="1" x14ac:dyDescent="0.25">
      <c r="B21" s="6" t="s">
        <v>25</v>
      </c>
      <c r="C21" s="74"/>
    </row>
    <row r="22" spans="2:4" ht="18" customHeight="1" x14ac:dyDescent="0.25">
      <c r="B22" s="6" t="s">
        <v>26</v>
      </c>
      <c r="C22" s="75"/>
    </row>
    <row r="23" spans="2:4" ht="18" customHeight="1" x14ac:dyDescent="0.25">
      <c r="B23" s="6" t="s">
        <v>27</v>
      </c>
      <c r="C23" s="75"/>
    </row>
    <row r="24" spans="2:4" ht="18" customHeight="1" x14ac:dyDescent="0.25">
      <c r="B24" s="6" t="s">
        <v>28</v>
      </c>
      <c r="C24" s="2"/>
    </row>
    <row r="25" spans="2:4" ht="18" customHeight="1" x14ac:dyDescent="0.25">
      <c r="B25" s="6" t="s">
        <v>8</v>
      </c>
      <c r="C25" s="2"/>
    </row>
    <row r="26" spans="2:4" ht="18" customHeight="1" x14ac:dyDescent="0.25">
      <c r="B26" s="77" t="s">
        <v>29</v>
      </c>
      <c r="C26" s="78"/>
      <c r="D26" t="s">
        <v>246</v>
      </c>
    </row>
    <row r="27" spans="2:4" ht="18" customHeight="1" x14ac:dyDescent="0.25">
      <c r="B27" s="77" t="s">
        <v>30</v>
      </c>
      <c r="C27" s="79"/>
      <c r="D27" t="s">
        <v>246</v>
      </c>
    </row>
  </sheetData>
  <protectedRanges>
    <protectedRange sqref="C3:C28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4" r:id="rId4" name="CheckBox1">
          <controlPr autoLine="0" r:id="rId5">
            <anchor moveWithCells="1">
              <from>
                <xdr:col>2</xdr:col>
                <xdr:colOff>76200</xdr:colOff>
                <xdr:row>26</xdr:row>
                <xdr:rowOff>28575</xdr:rowOff>
              </from>
              <to>
                <xdr:col>2</xdr:col>
                <xdr:colOff>200025</xdr:colOff>
                <xdr:row>26</xdr:row>
                <xdr:rowOff>209550</xdr:rowOff>
              </to>
            </anchor>
          </controlPr>
        </control>
      </mc:Choice>
      <mc:Fallback>
        <control shapeId="21534" r:id="rId4" name="CheckBox1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21" r:id="rId8" name="chkFirstCleaning">
          <controlPr autoLine="0" autoPict="0" r:id="rId5">
            <anchor moveWithCells="1">
              <from>
                <xdr:col>2</xdr:col>
                <xdr:colOff>76200</xdr:colOff>
                <xdr:row>25</xdr:row>
                <xdr:rowOff>28575</xdr:rowOff>
              </from>
              <to>
                <xdr:col>2</xdr:col>
                <xdr:colOff>200025</xdr:colOff>
                <xdr:row>25</xdr:row>
                <xdr:rowOff>209550</xdr:rowOff>
              </to>
            </anchor>
          </controlPr>
        </control>
      </mc:Choice>
      <mc:Fallback>
        <control shapeId="21521" r:id="rId8" name="chkFirstCleaning"/>
      </mc:Fallback>
    </mc:AlternateContent>
    <mc:AlternateContent xmlns:mc="http://schemas.openxmlformats.org/markup-compatibility/2006">
      <mc:Choice Requires="x14">
        <control shapeId="21518" r:id="rId9" name="cmdSave">
          <controlPr defaultSize="0" autoFill="0" autoLine="0" r:id="rId10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9" name="cmdSave"/>
      </mc:Fallback>
    </mc:AlternateContent>
    <mc:AlternateContent xmlns:mc="http://schemas.openxmlformats.org/markup-compatibility/2006">
      <mc:Choice Requires="x14">
        <control shapeId="21510" r:id="rId11" name="chkEngineFail">
          <controlPr autoLine="0" autoPict="0" r:id="rId12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1" name="chkEngineFail"/>
      </mc:Fallback>
    </mc:AlternateContent>
    <mc:AlternateContent xmlns:mc="http://schemas.openxmlformats.org/markup-compatibility/2006">
      <mc:Choice Requires="x14">
        <control shapeId="21509" r:id="rId13" name="chkHighSootLoad">
          <controlPr autoLine="0" autoPict="0" r:id="rId12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3" name="chkHighSootLoad"/>
      </mc:Fallback>
    </mc:AlternateContent>
    <mc:AlternateContent xmlns:mc="http://schemas.openxmlformats.org/markup-compatibility/2006">
      <mc:Choice Requires="x14">
        <control shapeId="21508" r:id="rId14" name="chkPreventMaint">
          <controlPr autoLine="0" autoPict="0" r:id="rId12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4" name="chkPreventMaint"/>
      </mc:Fallback>
    </mc:AlternateContent>
    <mc:AlternateContent xmlns:mc="http://schemas.openxmlformats.org/markup-compatibility/2006">
      <mc:Choice Requires="x14">
        <control shapeId="21507" r:id="rId15" name="chkHighIdle">
          <controlPr autoLine="0" autoPict="0" r:id="rId12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5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autoPict="0" r:id="rId12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autoPict="0" r:id="rId18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r:id="rId20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9525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285750</xdr:colOff>
                <xdr:row>5</xdr:row>
                <xdr:rowOff>19050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0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285750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0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285750</xdr:colOff>
                <xdr:row>7</xdr:row>
                <xdr:rowOff>9525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0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285750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2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285750</xdr:colOff>
                <xdr:row>11</xdr:row>
                <xdr:rowOff>19050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0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285750</xdr:colOff>
                <xdr:row>12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7" name="cbDrivingType">
          <controlPr defaultSize="0" autoFill="0" autoLine="0" r:id="rId20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285750</xdr:colOff>
                <xdr:row>19</xdr:row>
                <xdr:rowOff>19050</xdr:rowOff>
              </to>
            </anchor>
          </controlPr>
        </control>
      </mc:Choice>
      <mc:Fallback>
        <control shapeId="21529" r:id="rId27" name="cbDrivingType"/>
      </mc:Fallback>
    </mc:AlternateContent>
    <mc:AlternateContent xmlns:mc="http://schemas.openxmlformats.org/markup-compatibility/2006">
      <mc:Choice Requires="x14">
        <control shapeId="21530" r:id="rId28" name="cbCleaningReason">
          <controlPr defaultSize="0" autoFill="0" autoLine="0" autoPict="0" r:id="rId2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5</xdr:col>
                <xdr:colOff>581025</xdr:colOff>
                <xdr:row>24</xdr:row>
                <xdr:rowOff>9525</xdr:rowOff>
              </to>
            </anchor>
          </controlPr>
        </control>
      </mc:Choice>
      <mc:Fallback>
        <control shapeId="21530" r:id="rId28" name="cbCleaningReason"/>
      </mc:Fallback>
    </mc:AlternateContent>
    <mc:AlternateContent xmlns:mc="http://schemas.openxmlformats.org/markup-compatibility/2006">
      <mc:Choice Requires="x14">
        <control shapeId="21532" r:id="rId30" name="cbBillingCompany">
          <controlPr defaultSize="0" autoFill="0" autoLine="0" r:id="rId31">
            <anchor moveWithCells="1">
              <from>
                <xdr:col>2</xdr:col>
                <xdr:colOff>28575</xdr:colOff>
                <xdr:row>3</xdr:row>
                <xdr:rowOff>19050</xdr:rowOff>
              </from>
              <to>
                <xdr:col>6</xdr:col>
                <xdr:colOff>295275</xdr:colOff>
                <xdr:row>4</xdr:row>
                <xdr:rowOff>28575</xdr:rowOff>
              </to>
            </anchor>
          </controlPr>
        </control>
      </mc:Choice>
      <mc:Fallback>
        <control shapeId="21532" r:id="rId30" name="cbBillingCompany"/>
      </mc:Fallback>
    </mc:AlternateContent>
    <mc:AlternateContent xmlns:mc="http://schemas.openxmlformats.org/markup-compatibility/2006">
      <mc:Choice Requires="x14">
        <control shapeId="21533" r:id="rId32" name="cbSalesID">
          <controlPr defaultSize="0" autoFill="0" autoLine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285750</xdr:colOff>
                <xdr:row>3</xdr:row>
                <xdr:rowOff>9525</xdr:rowOff>
              </to>
            </anchor>
          </controlPr>
        </control>
      </mc:Choice>
      <mc:Fallback>
        <control shapeId="21533" r:id="rId32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111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189</v>
      </c>
      <c r="AF1" t="s">
        <v>190</v>
      </c>
      <c r="AG1" t="s">
        <v>191</v>
      </c>
      <c r="AH1" t="s">
        <v>192</v>
      </c>
      <c r="AI1" t="s">
        <v>193</v>
      </c>
      <c r="AJ1" t="s">
        <v>194</v>
      </c>
      <c r="AK1" t="s">
        <v>111</v>
      </c>
      <c r="AL1" t="s">
        <v>197</v>
      </c>
      <c r="AM1" t="s">
        <v>198</v>
      </c>
      <c r="AN1" t="s">
        <v>112</v>
      </c>
      <c r="AO1" t="s">
        <v>113</v>
      </c>
      <c r="AP1" t="s">
        <v>114</v>
      </c>
      <c r="AQ1" t="s">
        <v>199</v>
      </c>
      <c r="AR1" t="s">
        <v>115</v>
      </c>
      <c r="AS1" t="s">
        <v>116</v>
      </c>
      <c r="AT1" t="s">
        <v>117</v>
      </c>
      <c r="AU1" t="s">
        <v>200</v>
      </c>
      <c r="AV1" t="s">
        <v>118</v>
      </c>
      <c r="AW1" t="s">
        <v>119</v>
      </c>
      <c r="AX1" t="s">
        <v>120</v>
      </c>
      <c r="AY1" t="s">
        <v>216</v>
      </c>
      <c r="AZ1" t="s">
        <v>213</v>
      </c>
      <c r="BA1" t="s">
        <v>123</v>
      </c>
      <c r="BB1" t="s">
        <v>124</v>
      </c>
      <c r="BC1" t="s">
        <v>125</v>
      </c>
      <c r="BD1" t="s">
        <v>126</v>
      </c>
      <c r="BE1" t="s">
        <v>214</v>
      </c>
      <c r="BF1" t="s">
        <v>215</v>
      </c>
      <c r="BG1" t="s">
        <v>122</v>
      </c>
      <c r="BH1" t="s">
        <v>128</v>
      </c>
      <c r="BI1" t="s">
        <v>32</v>
      </c>
      <c r="BJ1" t="s">
        <v>2</v>
      </c>
      <c r="BK1" t="s">
        <v>4</v>
      </c>
      <c r="BL1" t="s">
        <v>127</v>
      </c>
      <c r="BM1" t="s">
        <v>3</v>
      </c>
      <c r="BN1" t="s">
        <v>33</v>
      </c>
      <c r="BO1" t="s">
        <v>128</v>
      </c>
      <c r="BP1" t="s">
        <v>32</v>
      </c>
      <c r="BQ1" t="s">
        <v>2</v>
      </c>
      <c r="BR1" t="s">
        <v>4</v>
      </c>
      <c r="BS1" t="s">
        <v>127</v>
      </c>
      <c r="BT1" t="s">
        <v>3</v>
      </c>
      <c r="BU1" t="s">
        <v>129</v>
      </c>
      <c r="BV1" t="s">
        <v>121</v>
      </c>
      <c r="BW1" t="s">
        <v>130</v>
      </c>
      <c r="BX1" t="s">
        <v>131</v>
      </c>
      <c r="BY1" t="s">
        <v>16</v>
      </c>
      <c r="BZ1" t="s">
        <v>11</v>
      </c>
      <c r="CA1" t="s">
        <v>12</v>
      </c>
      <c r="CB1" t="s">
        <v>121</v>
      </c>
      <c r="CC1" t="s">
        <v>16</v>
      </c>
      <c r="CD1" t="s">
        <v>130</v>
      </c>
      <c r="CE1" t="s">
        <v>11</v>
      </c>
      <c r="CF1" t="s">
        <v>12</v>
      </c>
      <c r="CG1" t="s">
        <v>132</v>
      </c>
      <c r="CH1" t="s">
        <v>133</v>
      </c>
      <c r="CI1" t="s">
        <v>134</v>
      </c>
      <c r="CJ1" t="s">
        <v>135</v>
      </c>
      <c r="CK1" t="s">
        <v>16</v>
      </c>
      <c r="CL1" t="s">
        <v>136</v>
      </c>
      <c r="CM1" t="s">
        <v>137</v>
      </c>
      <c r="CN1" t="s">
        <v>138</v>
      </c>
      <c r="CO1" t="s">
        <v>139</v>
      </c>
      <c r="CP1" t="s">
        <v>130</v>
      </c>
      <c r="CQ1" t="s">
        <v>140</v>
      </c>
      <c r="CR1" t="s">
        <v>141</v>
      </c>
      <c r="CS1" t="s">
        <v>142</v>
      </c>
      <c r="CT1" t="s">
        <v>143</v>
      </c>
      <c r="CU1" t="s">
        <v>144</v>
      </c>
      <c r="CV1" t="s">
        <v>149</v>
      </c>
      <c r="CW1" t="s">
        <v>150</v>
      </c>
      <c r="CX1" t="s">
        <v>151</v>
      </c>
      <c r="CY1" t="s">
        <v>152</v>
      </c>
      <c r="CZ1" t="s">
        <v>224</v>
      </c>
      <c r="DA1" t="s">
        <v>153</v>
      </c>
      <c r="DB1" t="s">
        <v>154</v>
      </c>
      <c r="DC1" t="s">
        <v>155</v>
      </c>
      <c r="DD1" t="s">
        <v>156</v>
      </c>
      <c r="DE1" t="s">
        <v>225</v>
      </c>
      <c r="DF1" t="s">
        <v>226</v>
      </c>
      <c r="DG1" t="s">
        <v>227</v>
      </c>
      <c r="DH1" t="s">
        <v>228</v>
      </c>
      <c r="DI1" t="s">
        <v>157</v>
      </c>
      <c r="DJ1" t="s">
        <v>158</v>
      </c>
      <c r="DK1" t="s">
        <v>159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229</v>
      </c>
      <c r="AM2" t="s">
        <v>201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230</v>
      </c>
      <c r="BA2" t="s">
        <v>231</v>
      </c>
      <c r="BC2" t="s">
        <v>232</v>
      </c>
      <c r="BD2" t="s">
        <v>233</v>
      </c>
      <c r="BE2">
        <v>2</v>
      </c>
      <c r="BF2" t="s">
        <v>145</v>
      </c>
      <c r="BG2" t="s">
        <v>230</v>
      </c>
      <c r="BH2" t="s">
        <v>231</v>
      </c>
      <c r="BJ2" t="s">
        <v>232</v>
      </c>
      <c r="BK2" t="s">
        <v>233</v>
      </c>
      <c r="BL2">
        <v>2</v>
      </c>
      <c r="BM2" t="s">
        <v>145</v>
      </c>
      <c r="BN2" t="s">
        <v>231</v>
      </c>
      <c r="BO2" t="s">
        <v>231</v>
      </c>
      <c r="BP2" t="s">
        <v>222</v>
      </c>
      <c r="BQ2" t="s">
        <v>232</v>
      </c>
      <c r="BR2" t="s">
        <v>233</v>
      </c>
      <c r="BS2">
        <v>2</v>
      </c>
      <c r="BT2" t="s">
        <v>145</v>
      </c>
      <c r="BU2">
        <v>1</v>
      </c>
      <c r="BV2">
        <v>20</v>
      </c>
      <c r="BW2" t="s">
        <v>208</v>
      </c>
      <c r="BX2" t="s">
        <v>209</v>
      </c>
      <c r="BY2" t="s">
        <v>147</v>
      </c>
      <c r="BZ2" t="s">
        <v>210</v>
      </c>
      <c r="CA2">
        <v>2014</v>
      </c>
      <c r="CB2">
        <v>9</v>
      </c>
      <c r="CC2" t="s">
        <v>234</v>
      </c>
      <c r="CD2" t="s">
        <v>235</v>
      </c>
      <c r="CE2" t="s">
        <v>235</v>
      </c>
      <c r="CF2">
        <v>1234</v>
      </c>
      <c r="CG2">
        <v>3</v>
      </c>
      <c r="CH2">
        <v>1</v>
      </c>
      <c r="CI2" t="s">
        <v>146</v>
      </c>
      <c r="CJ2">
        <v>1</v>
      </c>
      <c r="CK2" t="s">
        <v>147</v>
      </c>
      <c r="CL2">
        <v>1</v>
      </c>
      <c r="CM2" t="s">
        <v>148</v>
      </c>
      <c r="CN2">
        <v>0</v>
      </c>
      <c r="CO2" t="s">
        <v>236</v>
      </c>
      <c r="CP2" t="s">
        <v>237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229</v>
      </c>
      <c r="AM3" t="s">
        <v>201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230</v>
      </c>
      <c r="BA3" t="s">
        <v>231</v>
      </c>
      <c r="BC3" t="s">
        <v>232</v>
      </c>
      <c r="BD3" t="s">
        <v>233</v>
      </c>
      <c r="BE3">
        <v>2</v>
      </c>
      <c r="BF3" t="s">
        <v>145</v>
      </c>
      <c r="BG3" t="s">
        <v>230</v>
      </c>
      <c r="BH3" t="s">
        <v>231</v>
      </c>
      <c r="BJ3" t="s">
        <v>232</v>
      </c>
      <c r="BK3" t="s">
        <v>233</v>
      </c>
      <c r="BL3">
        <v>2</v>
      </c>
      <c r="BM3" t="s">
        <v>145</v>
      </c>
      <c r="BN3" t="s">
        <v>231</v>
      </c>
      <c r="BO3" t="s">
        <v>231</v>
      </c>
      <c r="BP3" t="s">
        <v>222</v>
      </c>
      <c r="BQ3" t="s">
        <v>232</v>
      </c>
      <c r="BR3" t="s">
        <v>233</v>
      </c>
      <c r="BS3">
        <v>2</v>
      </c>
      <c r="BT3" t="s">
        <v>145</v>
      </c>
      <c r="BU3">
        <v>1</v>
      </c>
      <c r="BV3">
        <v>20</v>
      </c>
      <c r="BW3" t="s">
        <v>208</v>
      </c>
      <c r="BX3" t="s">
        <v>209</v>
      </c>
      <c r="BY3" t="s">
        <v>147</v>
      </c>
      <c r="BZ3" t="s">
        <v>210</v>
      </c>
      <c r="CA3">
        <v>2014</v>
      </c>
      <c r="CB3">
        <v>9</v>
      </c>
      <c r="CC3" t="s">
        <v>234</v>
      </c>
      <c r="CD3" t="s">
        <v>235</v>
      </c>
      <c r="CE3" t="s">
        <v>235</v>
      </c>
      <c r="CF3">
        <v>1234</v>
      </c>
      <c r="CG3">
        <v>3</v>
      </c>
      <c r="CH3">
        <v>1</v>
      </c>
      <c r="CI3" t="s">
        <v>146</v>
      </c>
      <c r="CJ3">
        <v>1</v>
      </c>
      <c r="CK3" t="s">
        <v>147</v>
      </c>
      <c r="CL3">
        <v>1</v>
      </c>
      <c r="CM3" t="s">
        <v>148</v>
      </c>
      <c r="CN3">
        <v>0</v>
      </c>
      <c r="CO3" t="s">
        <v>236</v>
      </c>
      <c r="CP3" t="s">
        <v>237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229</v>
      </c>
      <c r="AM4" t="s">
        <v>201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230</v>
      </c>
      <c r="BA4" t="s">
        <v>231</v>
      </c>
      <c r="BC4" t="s">
        <v>232</v>
      </c>
      <c r="BD4" t="s">
        <v>233</v>
      </c>
      <c r="BE4">
        <v>2</v>
      </c>
      <c r="BF4" t="s">
        <v>145</v>
      </c>
      <c r="BG4" t="s">
        <v>230</v>
      </c>
      <c r="BH4" t="s">
        <v>231</v>
      </c>
      <c r="BJ4" t="s">
        <v>232</v>
      </c>
      <c r="BK4" t="s">
        <v>233</v>
      </c>
      <c r="BL4">
        <v>2</v>
      </c>
      <c r="BM4" t="s">
        <v>145</v>
      </c>
      <c r="BN4" t="s">
        <v>231</v>
      </c>
      <c r="BO4" t="s">
        <v>231</v>
      </c>
      <c r="BP4" t="s">
        <v>222</v>
      </c>
      <c r="BQ4" t="s">
        <v>232</v>
      </c>
      <c r="BR4" t="s">
        <v>233</v>
      </c>
      <c r="BS4">
        <v>2</v>
      </c>
      <c r="BT4" t="s">
        <v>145</v>
      </c>
      <c r="BU4">
        <v>1</v>
      </c>
      <c r="BV4">
        <v>20</v>
      </c>
      <c r="BW4" t="s">
        <v>208</v>
      </c>
      <c r="BX4" t="s">
        <v>209</v>
      </c>
      <c r="BY4" t="s">
        <v>147</v>
      </c>
      <c r="BZ4" t="s">
        <v>210</v>
      </c>
      <c r="CA4">
        <v>2014</v>
      </c>
      <c r="CB4">
        <v>9</v>
      </c>
      <c r="CC4" t="s">
        <v>234</v>
      </c>
      <c r="CD4" t="s">
        <v>235</v>
      </c>
      <c r="CE4" t="s">
        <v>235</v>
      </c>
      <c r="CF4">
        <v>1234</v>
      </c>
      <c r="CG4">
        <v>3</v>
      </c>
      <c r="CH4">
        <v>1</v>
      </c>
      <c r="CI4" t="s">
        <v>146</v>
      </c>
      <c r="CJ4">
        <v>1</v>
      </c>
      <c r="CK4" t="s">
        <v>147</v>
      </c>
      <c r="CL4">
        <v>1</v>
      </c>
      <c r="CM4" t="s">
        <v>148</v>
      </c>
      <c r="CN4">
        <v>0</v>
      </c>
      <c r="CO4" t="s">
        <v>236</v>
      </c>
      <c r="CP4" t="s">
        <v>237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110</v>
      </c>
    </row>
    <row r="3" spans="2:3" ht="18.75" x14ac:dyDescent="0.3">
      <c r="B3" s="1" t="s">
        <v>60</v>
      </c>
    </row>
    <row r="5" spans="2:3" ht="18.75" x14ac:dyDescent="0.3">
      <c r="B5" s="1" t="s">
        <v>223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60</v>
      </c>
      <c r="J2" s="23"/>
    </row>
    <row r="3" spans="1:10" ht="18" customHeight="1" x14ac:dyDescent="0.25">
      <c r="A3" s="60" t="s">
        <v>43</v>
      </c>
      <c r="B3" s="63"/>
      <c r="E3" s="60"/>
      <c r="F3" s="60"/>
      <c r="H3" s="13" t="s">
        <v>195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77</v>
      </c>
    </row>
    <row r="6" spans="1:10" ht="18" customHeight="1" x14ac:dyDescent="0.25">
      <c r="A6" s="60" t="s">
        <v>221</v>
      </c>
      <c r="E6" s="2"/>
      <c r="F6" s="61"/>
      <c r="H6" s="13" t="s">
        <v>196</v>
      </c>
      <c r="I6" s="23"/>
      <c r="J6" s="23"/>
    </row>
    <row r="7" spans="1:10" ht="18" customHeight="1" x14ac:dyDescent="0.25">
      <c r="B7" s="2" t="s">
        <v>61</v>
      </c>
      <c r="C7" s="2" t="s">
        <v>62</v>
      </c>
      <c r="D7" s="2" t="s">
        <v>62</v>
      </c>
      <c r="E7" s="61"/>
      <c r="F7" s="61"/>
      <c r="H7" s="13"/>
      <c r="I7" s="23"/>
      <c r="J7" s="23"/>
    </row>
    <row r="8" spans="1:10" ht="18" customHeight="1" x14ac:dyDescent="0.25">
      <c r="B8" s="2" t="s">
        <v>63</v>
      </c>
      <c r="C8" s="2" t="s">
        <v>64</v>
      </c>
      <c r="D8" s="2" t="s">
        <v>65</v>
      </c>
      <c r="E8" s="61"/>
      <c r="F8" s="61"/>
      <c r="H8" s="13" t="s">
        <v>83</v>
      </c>
      <c r="I8" s="23"/>
      <c r="J8" s="23"/>
    </row>
    <row r="9" spans="1:10" ht="18" customHeight="1" x14ac:dyDescent="0.25">
      <c r="A9" s="13" t="s">
        <v>66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78</v>
      </c>
      <c r="J10" s="23"/>
    </row>
    <row r="11" spans="1:10" ht="18" customHeight="1" x14ac:dyDescent="0.25">
      <c r="A11" s="59" t="s">
        <v>67</v>
      </c>
      <c r="B11" s="65"/>
      <c r="C11" s="61"/>
      <c r="D11" s="61"/>
      <c r="E11" s="61"/>
      <c r="F11" s="61"/>
      <c r="G11" s="61"/>
      <c r="H11" s="13" t="s">
        <v>79</v>
      </c>
    </row>
    <row r="12" spans="1:10" ht="18" customHeight="1" x14ac:dyDescent="0.25">
      <c r="A12" s="59" t="s">
        <v>68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82</v>
      </c>
      <c r="I13" s="65"/>
    </row>
    <row r="14" spans="1:10" ht="18" customHeight="1" x14ac:dyDescent="0.25">
      <c r="A14" s="13" t="s">
        <v>69</v>
      </c>
      <c r="B14" s="25" t="s">
        <v>70</v>
      </c>
      <c r="C14" s="25" t="s">
        <v>71</v>
      </c>
      <c r="D14" s="62"/>
      <c r="E14" s="25"/>
      <c r="F14" s="25"/>
      <c r="G14" s="62"/>
      <c r="H14" s="13" t="s">
        <v>80</v>
      </c>
      <c r="I14" s="65"/>
    </row>
    <row r="15" spans="1:10" ht="18" customHeight="1" x14ac:dyDescent="0.25">
      <c r="A15" s="58" t="s">
        <v>72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73</v>
      </c>
      <c r="B16" s="65"/>
      <c r="C16" s="65"/>
      <c r="D16" s="25"/>
      <c r="E16" s="25"/>
      <c r="F16" s="25"/>
      <c r="G16" s="62" t="s">
        <v>217</v>
      </c>
      <c r="I16" s="42"/>
    </row>
    <row r="17" spans="1:9" ht="18" customHeight="1" x14ac:dyDescent="0.25">
      <c r="A17" s="58" t="s">
        <v>74</v>
      </c>
      <c r="B17" s="65"/>
      <c r="C17" s="65"/>
      <c r="D17" s="25"/>
      <c r="E17" s="25"/>
      <c r="F17" s="25"/>
      <c r="G17" s="62"/>
      <c r="H17" s="13" t="s">
        <v>218</v>
      </c>
      <c r="I17" s="65"/>
    </row>
    <row r="18" spans="1:9" ht="18" customHeight="1" x14ac:dyDescent="0.25">
      <c r="A18" s="58" t="s">
        <v>75</v>
      </c>
      <c r="B18" s="65"/>
      <c r="C18" s="65"/>
      <c r="D18" s="25"/>
      <c r="G18" s="62"/>
      <c r="H18" s="13" t="s">
        <v>219</v>
      </c>
      <c r="I18" s="65"/>
    </row>
    <row r="19" spans="1:9" ht="18" customHeight="1" x14ac:dyDescent="0.25">
      <c r="A19" s="58" t="s">
        <v>76</v>
      </c>
      <c r="B19" s="65"/>
      <c r="C19" s="65"/>
      <c r="H19" s="13" t="s">
        <v>220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81</v>
      </c>
    </row>
    <row r="3" spans="2:9" ht="18.75" x14ac:dyDescent="0.3">
      <c r="B3" s="1" t="s">
        <v>60</v>
      </c>
    </row>
    <row r="4" spans="2:9" ht="18.75" x14ac:dyDescent="0.3">
      <c r="G4" s="66"/>
    </row>
    <row r="5" spans="2:9" x14ac:dyDescent="0.25">
      <c r="B5" s="4" t="s">
        <v>148</v>
      </c>
      <c r="C5" s="46" t="s">
        <v>206</v>
      </c>
    </row>
    <row r="6" spans="2:9" x14ac:dyDescent="0.25">
      <c r="B6" s="6" t="s">
        <v>18</v>
      </c>
      <c r="C6" s="46">
        <v>12</v>
      </c>
    </row>
    <row r="7" spans="2:9" x14ac:dyDescent="0.25">
      <c r="B7" s="6" t="s">
        <v>20</v>
      </c>
      <c r="C7" s="46">
        <v>12</v>
      </c>
    </row>
    <row r="8" spans="2:9" x14ac:dyDescent="0.25">
      <c r="B8" s="42" t="s">
        <v>204</v>
      </c>
      <c r="C8" s="46">
        <f>(3.14*(SubDiameter/2)^2)*(SubLength)*(1/12)^3</f>
        <v>0.78499999999999992</v>
      </c>
      <c r="D8" s="47"/>
      <c r="G8" t="s">
        <v>104</v>
      </c>
      <c r="H8" s="26"/>
      <c r="I8" s="42" t="s">
        <v>105</v>
      </c>
    </row>
    <row r="9" spans="2:9" x14ac:dyDescent="0.25">
      <c r="B9" s="42" t="s">
        <v>205</v>
      </c>
      <c r="C9" s="46">
        <f>Volume*28.317</f>
        <v>22.228844999999996</v>
      </c>
      <c r="D9" s="47"/>
      <c r="G9" t="s">
        <v>108</v>
      </c>
      <c r="H9" s="26"/>
      <c r="I9" t="s">
        <v>107</v>
      </c>
    </row>
    <row r="10" spans="2:9" x14ac:dyDescent="0.25">
      <c r="C10" s="2"/>
      <c r="G10" t="s">
        <v>106</v>
      </c>
      <c r="H10" s="46">
        <f>(Volume*MaxSpaceVelocity)*(1/60)*(61.7)/(2350*0.395)</f>
        <v>0</v>
      </c>
      <c r="I10" t="s">
        <v>107</v>
      </c>
    </row>
    <row r="11" spans="2:9" x14ac:dyDescent="0.25">
      <c r="G11" t="s">
        <v>109</v>
      </c>
      <c r="H11" s="73">
        <f>IF(H10&gt;MaxHertz,"60",H10)</f>
        <v>0</v>
      </c>
      <c r="I11" t="s">
        <v>107</v>
      </c>
    </row>
    <row r="13" spans="2:9" x14ac:dyDescent="0.25">
      <c r="B13" s="29" t="s">
        <v>84</v>
      </c>
      <c r="D13" s="24"/>
      <c r="E13" t="s">
        <v>85</v>
      </c>
    </row>
    <row r="14" spans="2:9" x14ac:dyDescent="0.25">
      <c r="B14" s="29" t="s">
        <v>86</v>
      </c>
      <c r="D14" s="24"/>
      <c r="E14" t="s">
        <v>87</v>
      </c>
    </row>
    <row r="15" spans="2:9" x14ac:dyDescent="0.25">
      <c r="B15" s="29" t="s">
        <v>88</v>
      </c>
      <c r="D15" s="26"/>
    </row>
    <row r="16" spans="2:9" x14ac:dyDescent="0.25">
      <c r="B16" s="30" t="s">
        <v>89</v>
      </c>
      <c r="C16" s="31" t="s">
        <v>90</v>
      </c>
      <c r="D16" s="31" t="s">
        <v>91</v>
      </c>
      <c r="E16" s="31" t="s">
        <v>92</v>
      </c>
      <c r="G16" s="32" t="s">
        <v>93</v>
      </c>
      <c r="H16" s="31"/>
      <c r="I16" s="31"/>
    </row>
    <row r="17" spans="2:9" x14ac:dyDescent="0.25">
      <c r="B17" s="33" t="s">
        <v>94</v>
      </c>
      <c r="C17" s="33" t="s">
        <v>95</v>
      </c>
      <c r="D17" s="33" t="s">
        <v>96</v>
      </c>
      <c r="E17" s="33" t="s">
        <v>95</v>
      </c>
      <c r="F17" s="33" t="s">
        <v>97</v>
      </c>
      <c r="G17" s="32" t="s">
        <v>98</v>
      </c>
      <c r="H17" s="31" t="s">
        <v>95</v>
      </c>
      <c r="I17" s="31" t="s">
        <v>99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25">
      <c r="G29" s="10" t="s">
        <v>100</v>
      </c>
    </row>
    <row r="30" spans="2:9" x14ac:dyDescent="0.25">
      <c r="C30" s="39"/>
      <c r="G30" s="10" t="s">
        <v>101</v>
      </c>
      <c r="H30" s="41"/>
    </row>
    <row r="31" spans="2:9" x14ac:dyDescent="0.25">
      <c r="B31" s="33"/>
      <c r="C31" s="33"/>
      <c r="D31" s="33"/>
      <c r="E31" s="33"/>
      <c r="F31" s="33"/>
      <c r="G31" s="10" t="s">
        <v>102</v>
      </c>
      <c r="H31" s="41"/>
    </row>
    <row r="32" spans="2:9" x14ac:dyDescent="0.25">
      <c r="B32" s="40"/>
      <c r="C32" s="40"/>
      <c r="D32" s="40"/>
      <c r="E32" s="40"/>
      <c r="F32" s="40"/>
      <c r="G32" s="10" t="s">
        <v>103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84</v>
      </c>
      <c r="D36" s="24"/>
      <c r="E36" t="s">
        <v>85</v>
      </c>
    </row>
    <row r="37" spans="2:9" x14ac:dyDescent="0.25">
      <c r="B37" s="29" t="s">
        <v>86</v>
      </c>
      <c r="D37" s="24"/>
      <c r="E37" t="s">
        <v>87</v>
      </c>
      <c r="I37" s="39"/>
    </row>
    <row r="38" spans="2:9" x14ac:dyDescent="0.25">
      <c r="B38" s="29" t="s">
        <v>88</v>
      </c>
      <c r="D38" s="26"/>
    </row>
    <row r="39" spans="2:9" x14ac:dyDescent="0.25">
      <c r="B39" s="30" t="s">
        <v>89</v>
      </c>
      <c r="C39" s="31" t="s">
        <v>90</v>
      </c>
      <c r="D39" s="31" t="s">
        <v>91</v>
      </c>
      <c r="E39" s="31" t="s">
        <v>92</v>
      </c>
      <c r="F39" s="42"/>
      <c r="G39" s="32" t="s">
        <v>93</v>
      </c>
      <c r="H39" s="31"/>
      <c r="I39" s="31"/>
    </row>
    <row r="40" spans="2:9" x14ac:dyDescent="0.25">
      <c r="B40" s="31" t="s">
        <v>94</v>
      </c>
      <c r="C40" s="31" t="s">
        <v>95</v>
      </c>
      <c r="D40" s="31" t="s">
        <v>96</v>
      </c>
      <c r="E40" s="31" t="s">
        <v>95</v>
      </c>
      <c r="F40" s="31" t="s">
        <v>97</v>
      </c>
      <c r="G40" s="32" t="s">
        <v>98</v>
      </c>
      <c r="H40" s="31" t="s">
        <v>95</v>
      </c>
      <c r="I40" s="31" t="s">
        <v>99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25">
      <c r="G52" s="10" t="s">
        <v>100</v>
      </c>
    </row>
    <row r="53" spans="2:9" x14ac:dyDescent="0.25">
      <c r="B53" s="40"/>
      <c r="C53" s="40"/>
      <c r="D53" s="40"/>
      <c r="G53" s="10" t="s">
        <v>101</v>
      </c>
      <c r="H53" s="41"/>
    </row>
    <row r="54" spans="2:9" x14ac:dyDescent="0.25">
      <c r="C54" s="40"/>
      <c r="D54" s="40"/>
      <c r="E54" s="42"/>
      <c r="F54" s="42"/>
      <c r="G54" s="10" t="s">
        <v>102</v>
      </c>
      <c r="H54" s="41"/>
    </row>
    <row r="55" spans="2:9" x14ac:dyDescent="0.25">
      <c r="B55" s="43"/>
      <c r="C55" s="40"/>
      <c r="D55" s="40"/>
      <c r="E55" s="42"/>
      <c r="F55" s="42"/>
      <c r="G55" s="10" t="s">
        <v>103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84</v>
      </c>
      <c r="D60" s="24"/>
      <c r="E60" t="s">
        <v>85</v>
      </c>
    </row>
    <row r="61" spans="2:9" x14ac:dyDescent="0.25">
      <c r="B61" s="29" t="s">
        <v>86</v>
      </c>
      <c r="D61" s="24"/>
      <c r="E61" t="s">
        <v>87</v>
      </c>
    </row>
    <row r="62" spans="2:9" x14ac:dyDescent="0.25">
      <c r="B62" s="29" t="s">
        <v>88</v>
      </c>
      <c r="D62" s="26"/>
      <c r="H62" s="23"/>
      <c r="I62" s="23"/>
    </row>
    <row r="63" spans="2:9" x14ac:dyDescent="0.25">
      <c r="B63" s="30" t="s">
        <v>89</v>
      </c>
      <c r="C63" s="31" t="s">
        <v>90</v>
      </c>
      <c r="D63" s="31" t="s">
        <v>91</v>
      </c>
      <c r="E63" s="31" t="s">
        <v>92</v>
      </c>
      <c r="F63" s="42"/>
      <c r="G63" s="32" t="s">
        <v>93</v>
      </c>
      <c r="H63" s="31"/>
      <c r="I63" s="31"/>
    </row>
    <row r="64" spans="2:9" x14ac:dyDescent="0.25">
      <c r="B64" s="31" t="s">
        <v>94</v>
      </c>
      <c r="C64" s="31" t="s">
        <v>95</v>
      </c>
      <c r="D64" s="31" t="s">
        <v>96</v>
      </c>
      <c r="E64" s="31" t="s">
        <v>95</v>
      </c>
      <c r="F64" s="31" t="s">
        <v>97</v>
      </c>
      <c r="G64" s="32" t="s">
        <v>98</v>
      </c>
      <c r="H64" s="31" t="s">
        <v>95</v>
      </c>
      <c r="I64" s="31" t="s">
        <v>99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25">
      <c r="G76" s="10" t="s">
        <v>100</v>
      </c>
    </row>
    <row r="77" spans="2:9" x14ac:dyDescent="0.25">
      <c r="F77" s="44"/>
      <c r="G77" s="10" t="s">
        <v>101</v>
      </c>
      <c r="H77" s="41"/>
    </row>
    <row r="78" spans="2:9" x14ac:dyDescent="0.25">
      <c r="B78" s="43"/>
      <c r="C78" s="42"/>
      <c r="D78" s="42"/>
      <c r="F78" s="23"/>
      <c r="G78" s="10" t="s">
        <v>102</v>
      </c>
      <c r="H78" s="41"/>
    </row>
    <row r="79" spans="2:9" x14ac:dyDescent="0.25">
      <c r="B79" s="43"/>
      <c r="C79" s="42"/>
      <c r="D79" s="42"/>
      <c r="E79" s="39"/>
      <c r="F79" s="23"/>
      <c r="G79" s="10" t="s">
        <v>103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2019-03-17T18:21:17Z</dcterms:modified>
</cp:coreProperties>
</file>