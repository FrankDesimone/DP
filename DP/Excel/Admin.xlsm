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DF7E41D-842A-4CA0-B8A9-F80D3CCCE443}" xr6:coauthVersionLast="43" xr6:coauthVersionMax="43" xr10:uidLastSave="{00000000-0000-0000-0000-000000000000}"/>
  <bookViews>
    <workbookView xWindow="-120" yWindow="-120" windowWidth="29040" windowHeight="15990" activeTab="13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<sst xmlns="http://schemas.openxmlformats.org/spreadsheetml/2006/main" count="561" uniqueCount="304">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</sst>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3.emf"/><Relationship Id="rId18" Type="http://schemas.openxmlformats.org/officeDocument/2006/relationships/image" Target="../media/image68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8.emf"/><Relationship Id="rId12" Type="http://schemas.openxmlformats.org/officeDocument/2006/relationships/image" Target="../media/image51.emf"/><Relationship Id="rId17" Type="http://schemas.openxmlformats.org/officeDocument/2006/relationships/image" Target="../media/image67.emf"/><Relationship Id="rId2" Type="http://schemas.openxmlformats.org/officeDocument/2006/relationships/image" Target="../media/image53.emf"/><Relationship Id="rId16" Type="http://schemas.openxmlformats.org/officeDocument/2006/relationships/image" Target="../media/image66.emf"/><Relationship Id="rId20" Type="http://schemas.openxmlformats.org/officeDocument/2006/relationships/image" Target="../media/image50.emf"/><Relationship Id="rId1" Type="http://schemas.openxmlformats.org/officeDocument/2006/relationships/image" Target="../media/image54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5.emf"/><Relationship Id="rId10" Type="http://schemas.openxmlformats.org/officeDocument/2006/relationships/image" Target="../media/image61.emf"/><Relationship Id="rId19" Type="http://schemas.openxmlformats.org/officeDocument/2006/relationships/image" Target="../media/image69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88.emf"/><Relationship Id="rId7" Type="http://schemas.openxmlformats.org/officeDocument/2006/relationships/image" Target="../media/image84.emf"/><Relationship Id="rId2" Type="http://schemas.openxmlformats.org/officeDocument/2006/relationships/image" Target="../media/image89.emf"/><Relationship Id="rId1" Type="http://schemas.openxmlformats.org/officeDocument/2006/relationships/image" Target="../media/image82.emf"/><Relationship Id="rId6" Type="http://schemas.openxmlformats.org/officeDocument/2006/relationships/image" Target="../media/image85.emf"/><Relationship Id="rId11" Type="http://schemas.openxmlformats.org/officeDocument/2006/relationships/image" Target="../media/image79.emf"/><Relationship Id="rId5" Type="http://schemas.openxmlformats.org/officeDocument/2006/relationships/image" Target="../media/image86.emf"/><Relationship Id="rId10" Type="http://schemas.openxmlformats.org/officeDocument/2006/relationships/image" Target="../media/image80.emf"/><Relationship Id="rId4" Type="http://schemas.openxmlformats.org/officeDocument/2006/relationships/image" Target="../media/image87.emf"/><Relationship Id="rId9" Type="http://schemas.openxmlformats.org/officeDocument/2006/relationships/image" Target="../media/image8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6.emf"/><Relationship Id="rId7" Type="http://schemas.openxmlformats.org/officeDocument/2006/relationships/image" Target="../media/image80.emf"/><Relationship Id="rId12" Type="http://schemas.openxmlformats.org/officeDocument/2006/relationships/control" Target="../activeX/activeX88.xml"/><Relationship Id="rId17" Type="http://schemas.openxmlformats.org/officeDocument/2006/relationships/image" Target="../media/image84.emf"/><Relationship Id="rId25" Type="http://schemas.openxmlformats.org/officeDocument/2006/relationships/image" Target="../media/image88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5.xml"/><Relationship Id="rId5" Type="http://schemas.openxmlformats.org/officeDocument/2006/relationships/image" Target="../media/image79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28" Type="http://schemas.openxmlformats.org/officeDocument/2006/relationships/image" Target="../media/image89.emf"/><Relationship Id="rId10" Type="http://schemas.openxmlformats.org/officeDocument/2006/relationships/control" Target="../activeX/activeX87.xml"/><Relationship Id="rId19" Type="http://schemas.openxmlformats.org/officeDocument/2006/relationships/image" Target="../media/image85.emf"/><Relationship Id="rId31" Type="http://schemas.openxmlformats.org/officeDocument/2006/relationships/control" Target="../activeX/activeX100.xml"/><Relationship Id="rId4" Type="http://schemas.openxmlformats.org/officeDocument/2006/relationships/control" Target="../activeX/activeX84.xml"/><Relationship Id="rId9" Type="http://schemas.openxmlformats.org/officeDocument/2006/relationships/image" Target="../media/image81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7.xml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300</v>
      </c>
      <c r="E3" s="37"/>
    </row>
    <row r="4" spans="2:5" ht="30" customHeight="1" x14ac:dyDescent="0.25">
      <c r="B4" s="11" t="s">
        <v>185</v>
      </c>
      <c r="C4" s="14" t="s">
        <v>301</v>
      </c>
      <c r="E4" s="34"/>
    </row>
    <row r="5" spans="2:5" ht="30" customHeight="1" x14ac:dyDescent="0.25">
      <c r="B5" s="11" t="s">
        <v>43</v>
      </c>
      <c r="C5" s="14" t="s">
        <v>302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303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265</v>
      </c>
      <c r="D4" s="37"/>
    </row>
    <row r="5" spans="1:4" ht="30" customHeight="1" x14ac:dyDescent="0.25">
      <c r="A5" s="5" t="s">
        <v>1</v>
      </c>
      <c r="B5" s="14" t="s">
        <v>265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267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258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259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5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275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260</v>
      </c>
      <c r="E3" s="37"/>
    </row>
    <row r="4" spans="1:5" ht="30" customHeight="1" x14ac:dyDescent="0.25">
      <c r="A4" s="5" t="s">
        <v>36</v>
      </c>
      <c r="B4" s="58" t="s">
        <v>261</v>
      </c>
    </row>
    <row r="5" spans="1:5" ht="30" customHeight="1" x14ac:dyDescent="0.25">
      <c r="A5" s="5" t="s">
        <v>13</v>
      </c>
      <c r="B5" s="14" t="s">
        <v>262</v>
      </c>
    </row>
    <row r="6" spans="1:5" ht="30" customHeight="1" x14ac:dyDescent="0.25">
      <c r="A6" s="5" t="s">
        <v>34</v>
      </c>
      <c r="B6" s="14" t="s">
        <v>263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264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C2" sqref="C1: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43667.764880289353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49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6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9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7" t="s">
        <v>274</v>
      </c>
      <c r="C12" s="25" t="s">
        <v>269</v>
      </c>
      <c r="D12" s="117" t="s">
        <v>268</v>
      </c>
      <c r="E12" s="118" t="s">
        <v>270</v>
      </c>
      <c r="F12" s="120" t="s">
        <v>271</v>
      </c>
      <c r="G12" s="25" t="s">
        <v>272</v>
      </c>
      <c r="H12" s="25" t="s">
        <v>273</v>
      </c>
    </row>
    <row r="13" spans="2:8" x14ac:dyDescent="0.25">
      <c r="B13" s="19">
        <v>9</v>
      </c>
      <c r="C13" s="116" t="s">
        <v>277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6" t="s">
        <v>278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6" t="s">
        <v>279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6" t="s">
        <v>280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6" t="s">
        <v>281</v>
      </c>
      <c r="D17" s="19">
        <v>41</v>
      </c>
      <c r="F17" s="2">
        <v>43607.795680439813</v>
      </c>
      <c r="G17" t="s">
        <v>282</v>
      </c>
      <c r="H17" t="s">
        <v>283</v>
      </c>
    </row>
    <row r="18" spans="2:8" ht="15.95" customHeight="1" x14ac:dyDescent="0.25">
      <c r="B18" s="19">
        <v>35</v>
      </c>
      <c r="C18" s="116" t="s">
        <v>281</v>
      </c>
      <c r="D18" s="19">
        <v>42</v>
      </c>
      <c r="F18" s="2">
        <v>43607.808764930553</v>
      </c>
      <c r="G18" t="s">
        <v>282</v>
      </c>
      <c r="H18" t="s">
        <v>283</v>
      </c>
    </row>
    <row r="19" spans="2:8" x14ac:dyDescent="0.25">
      <c r="B19" s="19">
        <v>13</v>
      </c>
      <c r="C19" s="116" t="s">
        <v>284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6" t="s">
        <v>285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6" t="s">
        <v>286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6" t="s">
        <v>287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6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6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6" t="s">
        <v>288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6" t="s">
        <v>288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6" t="s">
        <v>289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6" t="s">
        <v>290</v>
      </c>
      <c r="D28" s="19">
        <v>40</v>
      </c>
      <c r="F28" s="2">
        <v>43607.790823958334</v>
      </c>
      <c r="G28" t="s">
        <v>291</v>
      </c>
      <c r="H28" t="s">
        <v>188</v>
      </c>
    </row>
    <row r="29" spans="2:8" x14ac:dyDescent="0.25">
      <c r="B29" s="19">
        <v>33</v>
      </c>
      <c r="C29" s="116" t="s">
        <v>292</v>
      </c>
      <c r="D29" s="19">
        <v>39</v>
      </c>
      <c r="F29" s="2">
        <v>43607.79031369213</v>
      </c>
      <c r="G29" t="s">
        <v>293</v>
      </c>
      <c r="H29" t="s">
        <v>188</v>
      </c>
    </row>
    <row r="30" spans="2:8" x14ac:dyDescent="0.25">
      <c r="B30" s="19">
        <v>32</v>
      </c>
      <c r="C30" s="116" t="s">
        <v>294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6" t="s">
        <v>294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6" t="s">
        <v>295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6" t="s">
        <v>295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6" t="s">
        <v>295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6" t="s">
        <v>296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6" t="s">
        <v>297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6" t="s">
        <v>297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6" t="s">
        <v>298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6" t="s">
        <v>299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6" t="s">
        <v>299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6" t="s">
        <v>299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256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257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tabSelected="1" topLeftCell="A22" workbookViewId="0">
      <selection activeCell="I45" sqref="I45:I47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66</v>
      </c>
    </row>
    <row r="4" spans="2:9" ht="18.75" x14ac:dyDescent="0.3">
      <c r="I4" s="45"/>
    </row>
    <row r="5" spans="2:9" x14ac:dyDescent="0.25">
      <c r="B5" s="107" t="s">
        <v>16</v>
      </c>
      <c r="C5" s="108">
        <v>11</v>
      </c>
      <c r="D5" s="61"/>
      <c r="E5" s="61" t="s">
        <v>207</v>
      </c>
      <c r="F5" s="94">
        <v>110000</v>
      </c>
      <c r="G5" s="95" t="s">
        <v>91</v>
      </c>
      <c r="H5" s="64"/>
    </row>
    <row r="6" spans="2:9" x14ac:dyDescent="0.25">
      <c r="B6" s="96" t="s">
        <v>18</v>
      </c>
      <c r="C6" s="97">
        <v>15</v>
      </c>
      <c r="D6" s="64"/>
      <c r="E6" s="64" t="s">
        <v>206</v>
      </c>
      <c r="F6" s="98">
        <v>60</v>
      </c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0.82452256944444446</v>
      </c>
      <c r="D7" s="100"/>
      <c r="E7" s="64" t="s">
        <v>208</v>
      </c>
      <c r="F7" s="98">
        <f>(Volume*MaxSpaceVelocity)*(1/60)*(61.7)/(2350*0.395)</f>
        <v>100.47642838350741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23.348005598958334</v>
      </c>
      <c r="D8" s="103"/>
      <c r="E8" s="104" t="s">
        <v>209</v>
      </c>
      <c r="F8" s="106" t="str">
        <f>IF(F7&gt;MaxHertz,"60",F7)</f>
        <v>60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15</v>
      </c>
      <c r="C16" s="75">
        <f>(2350/61.7)*B16*0.395</f>
        <v>225.66855753646678</v>
      </c>
      <c r="D16" s="68">
        <v>0</v>
      </c>
      <c r="E16" s="75">
        <f t="shared" ref="E16:E26" si="0">C16-(34.4764881*D16-4.325744048*D16^2+0.369475446*D16^3-0.01733631*D16^4+0.000339472*D16^5)</f>
        <v>225.66855753646678</v>
      </c>
      <c r="F16" s="76">
        <f t="shared" ref="F16:F26" si="1">(E16*60)/Volume</f>
        <v>16421.762064452898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24</v>
      </c>
      <c r="C17" s="75">
        <f t="shared" ref="C17:C26" si="4">(2350/61.7)*B17*0.395</f>
        <v>361.06969205834679</v>
      </c>
      <c r="D17" s="68">
        <v>0</v>
      </c>
      <c r="E17" s="75">
        <f t="shared" si="0"/>
        <v>361.06969205834679</v>
      </c>
      <c r="F17" s="76">
        <f t="shared" si="1"/>
        <v>26274.81930312463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30</v>
      </c>
      <c r="C18" s="75">
        <f t="shared" si="4"/>
        <v>451.33711507293356</v>
      </c>
      <c r="D18" s="68">
        <v>0</v>
      </c>
      <c r="E18" s="75">
        <f t="shared" si="0"/>
        <v>451.33711507293356</v>
      </c>
      <c r="F18" s="76">
        <f t="shared" si="1"/>
        <v>32843.524128905796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36</v>
      </c>
      <c r="C19" s="75">
        <f t="shared" si="4"/>
        <v>541.60453808752015</v>
      </c>
      <c r="D19" s="68">
        <v>0</v>
      </c>
      <c r="E19" s="75">
        <f t="shared" si="0"/>
        <v>541.60453808752015</v>
      </c>
      <c r="F19" s="76">
        <f t="shared" si="1"/>
        <v>39412.228954686943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42</v>
      </c>
      <c r="C20" s="75">
        <f t="shared" si="4"/>
        <v>631.87196110210698</v>
      </c>
      <c r="D20" s="68">
        <v>0</v>
      </c>
      <c r="E20" s="75">
        <f t="shared" si="0"/>
        <v>631.87196110210698</v>
      </c>
      <c r="F20" s="76">
        <f t="shared" si="1"/>
        <v>45980.933780468105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45</v>
      </c>
      <c r="C21" s="75">
        <f t="shared" si="4"/>
        <v>677.00567260940034</v>
      </c>
      <c r="D21" s="68">
        <v>0</v>
      </c>
      <c r="E21" s="75">
        <f t="shared" si="0"/>
        <v>677.00567260940034</v>
      </c>
      <c r="F21" s="76">
        <f t="shared" si="1"/>
        <v>49265.286193358683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48</v>
      </c>
      <c r="C22" s="75">
        <f t="shared" si="4"/>
        <v>722.13938411669358</v>
      </c>
      <c r="D22" s="68">
        <v>0</v>
      </c>
      <c r="E22" s="75">
        <f t="shared" si="0"/>
        <v>722.13938411669358</v>
      </c>
      <c r="F22" s="76">
        <f t="shared" si="1"/>
        <v>52549.63860624926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51</v>
      </c>
      <c r="C23" s="75">
        <f t="shared" si="4"/>
        <v>767.27309562398705</v>
      </c>
      <c r="D23" s="68">
        <v>0</v>
      </c>
      <c r="E23" s="75">
        <f t="shared" si="0"/>
        <v>767.27309562398705</v>
      </c>
      <c r="F23" s="76">
        <f t="shared" si="1"/>
        <v>55833.991019139852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54</v>
      </c>
      <c r="C24" s="75">
        <f t="shared" si="4"/>
        <v>812.4068071312804</v>
      </c>
      <c r="D24" s="68">
        <v>0</v>
      </c>
      <c r="E24" s="75">
        <f t="shared" si="0"/>
        <v>812.4068071312804</v>
      </c>
      <c r="F24" s="76">
        <f t="shared" si="1"/>
        <v>59118.34343203043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57</v>
      </c>
      <c r="C25" s="75">
        <f t="shared" si="4"/>
        <v>857.54051863857376</v>
      </c>
      <c r="D25" s="68">
        <v>0</v>
      </c>
      <c r="E25" s="75">
        <f t="shared" si="0"/>
        <v>857.54051863857376</v>
      </c>
      <c r="F25" s="76">
        <f t="shared" si="1"/>
        <v>62402.695844921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60</v>
      </c>
      <c r="C26" s="80">
        <f t="shared" si="4"/>
        <v>902.67423014586711</v>
      </c>
      <c r="D26" s="81">
        <v>0</v>
      </c>
      <c r="E26" s="80">
        <f t="shared" si="0"/>
        <v>902.67423014586711</v>
      </c>
      <c r="F26" s="82">
        <f t="shared" si="1"/>
        <v>65687.048257811592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15</v>
      </c>
      <c r="C33" s="75">
        <f>(2350/61.7)*B33*0.395</f>
        <v>225.66855753646678</v>
      </c>
      <c r="D33" s="68">
        <v>0</v>
      </c>
      <c r="E33" s="75">
        <f t="shared" ref="E33:E43" si="5">C33-(34.4764881*D33-4.325744048*D33^2+0.369475446*D33^3-0.01733631*D33^4+0.000339472*D33^5)</f>
        <v>225.66855753646678</v>
      </c>
      <c r="F33" s="76">
        <f t="shared" ref="F33:F43" si="6">(E33*60)/Volume</f>
        <v>16421.762064452898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24</v>
      </c>
      <c r="C34" s="75">
        <f t="shared" ref="C34:C42" si="9">(2350/61.7)*B34*0.395</f>
        <v>361.06969205834679</v>
      </c>
      <c r="D34" s="68">
        <v>0</v>
      </c>
      <c r="E34" s="75">
        <f t="shared" si="5"/>
        <v>361.06969205834679</v>
      </c>
      <c r="F34" s="76">
        <f t="shared" si="6"/>
        <v>26274.81930312463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30</v>
      </c>
      <c r="C35" s="75">
        <f t="shared" si="9"/>
        <v>451.33711507293356</v>
      </c>
      <c r="D35" s="68">
        <v>0</v>
      </c>
      <c r="E35" s="75">
        <f t="shared" si="5"/>
        <v>451.33711507293356</v>
      </c>
      <c r="F35" s="76">
        <f t="shared" si="6"/>
        <v>32843.524128905796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36</v>
      </c>
      <c r="C36" s="75">
        <f t="shared" si="9"/>
        <v>541.60453808752015</v>
      </c>
      <c r="D36" s="68">
        <v>0</v>
      </c>
      <c r="E36" s="75">
        <f t="shared" si="5"/>
        <v>541.60453808752015</v>
      </c>
      <c r="F36" s="76">
        <f t="shared" si="6"/>
        <v>39412.228954686943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42</v>
      </c>
      <c r="C37" s="75">
        <f t="shared" si="9"/>
        <v>631.87196110210698</v>
      </c>
      <c r="D37" s="68">
        <v>0</v>
      </c>
      <c r="E37" s="75">
        <f t="shared" si="5"/>
        <v>631.87196110210698</v>
      </c>
      <c r="F37" s="76">
        <f t="shared" si="6"/>
        <v>45980.933780468105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45</v>
      </c>
      <c r="C38" s="75">
        <f t="shared" si="9"/>
        <v>677.00567260940034</v>
      </c>
      <c r="D38" s="68">
        <v>0</v>
      </c>
      <c r="E38" s="75">
        <f t="shared" si="5"/>
        <v>677.00567260940034</v>
      </c>
      <c r="F38" s="76">
        <f t="shared" si="6"/>
        <v>49265.286193358683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48</v>
      </c>
      <c r="C39" s="75">
        <f t="shared" si="9"/>
        <v>722.13938411669358</v>
      </c>
      <c r="D39" s="68">
        <v>0</v>
      </c>
      <c r="E39" s="75">
        <f t="shared" si="5"/>
        <v>722.13938411669358</v>
      </c>
      <c r="F39" s="76">
        <f t="shared" si="6"/>
        <v>52549.63860624926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51</v>
      </c>
      <c r="C40" s="75">
        <f t="shared" si="9"/>
        <v>767.27309562398705</v>
      </c>
      <c r="D40" s="68">
        <v>0</v>
      </c>
      <c r="E40" s="75">
        <f t="shared" si="5"/>
        <v>767.27309562398705</v>
      </c>
      <c r="F40" s="76">
        <f t="shared" si="6"/>
        <v>55833.991019139852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54</v>
      </c>
      <c r="C41" s="75">
        <f t="shared" si="9"/>
        <v>812.4068071312804</v>
      </c>
      <c r="D41" s="68">
        <v>0</v>
      </c>
      <c r="E41" s="75">
        <f t="shared" si="5"/>
        <v>812.4068071312804</v>
      </c>
      <c r="F41" s="76">
        <f t="shared" si="6"/>
        <v>59118.34343203043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57</v>
      </c>
      <c r="C42" s="75">
        <f t="shared" si="9"/>
        <v>857.54051863857376</v>
      </c>
      <c r="D42" s="68">
        <v>0</v>
      </c>
      <c r="E42" s="75">
        <f t="shared" si="5"/>
        <v>857.54051863857376</v>
      </c>
      <c r="F42" s="76">
        <f t="shared" si="6"/>
        <v>62402.695844921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60</v>
      </c>
      <c r="C43" s="80">
        <f>(2350/61.7)*B43*0.395</f>
        <v>902.67423014586711</v>
      </c>
      <c r="D43" s="81">
        <v>0</v>
      </c>
      <c r="E43" s="80">
        <f t="shared" si="5"/>
        <v>902.67423014586711</v>
      </c>
      <c r="F43" s="82">
        <f t="shared" si="6"/>
        <v>65687.048257811592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15</v>
      </c>
      <c r="C50" s="75">
        <f>(2350/61.7)*B50*0.395</f>
        <v>225.66855753646678</v>
      </c>
      <c r="D50" s="68">
        <v>0</v>
      </c>
      <c r="E50" s="75">
        <f t="shared" ref="E50:E60" si="10">C50-(34.4764881*D50-4.325744048*D50^2+0.369475446*D50^3-0.01733631*D50^4+0.000339472*D50^5)</f>
        <v>225.66855753646678</v>
      </c>
      <c r="F50" s="75">
        <f t="shared" ref="F50:F60" si="11">(E50*60)/Volume</f>
        <v>16421.762064452898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24</v>
      </c>
      <c r="C51" s="75">
        <f t="shared" ref="C51:C60" si="14">(2350/61.7)*B51*0.395</f>
        <v>361.06969205834679</v>
      </c>
      <c r="D51" s="68">
        <v>0</v>
      </c>
      <c r="E51" s="75">
        <f t="shared" si="10"/>
        <v>361.06969205834679</v>
      </c>
      <c r="F51" s="75">
        <f t="shared" si="11"/>
        <v>26274.81930312463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30</v>
      </c>
      <c r="C52" s="75">
        <f t="shared" si="14"/>
        <v>451.33711507293356</v>
      </c>
      <c r="D52" s="68">
        <v>0</v>
      </c>
      <c r="E52" s="75">
        <f t="shared" si="10"/>
        <v>451.33711507293356</v>
      </c>
      <c r="F52" s="75">
        <f t="shared" si="11"/>
        <v>32843.524128905796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36</v>
      </c>
      <c r="C53" s="75">
        <f t="shared" si="14"/>
        <v>541.60453808752015</v>
      </c>
      <c r="D53" s="68">
        <v>0</v>
      </c>
      <c r="E53" s="75">
        <f t="shared" si="10"/>
        <v>541.60453808752015</v>
      </c>
      <c r="F53" s="75">
        <f t="shared" si="11"/>
        <v>39412.228954686943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42</v>
      </c>
      <c r="C54" s="75">
        <f t="shared" si="14"/>
        <v>631.87196110210698</v>
      </c>
      <c r="D54" s="68">
        <v>0</v>
      </c>
      <c r="E54" s="75">
        <f t="shared" si="10"/>
        <v>631.87196110210698</v>
      </c>
      <c r="F54" s="75">
        <f t="shared" si="11"/>
        <v>45980.933780468105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45</v>
      </c>
      <c r="C55" s="75">
        <f t="shared" si="14"/>
        <v>677.00567260940034</v>
      </c>
      <c r="D55" s="68">
        <v>0</v>
      </c>
      <c r="E55" s="75">
        <f t="shared" si="10"/>
        <v>677.00567260940034</v>
      </c>
      <c r="F55" s="75">
        <f t="shared" si="11"/>
        <v>49265.286193358683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48</v>
      </c>
      <c r="C56" s="75">
        <f t="shared" si="14"/>
        <v>722.13938411669358</v>
      </c>
      <c r="D56" s="68">
        <v>0</v>
      </c>
      <c r="E56" s="75">
        <f t="shared" si="10"/>
        <v>722.13938411669358</v>
      </c>
      <c r="F56" s="75">
        <f t="shared" si="11"/>
        <v>52549.63860624926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51</v>
      </c>
      <c r="C57" s="75">
        <f t="shared" si="14"/>
        <v>767.27309562398705</v>
      </c>
      <c r="D57" s="68">
        <v>0</v>
      </c>
      <c r="E57" s="75">
        <f t="shared" si="10"/>
        <v>767.27309562398705</v>
      </c>
      <c r="F57" s="75">
        <f t="shared" si="11"/>
        <v>55833.991019139852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54</v>
      </c>
      <c r="C58" s="75">
        <f t="shared" si="14"/>
        <v>812.4068071312804</v>
      </c>
      <c r="D58" s="68">
        <v>0</v>
      </c>
      <c r="E58" s="75">
        <f t="shared" si="10"/>
        <v>812.4068071312804</v>
      </c>
      <c r="F58" s="75">
        <f t="shared" si="11"/>
        <v>59118.34343203043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57</v>
      </c>
      <c r="C59" s="75">
        <f t="shared" si="14"/>
        <v>857.54051863857376</v>
      </c>
      <c r="D59" s="68">
        <v>0</v>
      </c>
      <c r="E59" s="75">
        <f t="shared" si="10"/>
        <v>857.54051863857376</v>
      </c>
      <c r="F59" s="75">
        <f t="shared" si="11"/>
        <v>62402.695844921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60</v>
      </c>
      <c r="C60" s="80">
        <f t="shared" si="14"/>
        <v>902.67423014586711</v>
      </c>
      <c r="D60" s="81">
        <v>0</v>
      </c>
      <c r="E60" s="80">
        <f t="shared" si="10"/>
        <v>902.67423014586711</v>
      </c>
      <c r="F60" s="80">
        <f t="shared" si="11"/>
        <v>65687.048257811592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protectedRanges>
    <protectedRange sqref="I45:I47" name="Coefficients_3"/>
    <protectedRange sqref="I11:I13" name="Coefficients_1"/>
    <protectedRange sqref="I28:I30" name="Coefficients_2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2019-07-21T18:39:40Z</dcterms:modified>
</cp:coreProperties>
</file>