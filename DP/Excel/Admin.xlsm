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230FBA9F-38C7-45E6-8F46-D7731ED14C6E}" xr6:coauthVersionLast="43" xr6:coauthVersionMax="43" xr10:uidLastSave="{00000000-0000-0000-0000-000000000000}"/>
  <bookViews>
    <workbookView xWindow="-120" yWindow="-120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Hertz" localSheetId="11">Quality!#REF!</definedName>
    <definedName name="MaxSpaceVelocity" localSheetId="12">QAProcess!$F$5</definedName>
    <definedName name="MaxSpaceVelocity" localSheetId="11">Quality!#REF!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<sst xmlns="http://schemas.openxmlformats.org/spreadsheetml/2006/main" count="340" uniqueCount="245">
  <si>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</si>
  <si>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</si>
  <si>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</si>
  <si>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</si>
  <si>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</si>
  <si>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</si>
  <si>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</si>
  <si>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</si>
  <si>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</si>
  <si>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</si>
  <si>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</si>
  <si>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</si>
  <si>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</si>
  <si>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</si>
  <si>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</si>
  <si>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</si>
  <si>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</si>
  <si>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</si>
  <si>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</si>
  <si>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</si>
  <si>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</si>
  <si>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</si>
  <si>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</si>
  <si>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</si>
  <si>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</si>
  <si>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</si>
  <si>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</si>
  <si>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</si>
  <si>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</si>
  <si>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</si>
  <si>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</si>
  <si>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</si>
  <si>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</si>
  <si>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</si>
  <si>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</si>
  <si>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</si>
  <si>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</si>
  <si>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</si>
  <si>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</si>
  <si>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</si>
  <si>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</si>
  <si>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</si>
  <si>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</si>
  <si>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</si>
  <si>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</si>
  <si>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</si>
  <si>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</si>
  <si>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</si>
  <si>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</si>
  <si>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</si>
  <si>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</si>
  <si>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</si>
  <si>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</si>
  <si>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</si>
  <si>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</si>
  <si>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</si>
  <si>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</si>
  <si>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</si>
  <si>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</si>
  <si>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</si>
  <si>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</si>
  <si>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</si>
  <si>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</si>
  <si>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</si>
  <si>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</si>
  <si>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</si>
  <si>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</si>
  <si>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</si>
  <si>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</si>
  <si>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</si>
  <si>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</si>
  <si>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</si>
  <si>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</si>
  <si>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</si>
  <si>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</si>
  <si>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</si>
  <si>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</si>
  <si>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</si>
  <si>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</si>
  <si>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</si>
  <si>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</si>
  <si>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</si>
  <si>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</si>
  <si>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</si>
  <si>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</si>
  <si>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</si>
  <si>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</si>
  <si>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</si>
  <si>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</si>
  <si>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</si>
  <si>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</si>
  <si>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</si>
  <si>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</si>
  <si>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</si>
  <si>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</si>
  <si>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</si>
  <si>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</si>
  <si>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</si>
  <si>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</si>
  <si>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</si>
  <si>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</si>
  <si>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</si>
  <si>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</si>
  <si>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</si>
  <si>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</si>
  <si>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</si>
  <si>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</si>
  <si>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</si>
  <si>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SerialNumber</t>
  </si>
  <si>
    <t>AssetNumber</t>
  </si>
  <si>
    <t>SubstrateType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</si>
  <si>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</si>
  <si>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</si>
  <si>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</si>
  <si>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</si>
  <si>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</si>
  <si>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</si>
  <si>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</si>
  <si>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</si>
  <si>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</si>
  <si>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</si>
  <si>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</si>
  <si>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</si>
  <si>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</si>
  <si>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</si>
  <si>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</si>
  <si>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</si>
  <si>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</si>
  <si>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</si>
  <si>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</si>
  <si>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</si>
  <si>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</si>
  <si>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</si>
  <si>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</si>
  <si>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</si>
  <si>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</si>
  <si>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</si>
  <si>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</si>
  <si>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</si>
  <si>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</si>
  <si>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</si>
  <si>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</si>
  <si>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</si>
  <si>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</si>
  <si>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</si>
  <si>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</si>
  <si>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</si>
  <si>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</si>
  <si>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</si>
  <si>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</si>
  <si>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</si>
  <si>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</si>
  <si>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</si>
  <si>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</si>
  <si>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</si>
  <si>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</si>
  <si>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</si>
  <si>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</si>
  <si>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</si>
  <si>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</si>
  <si>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</si>
  <si>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</si>
  <si>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</si>
  <si>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</si>
  <si>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</si>
  <si>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</si>
  <si>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</si>
  <si>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</si>
  <si>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</si>
  <si>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</si>
  <si>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</si>
  <si>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</si>
  <si>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</si>
  <si>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</si>
  <si>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</si>
  <si>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</si>
  <si>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</si>
  <si>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</si>
  <si>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</si>
  <si>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</si>
  <si>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</si>
  <si>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</si>
  <si>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</si>
  <si>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</si>
  <si>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</si>
  <si>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</si>
  <si>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</si>
  <si>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</si>
  <si>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</si>
  <si>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</si>
  <si>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</si>
  <si>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</si>
  <si>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</si>
  <si>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</si>
  <si>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</si>
  <si>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</si>
  <si>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</si>
  <si>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</si>
  <si>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</si>
  <si>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</si>
  <si>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</si>
  <si>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</si>
  <si>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</si>
  <si>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</si>
  <si>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</si>
  <si>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</si>
  <si>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</si>
  <si>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</si>
  <si>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</si>
  <si>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</si>
  <si>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</si>
  <si>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</si>
  <si>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</si>
  <si>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</si>
  <si>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</si>
  <si>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</si>
  <si>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serial #2</t>
  </si>
  <si>
    <t>v 1.0.3</t>
  </si>
  <si>
    <t>frank tesdt</t>
  </si>
  <si>
    <t>75 Creamery RF</t>
  </si>
  <si>
    <t>Pottstown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</si>
  <si>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</si>
  <si>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</si>
  <si>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</si>
  <si>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</si>
  <si>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</si>
  <si>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</si>
  <si>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111222 / 222111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</si>
  <si>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</si>
  <si>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</si>
  <si>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</si>
  <si>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</si>
  <si>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</si>
  <si>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</si>
  <si>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</si>
  <si>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</si>
  <si>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</si>
  <si>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</si>
  <si>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</si>
  <si>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QAAshColor</t>
  </si>
  <si>
    <t>QASubstrateOveralCondition</t>
  </si>
  <si>
    <t>QASubstrateCraking</t>
  </si>
  <si>
    <t>serial # a</t>
  </si>
  <si>
    <t>asset a</t>
  </si>
  <si>
    <t>model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</si>
</sst>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0.emf"/><Relationship Id="rId18" Type="http://schemas.openxmlformats.org/officeDocument/2006/relationships/image" Target="../media/image67.emf"/><Relationship Id="rId3" Type="http://schemas.openxmlformats.org/officeDocument/2006/relationships/image" Target="../media/image53.emf"/><Relationship Id="rId21" Type="http://schemas.openxmlformats.org/officeDocument/2006/relationships/image" Target="../media/image49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17" Type="http://schemas.openxmlformats.org/officeDocument/2006/relationships/image" Target="../media/image66.emf"/><Relationship Id="rId2" Type="http://schemas.openxmlformats.org/officeDocument/2006/relationships/image" Target="../media/image52.emf"/><Relationship Id="rId16" Type="http://schemas.openxmlformats.org/officeDocument/2006/relationships/image" Target="../media/image65.emf"/><Relationship Id="rId20" Type="http://schemas.openxmlformats.org/officeDocument/2006/relationships/image" Target="../media/image69.emf"/><Relationship Id="rId1" Type="http://schemas.openxmlformats.org/officeDocument/2006/relationships/image" Target="../media/image54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5" Type="http://schemas.openxmlformats.org/officeDocument/2006/relationships/image" Target="../media/image64.emf"/><Relationship Id="rId23" Type="http://schemas.openxmlformats.org/officeDocument/2006/relationships/image" Target="../media/image71.emf"/><Relationship Id="rId10" Type="http://schemas.openxmlformats.org/officeDocument/2006/relationships/image" Target="../media/image60.emf"/><Relationship Id="rId19" Type="http://schemas.openxmlformats.org/officeDocument/2006/relationships/image" Target="../media/image68.emf"/><Relationship Id="rId4" Type="http://schemas.openxmlformats.org/officeDocument/2006/relationships/image" Target="../media/image51.emf"/><Relationship Id="rId9" Type="http://schemas.openxmlformats.org/officeDocument/2006/relationships/image" Target="../media/image59.emf"/><Relationship Id="rId14" Type="http://schemas.openxmlformats.org/officeDocument/2006/relationships/image" Target="../media/image63.emf"/><Relationship Id="rId22" Type="http://schemas.openxmlformats.org/officeDocument/2006/relationships/image" Target="../media/image7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5" Type="http://schemas.openxmlformats.org/officeDocument/2006/relationships/image" Target="../media/image72.emf"/><Relationship Id="rId4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1.emf"/><Relationship Id="rId3" Type="http://schemas.openxmlformats.org/officeDocument/2006/relationships/image" Target="../media/image86.emf"/><Relationship Id="rId7" Type="http://schemas.openxmlformats.org/officeDocument/2006/relationships/image" Target="../media/image82.emf"/><Relationship Id="rId2" Type="http://schemas.openxmlformats.org/officeDocument/2006/relationships/image" Target="../media/image87.emf"/><Relationship Id="rId1" Type="http://schemas.openxmlformats.org/officeDocument/2006/relationships/image" Target="../media/image80.emf"/><Relationship Id="rId6" Type="http://schemas.openxmlformats.org/officeDocument/2006/relationships/image" Target="../media/image83.emf"/><Relationship Id="rId11" Type="http://schemas.openxmlformats.org/officeDocument/2006/relationships/image" Target="../media/image77.emf"/><Relationship Id="rId5" Type="http://schemas.openxmlformats.org/officeDocument/2006/relationships/image" Target="../media/image84.emf"/><Relationship Id="rId10" Type="http://schemas.openxmlformats.org/officeDocument/2006/relationships/image" Target="../media/image78.emf"/><Relationship Id="rId4" Type="http://schemas.openxmlformats.org/officeDocument/2006/relationships/image" Target="../media/image85.emf"/><Relationship Id="rId9" Type="http://schemas.openxmlformats.org/officeDocument/2006/relationships/image" Target="../media/image7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9.emf"/><Relationship Id="rId1" Type="http://schemas.openxmlformats.org/officeDocument/2006/relationships/image" Target="../media/image9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4.xml"/><Relationship Id="rId18" Type="http://schemas.openxmlformats.org/officeDocument/2006/relationships/image" Target="../media/image54.emf"/><Relationship Id="rId26" Type="http://schemas.openxmlformats.org/officeDocument/2006/relationships/image" Target="../media/image58.emf"/><Relationship Id="rId39" Type="http://schemas.openxmlformats.org/officeDocument/2006/relationships/control" Target="../activeX/activeX68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9.xml"/><Relationship Id="rId34" Type="http://schemas.openxmlformats.org/officeDocument/2006/relationships/image" Target="../media/image62.emf"/><Relationship Id="rId42" Type="http://schemas.openxmlformats.org/officeDocument/2006/relationships/image" Target="../media/image66.emf"/><Relationship Id="rId47" Type="http://schemas.openxmlformats.org/officeDocument/2006/relationships/control" Target="../activeX/activeX72.xml"/><Relationship Id="rId50" Type="http://schemas.openxmlformats.org/officeDocument/2006/relationships/image" Target="../media/image70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control" Target="../activeX/activeX57.xml"/><Relationship Id="rId25" Type="http://schemas.openxmlformats.org/officeDocument/2006/relationships/control" Target="../activeX/activeX61.xml"/><Relationship Id="rId33" Type="http://schemas.openxmlformats.org/officeDocument/2006/relationships/control" Target="../activeX/activeX65.xml"/><Relationship Id="rId38" Type="http://schemas.openxmlformats.org/officeDocument/2006/relationships/image" Target="../media/image64.emf"/><Relationship Id="rId46" Type="http://schemas.openxmlformats.org/officeDocument/2006/relationships/image" Target="../media/image68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6.xml"/><Relationship Id="rId20" Type="http://schemas.openxmlformats.org/officeDocument/2006/relationships/image" Target="../media/image55.emf"/><Relationship Id="rId29" Type="http://schemas.openxmlformats.org/officeDocument/2006/relationships/control" Target="../activeX/activeX63.xml"/><Relationship Id="rId41" Type="http://schemas.openxmlformats.org/officeDocument/2006/relationships/control" Target="../activeX/activeX6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image" Target="../media/image57.emf"/><Relationship Id="rId32" Type="http://schemas.openxmlformats.org/officeDocument/2006/relationships/image" Target="../media/image61.emf"/><Relationship Id="rId37" Type="http://schemas.openxmlformats.org/officeDocument/2006/relationships/control" Target="../activeX/activeX67.xml"/><Relationship Id="rId40" Type="http://schemas.openxmlformats.org/officeDocument/2006/relationships/image" Target="../media/image65.emf"/><Relationship Id="rId45" Type="http://schemas.openxmlformats.org/officeDocument/2006/relationships/control" Target="../activeX/activeX71.xml"/><Relationship Id="rId5" Type="http://schemas.openxmlformats.org/officeDocument/2006/relationships/image" Target="../media/image49.emf"/><Relationship Id="rId15" Type="http://schemas.openxmlformats.org/officeDocument/2006/relationships/control" Target="../activeX/activeX55.xml"/><Relationship Id="rId23" Type="http://schemas.openxmlformats.org/officeDocument/2006/relationships/control" Target="../activeX/activeX60.xml"/><Relationship Id="rId28" Type="http://schemas.openxmlformats.org/officeDocument/2006/relationships/image" Target="../media/image59.emf"/><Relationship Id="rId36" Type="http://schemas.openxmlformats.org/officeDocument/2006/relationships/image" Target="../media/image63.emf"/><Relationship Id="rId49" Type="http://schemas.openxmlformats.org/officeDocument/2006/relationships/control" Target="../activeX/activeX73.xml"/><Relationship Id="rId10" Type="http://schemas.openxmlformats.org/officeDocument/2006/relationships/control" Target="../activeX/activeX52.xml"/><Relationship Id="rId19" Type="http://schemas.openxmlformats.org/officeDocument/2006/relationships/control" Target="../activeX/activeX58.xml"/><Relationship Id="rId31" Type="http://schemas.openxmlformats.org/officeDocument/2006/relationships/control" Target="../activeX/activeX64.xml"/><Relationship Id="rId44" Type="http://schemas.openxmlformats.org/officeDocument/2006/relationships/image" Target="../media/image67.emf"/><Relationship Id="rId52" Type="http://schemas.openxmlformats.org/officeDocument/2006/relationships/image" Target="../media/image71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image" Target="../media/image53.emf"/><Relationship Id="rId22" Type="http://schemas.openxmlformats.org/officeDocument/2006/relationships/image" Target="../media/image56.emf"/><Relationship Id="rId27" Type="http://schemas.openxmlformats.org/officeDocument/2006/relationships/control" Target="../activeX/activeX62.xml"/><Relationship Id="rId30" Type="http://schemas.openxmlformats.org/officeDocument/2006/relationships/image" Target="../media/image60.emf"/><Relationship Id="rId35" Type="http://schemas.openxmlformats.org/officeDocument/2006/relationships/control" Target="../activeX/activeX66.xml"/><Relationship Id="rId43" Type="http://schemas.openxmlformats.org/officeDocument/2006/relationships/control" Target="../activeX/activeX70.xml"/><Relationship Id="rId48" Type="http://schemas.openxmlformats.org/officeDocument/2006/relationships/image" Target="../media/image69.emf"/><Relationship Id="rId8" Type="http://schemas.openxmlformats.org/officeDocument/2006/relationships/control" Target="../activeX/activeX51.xml"/><Relationship Id="rId51" Type="http://schemas.openxmlformats.org/officeDocument/2006/relationships/control" Target="../activeX/activeX7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84.emf"/><Relationship Id="rId7" Type="http://schemas.openxmlformats.org/officeDocument/2006/relationships/image" Target="../media/image78.emf"/><Relationship Id="rId12" Type="http://schemas.openxmlformats.org/officeDocument/2006/relationships/control" Target="../activeX/activeX84.xml"/><Relationship Id="rId17" Type="http://schemas.openxmlformats.org/officeDocument/2006/relationships/image" Target="../media/image82.emf"/><Relationship Id="rId25" Type="http://schemas.openxmlformats.org/officeDocument/2006/relationships/image" Target="../media/image86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7.xml"/><Relationship Id="rId20" Type="http://schemas.openxmlformats.org/officeDocument/2006/relationships/control" Target="../activeX/activeX89.xml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image" Target="../media/image80.emf"/><Relationship Id="rId24" Type="http://schemas.openxmlformats.org/officeDocument/2006/relationships/control" Target="../activeX/activeX91.xml"/><Relationship Id="rId5" Type="http://schemas.openxmlformats.org/officeDocument/2006/relationships/image" Target="../media/image77.emf"/><Relationship Id="rId15" Type="http://schemas.openxmlformats.org/officeDocument/2006/relationships/image" Target="../media/image81.emf"/><Relationship Id="rId23" Type="http://schemas.openxmlformats.org/officeDocument/2006/relationships/image" Target="../media/image85.emf"/><Relationship Id="rId28" Type="http://schemas.openxmlformats.org/officeDocument/2006/relationships/image" Target="../media/image87.emf"/><Relationship Id="rId10" Type="http://schemas.openxmlformats.org/officeDocument/2006/relationships/control" Target="../activeX/activeX83.xml"/><Relationship Id="rId19" Type="http://schemas.openxmlformats.org/officeDocument/2006/relationships/image" Target="../media/image83.emf"/><Relationship Id="rId31" Type="http://schemas.openxmlformats.org/officeDocument/2006/relationships/control" Target="../activeX/activeX96.xml"/><Relationship Id="rId4" Type="http://schemas.openxmlformats.org/officeDocument/2006/relationships/control" Target="../activeX/activeX80.xml"/><Relationship Id="rId9" Type="http://schemas.openxmlformats.org/officeDocument/2006/relationships/image" Target="../media/image79.emf"/><Relationship Id="rId14" Type="http://schemas.openxmlformats.org/officeDocument/2006/relationships/control" Target="../activeX/activeX86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3.xml"/><Relationship Id="rId30" Type="http://schemas.openxmlformats.org/officeDocument/2006/relationships/control" Target="../activeX/activeX9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8.emf"/><Relationship Id="rId4" Type="http://schemas.openxmlformats.org/officeDocument/2006/relationships/control" Target="../activeX/activeX97.xml"/><Relationship Id="rId9" Type="http://schemas.openxmlformats.org/officeDocument/2006/relationships/image" Target="../media/image9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C8" sqref="C8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217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43</v>
      </c>
      <c r="C2" s="15">
        <v>18</v>
      </c>
    </row>
    <row r="3" spans="2:5" ht="30" customHeight="1" x14ac:dyDescent="0.25">
      <c r="B3" s="11" t="s">
        <v>43</v>
      </c>
      <c r="C3" s="14" t="s">
        <v>194</v>
      </c>
      <c r="E3" s="37"/>
    </row>
    <row r="4" spans="2:5" ht="30" customHeight="1" x14ac:dyDescent="0.25">
      <c r="B4" s="11" t="s">
        <v>189</v>
      </c>
      <c r="C4" s="14" t="s">
        <v>198</v>
      </c>
      <c r="E4" s="34"/>
    </row>
    <row r="5" spans="2:5" ht="30" customHeight="1" x14ac:dyDescent="0.25">
      <c r="B5" s="11" t="s">
        <v>44</v>
      </c>
      <c r="C5" s="14" t="s">
        <v>195</v>
      </c>
      <c r="E5" s="37"/>
    </row>
    <row r="6" spans="2:5" ht="30" customHeight="1" x14ac:dyDescent="0.25">
      <c r="B6" s="11" t="s">
        <v>45</v>
      </c>
      <c r="C6" s="14" t="s">
        <v>192</v>
      </c>
    </row>
    <row r="7" spans="2:5" ht="30" customHeight="1" x14ac:dyDescent="0.25">
      <c r="B7" s="11" t="s">
        <v>46</v>
      </c>
      <c r="C7" s="14" t="s">
        <v>196</v>
      </c>
    </row>
    <row r="8" spans="2:5" ht="30" customHeight="1" x14ac:dyDescent="0.25">
      <c r="B8" s="11" t="s">
        <v>47</v>
      </c>
      <c r="C8" s="14"/>
    </row>
    <row r="9" spans="2:5" ht="30" customHeight="1" x14ac:dyDescent="0.25">
      <c r="B9" s="11" t="s">
        <v>48</v>
      </c>
      <c r="C9" s="14" t="s">
        <v>197</v>
      </c>
    </row>
    <row r="10" spans="2:5" ht="30" customHeight="1" x14ac:dyDescent="0.25">
      <c r="B10" s="11" t="s">
        <v>49</v>
      </c>
      <c r="C10" s="14"/>
    </row>
    <row r="11" spans="2:5" ht="30" customHeight="1" x14ac:dyDescent="0.25">
      <c r="B11" s="11" t="s">
        <v>170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218</v>
      </c>
      <c r="D4" s="37"/>
    </row>
    <row r="5" spans="1:4" ht="30" customHeight="1" x14ac:dyDescent="0.25">
      <c r="A5" s="5" t="s">
        <v>1</v>
      </c>
      <c r="B5" s="14" t="s">
        <v>219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220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166</v>
      </c>
      <c r="B10" s="14" t="s">
        <v>209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41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42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39</v>
      </c>
      <c r="B12" s="16"/>
    </row>
    <row r="13" spans="1:7" ht="30" customHeight="1" x14ac:dyDescent="0.25">
      <c r="A13" s="5" t="s">
        <v>40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201</v>
      </c>
      <c r="B3" s="57" t="s">
        <v>242</v>
      </c>
      <c r="D3" s="37"/>
    </row>
    <row r="4" spans="1:4" ht="30" customHeight="1" x14ac:dyDescent="0.25">
      <c r="A4" s="5" t="s">
        <v>32</v>
      </c>
      <c r="B4" s="57" t="s">
        <v>243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244</v>
      </c>
    </row>
    <row r="7" spans="1:4" ht="30" customHeight="1" x14ac:dyDescent="0.25">
      <c r="A7" s="5" t="s">
        <v>11</v>
      </c>
      <c r="B7" s="14">
        <v>2019</v>
      </c>
    </row>
    <row r="8" spans="1:4" ht="30" customHeight="1" x14ac:dyDescent="0.25">
      <c r="A8" s="5" t="s">
        <v>190</v>
      </c>
      <c r="B8" s="14"/>
    </row>
    <row r="9" spans="1:4" ht="30" customHeight="1" x14ac:dyDescent="0.25">
      <c r="A9" s="5" t="s">
        <v>191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216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199</v>
      </c>
      <c r="B3" s="14" t="s">
        <v>200</v>
      </c>
      <c r="E3" t="s">
        <v>193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36</v>
      </c>
      <c r="B3" s="58" t="s">
        <v>234</v>
      </c>
      <c r="E3" s="37"/>
    </row>
    <row r="4" spans="1:5" ht="30" customHeight="1" x14ac:dyDescent="0.25">
      <c r="A4" s="5" t="s">
        <v>37</v>
      </c>
      <c r="B4" s="58" t="s">
        <v>235</v>
      </c>
    </row>
    <row r="5" spans="1:5" ht="30" customHeight="1" x14ac:dyDescent="0.25">
      <c r="A5" s="5" t="s">
        <v>13</v>
      </c>
      <c r="B5" s="14" t="s">
        <v>192</v>
      </c>
    </row>
    <row r="6" spans="1:5" ht="30" customHeight="1" x14ac:dyDescent="0.25">
      <c r="A6" s="5" t="s">
        <v>35</v>
      </c>
      <c r="B6" s="14" t="s">
        <v>120</v>
      </c>
    </row>
    <row r="7" spans="1:5" ht="30" customHeight="1" x14ac:dyDescent="0.25">
      <c r="A7" s="5" t="s">
        <v>14</v>
      </c>
      <c r="B7" s="14" t="s">
        <v>121</v>
      </c>
    </row>
    <row r="8" spans="1:5" ht="30" customHeight="1" x14ac:dyDescent="0.25">
      <c r="A8" s="5" t="s">
        <v>38</v>
      </c>
      <c r="B8" s="111" t="s">
        <v>233</v>
      </c>
    </row>
    <row r="9" spans="1:5" ht="30" customHeight="1" x14ac:dyDescent="0.25">
      <c r="A9" s="5" t="s">
        <v>15</v>
      </c>
      <c r="B9" s="14">
        <v>13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E4" sqref="E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173</v>
      </c>
      <c r="E4" s="45"/>
    </row>
    <row r="5" spans="2:10" ht="18" customHeight="1" x14ac:dyDescent="0.25">
      <c r="B5" s="5" t="s">
        <v>174</v>
      </c>
      <c r="C5" s="1"/>
      <c r="J5" s="5"/>
    </row>
    <row r="6" spans="2:10" ht="18" customHeight="1" x14ac:dyDescent="0.25">
      <c r="B6" s="5" t="s">
        <v>226</v>
      </c>
      <c r="C6" s="53">
        <v>43608.71115127315</v>
      </c>
      <c r="J6" s="5"/>
    </row>
    <row r="7" spans="2:10" ht="18" customHeight="1" x14ac:dyDescent="0.25">
      <c r="B7" s="5" t="s">
        <v>221</v>
      </c>
      <c r="C7" s="2"/>
    </row>
    <row r="8" spans="2:10" ht="18" customHeight="1" x14ac:dyDescent="0.25">
      <c r="B8" s="5" t="s">
        <v>222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175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223</v>
      </c>
      <c r="C13" s="1"/>
    </row>
    <row r="14" spans="2:10" ht="18" customHeight="1" x14ac:dyDescent="0.25">
      <c r="B14" s="5" t="s">
        <v>224</v>
      </c>
      <c r="C14" s="54">
        <v>2121</v>
      </c>
    </row>
    <row r="15" spans="2:10" ht="18" customHeight="1" x14ac:dyDescent="0.25">
      <c r="B15" s="5" t="s">
        <v>225</v>
      </c>
      <c r="C15" s="53">
        <v>1212</v>
      </c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4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5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5" name="chkHighIdle"/>
      </mc:Fallback>
    </mc:AlternateContent>
    <mc:AlternateContent xmlns:mc="http://schemas.openxmlformats.org/markup-compatibility/2006">
      <mc:Choice Requires="x14">
        <control shapeId="21506" r:id="rId16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6" name="chkStartStop"/>
      </mc:Fallback>
    </mc:AlternateContent>
    <mc:AlternateContent xmlns:mc="http://schemas.openxmlformats.org/markup-compatibility/2006">
      <mc:Choice Requires="x14">
        <control shapeId="21505" r:id="rId17" name="chkOvrRdHw">
          <controlPr autoLine="0" autoPict="0" r:id="rId18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7" name="chkOvrRdHw"/>
      </mc:Fallback>
    </mc:AlternateContent>
    <mc:AlternateContent xmlns:mc="http://schemas.openxmlformats.org/markup-compatibility/2006">
      <mc:Choice Requires="x14">
        <control shapeId="21522" r:id="rId19" name="cbDPF">
          <controlPr defaultSize="0" autoFill="0" autoLine="0" r:id="rId20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9" name="cbDPF"/>
      </mc:Fallback>
    </mc:AlternateContent>
    <mc:AlternateContent xmlns:mc="http://schemas.openxmlformats.org/markup-compatibility/2006">
      <mc:Choice Requires="x14">
        <control shapeId="21523" r:id="rId21" name="cbCompany">
          <controlPr defaultSize="0" autoFill="0" autoLine="0" r:id="rId22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1" name="cbCompany"/>
      </mc:Fallback>
    </mc:AlternateContent>
    <mc:AlternateContent xmlns:mc="http://schemas.openxmlformats.org/markup-compatibility/2006">
      <mc:Choice Requires="x14">
        <control shapeId="21525" r:id="rId23" name="cbCompLocation">
          <controlPr defaultSize="0" autoFill="0" autoLine="0" r:id="rId24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3" name="cbCompLocation"/>
      </mc:Fallback>
    </mc:AlternateContent>
    <mc:AlternateContent xmlns:mc="http://schemas.openxmlformats.org/markup-compatibility/2006">
      <mc:Choice Requires="x14">
        <control shapeId="21526" r:id="rId25" name="cbVehicle">
          <controlPr defaultSize="0" autoFill="0" autoLine="0" r:id="rId26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5" name="cbVehicle"/>
      </mc:Fallback>
    </mc:AlternateContent>
    <mc:AlternateContent xmlns:mc="http://schemas.openxmlformats.org/markup-compatibility/2006">
      <mc:Choice Requires="x14">
        <control shapeId="21527" r:id="rId27" name="cbEngine">
          <controlPr defaultSize="0" autoFill="0" autoLine="0" r:id="rId28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7" name="cbEngine"/>
      </mc:Fallback>
    </mc:AlternateContent>
    <mc:AlternateContent xmlns:mc="http://schemas.openxmlformats.org/markup-compatibility/2006">
      <mc:Choice Requires="x14">
        <control shapeId="21528" r:id="rId29" name="cbECD">
          <controlPr defaultSize="0" autoFill="0" autoLine="0" r:id="rId30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9" name="cbECD"/>
      </mc:Fallback>
    </mc:AlternateContent>
    <mc:AlternateContent xmlns:mc="http://schemas.openxmlformats.org/markup-compatibility/2006">
      <mc:Choice Requires="x14">
        <control shapeId="21529" r:id="rId31" name="cbDrivingType">
          <controlPr defaultSize="0" autoFill="0" autoLine="0" r:id="rId32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31" name="cbDrivingType"/>
      </mc:Fallback>
    </mc:AlternateContent>
    <mc:AlternateContent xmlns:mc="http://schemas.openxmlformats.org/markup-compatibility/2006">
      <mc:Choice Requires="x14">
        <control shapeId="21530" r:id="rId33" name="cbCleaningReason">
          <controlPr defaultSize="0" autoFill="0" autoLine="0" autoPict="0" r:id="rId34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33" name="cbCleaningReason"/>
      </mc:Fallback>
    </mc:AlternateContent>
    <mc:AlternateContent xmlns:mc="http://schemas.openxmlformats.org/markup-compatibility/2006">
      <mc:Choice Requires="x14">
        <control shapeId="21532" r:id="rId35" name="cbBillingCompany">
          <controlPr defaultSize="0" autoFill="0" autoLine="0" r:id="rId36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35" name="cbBillingCompany"/>
      </mc:Fallback>
    </mc:AlternateContent>
    <mc:AlternateContent xmlns:mc="http://schemas.openxmlformats.org/markup-compatibility/2006">
      <mc:Choice Requires="x14">
        <control shapeId="21533" r:id="rId37" name="cbSalesID">
          <controlPr defaultSize="0" autoFill="0" autoLine="0" r:id="rId3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7" name="cbSalesID"/>
      </mc:Fallback>
    </mc:AlternateContent>
    <mc:AlternateContent xmlns:mc="http://schemas.openxmlformats.org/markup-compatibility/2006">
      <mc:Choice Requires="x14">
        <control shapeId="21534" r:id="rId39" name="cmdVehicle">
          <controlPr defaultSize="0" autoLine="0" r:id="rId40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9" name="cmdVehicle"/>
      </mc:Fallback>
    </mc:AlternateContent>
    <mc:AlternateContent xmlns:mc="http://schemas.openxmlformats.org/markup-compatibility/2006">
      <mc:Choice Requires="x14">
        <control shapeId="21535" r:id="rId41" name="cmdEngine">
          <controlPr defaultSize="0" autoLine="0" r:id="rId42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41" name="cmdEngine"/>
      </mc:Fallback>
    </mc:AlternateContent>
    <mc:AlternateContent xmlns:mc="http://schemas.openxmlformats.org/markup-compatibility/2006">
      <mc:Choice Requires="x14">
        <control shapeId="21536" r:id="rId43" name="cmdECD">
          <controlPr defaultSize="0" autoLine="0" r:id="rId44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43" name="cmdECD"/>
      </mc:Fallback>
    </mc:AlternateContent>
    <mc:AlternateContent xmlns:mc="http://schemas.openxmlformats.org/markup-compatibility/2006">
      <mc:Choice Requires="x14">
        <control shapeId="21537" r:id="rId45" name="cmdQuality">
          <controlPr defaultSize="0" autoLine="0" autoPict="0" altText="" r:id="rId46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45" name="cmdQuality"/>
      </mc:Fallback>
    </mc:AlternateContent>
    <mc:AlternateContent xmlns:mc="http://schemas.openxmlformats.org/markup-compatibility/2006">
      <mc:Choice Requires="x14">
        <control shapeId="21538" r:id="rId47" name="cmdQAProcess">
          <controlPr defaultSize="0" autoLine="0" autoPict="0" r:id="rId4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7" name="cmdQAProcess"/>
      </mc:Fallback>
    </mc:AlternateContent>
    <mc:AlternateContent xmlns:mc="http://schemas.openxmlformats.org/markup-compatibility/2006">
      <mc:Choice Requires="x14">
        <control shapeId="21540" r:id="rId49" name="txtTrackingNo">
          <controlPr defaultSize="0" autoLine="0" autoPict="0" r:id="rId50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49" name="txtTrackingNo"/>
      </mc:Fallback>
    </mc:AlternateContent>
    <mc:AlternateContent xmlns:mc="http://schemas.openxmlformats.org/markup-compatibility/2006">
      <mc:Choice Requires="x14">
        <control shapeId="21541" r:id="rId51" name="txtContact">
          <controlPr defaultSize="0" autoLine="0" r:id="rId52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51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J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4" x14ac:dyDescent="0.25">
      <c r="A1" t="s">
        <v>94</v>
      </c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145</v>
      </c>
      <c r="S1" t="s">
        <v>146</v>
      </c>
      <c r="T1" t="s">
        <v>147</v>
      </c>
      <c r="U1" t="s">
        <v>148</v>
      </c>
      <c r="V1" t="s">
        <v>149</v>
      </c>
      <c r="W1" t="s">
        <v>150</v>
      </c>
      <c r="X1" t="s">
        <v>151</v>
      </c>
      <c r="Y1" t="s">
        <v>152</v>
      </c>
      <c r="Z1" t="s">
        <v>153</v>
      </c>
      <c r="AA1" t="s">
        <v>154</v>
      </c>
      <c r="AB1" t="s">
        <v>155</v>
      </c>
      <c r="AC1" t="s">
        <v>156</v>
      </c>
      <c r="AD1" t="s">
        <v>157</v>
      </c>
      <c r="AE1" t="s">
        <v>158</v>
      </c>
      <c r="AF1" t="s">
        <v>159</v>
      </c>
      <c r="AG1" t="s">
        <v>160</v>
      </c>
      <c r="AH1" t="s">
        <v>161</v>
      </c>
      <c r="AI1" t="s">
        <v>162</v>
      </c>
      <c r="AJ1" t="s">
        <v>163</v>
      </c>
      <c r="AK1" t="s">
        <v>94</v>
      </c>
      <c r="AL1" t="s">
        <v>203</v>
      </c>
      <c r="AM1" t="s">
        <v>166</v>
      </c>
      <c r="AN1" t="s">
        <v>236</v>
      </c>
      <c r="AO1" t="s">
        <v>167</v>
      </c>
      <c r="AP1" t="s">
        <v>95</v>
      </c>
      <c r="AQ1" t="s">
        <v>96</v>
      </c>
      <c r="AR1" t="s">
        <v>97</v>
      </c>
      <c r="AS1" t="s">
        <v>168</v>
      </c>
      <c r="AT1" t="s">
        <v>98</v>
      </c>
      <c r="AU1" t="s">
        <v>99</v>
      </c>
      <c r="AV1" t="s">
        <v>100</v>
      </c>
      <c r="AW1" t="s">
        <v>169</v>
      </c>
      <c r="AX1" t="s">
        <v>204</v>
      </c>
      <c r="AY1" t="s">
        <v>205</v>
      </c>
      <c r="AZ1" t="s">
        <v>179</v>
      </c>
      <c r="BA1" t="s">
        <v>176</v>
      </c>
      <c r="BB1" t="s">
        <v>206</v>
      </c>
      <c r="BC1" t="s">
        <v>102</v>
      </c>
      <c r="BD1" t="s">
        <v>103</v>
      </c>
      <c r="BE1" t="s">
        <v>104</v>
      </c>
      <c r="BF1" t="s">
        <v>105</v>
      </c>
      <c r="BG1" t="s">
        <v>177</v>
      </c>
      <c r="BH1" t="s">
        <v>178</v>
      </c>
      <c r="BI1" t="s">
        <v>101</v>
      </c>
      <c r="BJ1" t="s">
        <v>206</v>
      </c>
      <c r="BK1" t="s">
        <v>107</v>
      </c>
      <c r="BL1" t="s">
        <v>28</v>
      </c>
      <c r="BM1" t="s">
        <v>2</v>
      </c>
      <c r="BN1" t="s">
        <v>4</v>
      </c>
      <c r="BO1" t="s">
        <v>106</v>
      </c>
      <c r="BP1" t="s">
        <v>3</v>
      </c>
      <c r="BQ1" t="s">
        <v>29</v>
      </c>
      <c r="BR1" t="s">
        <v>107</v>
      </c>
      <c r="BS1" t="s">
        <v>28</v>
      </c>
      <c r="BT1" t="s">
        <v>2</v>
      </c>
      <c r="BU1" t="s">
        <v>4</v>
      </c>
      <c r="BV1" t="s">
        <v>3</v>
      </c>
      <c r="BW1" t="s">
        <v>108</v>
      </c>
      <c r="BX1" t="s">
        <v>109</v>
      </c>
      <c r="BY1" t="s">
        <v>14</v>
      </c>
      <c r="BZ1" t="s">
        <v>10</v>
      </c>
      <c r="CA1" t="s">
        <v>11</v>
      </c>
      <c r="CB1" t="s">
        <v>207</v>
      </c>
      <c r="CC1" t="s">
        <v>208</v>
      </c>
      <c r="CD1" t="s">
        <v>14</v>
      </c>
      <c r="CE1" t="s">
        <v>108</v>
      </c>
      <c r="CF1" t="s">
        <v>10</v>
      </c>
      <c r="CG1" t="s">
        <v>11</v>
      </c>
      <c r="CH1" t="s">
        <v>110</v>
      </c>
      <c r="CI1" t="s">
        <v>14</v>
      </c>
      <c r="CJ1" t="s">
        <v>111</v>
      </c>
      <c r="CK1" t="s">
        <v>112</v>
      </c>
      <c r="CL1" t="s">
        <v>113</v>
      </c>
      <c r="CM1" t="s">
        <v>114</v>
      </c>
      <c r="CN1" t="s">
        <v>108</v>
      </c>
      <c r="CO1" t="s">
        <v>115</v>
      </c>
      <c r="CP1" t="s">
        <v>116</v>
      </c>
      <c r="CQ1" t="s">
        <v>117</v>
      </c>
      <c r="CR1" t="s">
        <v>118</v>
      </c>
      <c r="CS1" t="s">
        <v>119</v>
      </c>
      <c r="CT1" t="s">
        <v>122</v>
      </c>
      <c r="CU1" t="s">
        <v>123</v>
      </c>
      <c r="CV1" t="s">
        <v>124</v>
      </c>
      <c r="CW1" t="s">
        <v>125</v>
      </c>
      <c r="CX1" t="s">
        <v>185</v>
      </c>
      <c r="CY1" t="s">
        <v>186</v>
      </c>
      <c r="CZ1" t="s">
        <v>187</v>
      </c>
      <c r="DA1" t="s">
        <v>188</v>
      </c>
      <c r="DB1" t="s">
        <v>126</v>
      </c>
      <c r="DC1" t="s">
        <v>127</v>
      </c>
      <c r="DD1" t="s">
        <v>128</v>
      </c>
      <c r="DE1" t="s">
        <v>237</v>
      </c>
      <c r="DF1" t="s">
        <v>238</v>
      </c>
      <c r="DG1" t="s">
        <v>239</v>
      </c>
      <c r="DH1" t="s">
        <v>237</v>
      </c>
      <c r="DI1" t="s">
        <v>240</v>
      </c>
      <c r="DJ1" t="s">
        <v>241</v>
      </c>
    </row>
    <row r="2" spans="1:114" x14ac:dyDescent="0.25">
      <c r="AY2" s="36"/>
      <c r="AZ2" s="36"/>
      <c r="CH2" s="114"/>
      <c r="CJ2" s="114"/>
      <c r="CM2" s="114"/>
    </row>
    <row r="3" spans="1:114" x14ac:dyDescent="0.25">
      <c r="AY3" s="36"/>
      <c r="AZ3" s="36"/>
      <c r="CH3" s="114"/>
      <c r="CJ3" s="114"/>
      <c r="CM3" s="114"/>
    </row>
    <row r="4" spans="1:114" x14ac:dyDescent="0.25">
      <c r="AY4" s="36"/>
      <c r="AZ4" s="36"/>
      <c r="CH4" s="114"/>
      <c r="CJ4" s="114"/>
      <c r="CM4" s="114"/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5" sqref="B5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175</v>
      </c>
      <c r="C5" s="1"/>
    </row>
    <row r="6" spans="2:3" x14ac:dyDescent="0.25">
      <c r="B6" s="1"/>
      <c r="C6" s="2"/>
    </row>
    <row r="7" spans="2:3" x14ac:dyDescent="0.25">
      <c r="B7" s="5" t="s">
        <v>184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F22" sqref="F2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232</v>
      </c>
      <c r="B2" s="109">
        <v>47</v>
      </c>
      <c r="J2" s="19"/>
    </row>
    <row r="3" spans="1:10" ht="18" customHeight="1" x14ac:dyDescent="0.25">
      <c r="A3" s="40" t="s">
        <v>231</v>
      </c>
      <c r="B3" s="110" t="s">
        <v>227</v>
      </c>
      <c r="E3" s="40"/>
      <c r="F3" s="40"/>
      <c r="H3" s="10" t="s">
        <v>164</v>
      </c>
      <c r="I3" s="19"/>
      <c r="J3" s="19"/>
    </row>
    <row r="4" spans="1:10" ht="18" customHeight="1" x14ac:dyDescent="0.25">
      <c r="A4" s="40" t="s">
        <v>16</v>
      </c>
      <c r="B4" s="109">
        <v>12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66</v>
      </c>
    </row>
    <row r="6" spans="1:10" ht="18" customHeight="1" x14ac:dyDescent="0.25">
      <c r="A6" s="40" t="s">
        <v>229</v>
      </c>
      <c r="B6" s="112">
        <f>(3.14*(SubDiameter/2)^2)*(SubLength)*(1/12)^3</f>
        <v>0.71958333333333335</v>
      </c>
      <c r="E6" s="1"/>
      <c r="F6" s="41"/>
      <c r="H6" s="10" t="s">
        <v>165</v>
      </c>
      <c r="I6" s="19"/>
      <c r="J6" s="19"/>
    </row>
    <row r="7" spans="1:10" ht="18" customHeight="1" x14ac:dyDescent="0.25">
      <c r="A7" s="40" t="s">
        <v>230</v>
      </c>
      <c r="B7" s="113">
        <f>Volume*28.317</f>
        <v>20.376441249999999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71</v>
      </c>
      <c r="I8" s="19"/>
      <c r="J8" s="19"/>
    </row>
    <row r="9" spans="1:10" ht="18" customHeight="1" x14ac:dyDescent="0.25">
      <c r="B9" s="1" t="s">
        <v>50</v>
      </c>
      <c r="C9" s="1" t="s">
        <v>51</v>
      </c>
      <c r="D9" s="1" t="s">
        <v>51</v>
      </c>
      <c r="J9" s="19"/>
    </row>
    <row r="10" spans="1:10" ht="18" customHeight="1" x14ac:dyDescent="0.25">
      <c r="B10" s="1" t="s">
        <v>52</v>
      </c>
      <c r="C10" s="1" t="s">
        <v>53</v>
      </c>
      <c r="D10" s="1" t="s">
        <v>54</v>
      </c>
      <c r="E10" s="41" t="s">
        <v>210</v>
      </c>
      <c r="F10" s="41"/>
      <c r="G10" s="41"/>
      <c r="J10" s="19"/>
    </row>
    <row r="11" spans="1:10" ht="18" customHeight="1" x14ac:dyDescent="0.25">
      <c r="A11" s="10" t="s">
        <v>55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70</v>
      </c>
      <c r="I13" s="44"/>
    </row>
    <row r="14" spans="1:10" ht="18" customHeight="1" x14ac:dyDescent="0.25">
      <c r="A14" s="39" t="s">
        <v>56</v>
      </c>
      <c r="B14" s="44"/>
      <c r="C14" s="41"/>
      <c r="D14" s="41"/>
      <c r="E14" s="20"/>
      <c r="F14" s="42"/>
      <c r="G14" s="42"/>
      <c r="H14" s="10" t="s">
        <v>69</v>
      </c>
      <c r="I14" s="44"/>
    </row>
    <row r="15" spans="1:10" ht="18" customHeight="1" x14ac:dyDescent="0.25">
      <c r="A15" s="39" t="s">
        <v>57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/>
      <c r="C16" s="42"/>
      <c r="D16" s="42"/>
      <c r="E16" s="20"/>
      <c r="F16" s="20"/>
      <c r="G16" s="42"/>
      <c r="I16" s="59" t="s">
        <v>202</v>
      </c>
    </row>
    <row r="17" spans="1:9" ht="18" customHeight="1" x14ac:dyDescent="0.25">
      <c r="A17" s="10" t="s">
        <v>58</v>
      </c>
      <c r="B17" s="20" t="s">
        <v>59</v>
      </c>
      <c r="C17" s="20" t="s">
        <v>60</v>
      </c>
      <c r="D17" s="42"/>
      <c r="F17" s="20"/>
      <c r="G17" s="42"/>
      <c r="H17" s="10" t="s">
        <v>180</v>
      </c>
      <c r="I17" s="44"/>
    </row>
    <row r="18" spans="1:9" ht="18" customHeight="1" x14ac:dyDescent="0.25">
      <c r="A18" s="38" t="s">
        <v>61</v>
      </c>
      <c r="B18" s="44"/>
      <c r="C18" s="44"/>
      <c r="D18" s="20"/>
      <c r="F18" s="20"/>
      <c r="G18" s="42"/>
      <c r="H18" s="10" t="s">
        <v>181</v>
      </c>
      <c r="I18" s="44"/>
    </row>
    <row r="19" spans="1:9" ht="18" customHeight="1" x14ac:dyDescent="0.25">
      <c r="A19" s="38" t="s">
        <v>62</v>
      </c>
      <c r="B19" s="44"/>
      <c r="C19" s="44"/>
      <c r="D19" s="20"/>
      <c r="H19" s="10" t="s">
        <v>182</v>
      </c>
      <c r="I19" s="44"/>
    </row>
    <row r="20" spans="1:9" ht="18" customHeight="1" x14ac:dyDescent="0.25">
      <c r="A20" s="38" t="s">
        <v>63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64</v>
      </c>
      <c r="B21" s="44"/>
      <c r="C21" s="44"/>
      <c r="D21" s="20"/>
    </row>
    <row r="22" spans="1:9" ht="18" customHeight="1" x14ac:dyDescent="0.25">
      <c r="A22" s="38" t="s">
        <v>65</v>
      </c>
      <c r="B22" s="44"/>
      <c r="C22" s="44"/>
      <c r="G22" s="19"/>
      <c r="I22" t="s">
        <v>228</v>
      </c>
    </row>
    <row r="23" spans="1:9" ht="18" customHeight="1" x14ac:dyDescent="0.25">
      <c r="H23" s="40" t="s">
        <v>183</v>
      </c>
    </row>
    <row r="24" spans="1:9" ht="18" customHeight="1" x14ac:dyDescent="0.25">
      <c r="A24" s="10" t="s">
        <v>67</v>
      </c>
      <c r="E24" s="19"/>
    </row>
    <row r="25" spans="1:9" ht="18" customHeight="1" x14ac:dyDescent="0.25">
      <c r="A25" s="10" t="s">
        <v>68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1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4" name="cbCracking">
          <controlPr defaultSize="0" autoFill="0" autoLine="0" r:id="rId15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14" name="cbCracking"/>
      </mc:Fallback>
    </mc:AlternateContent>
    <mc:AlternateContent xmlns:mc="http://schemas.openxmlformats.org/markup-compatibility/2006">
      <mc:Choice Requires="x14">
        <control shapeId="23574" r:id="rId16" name="cbBreachChannels">
          <controlPr defaultSize="0" autoFill="0" autoLine="0" r:id="rId17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6" name="cbBreachChannels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2" r:id="rId20" name="cbAshColor">
          <controlPr defaultSize="0" autoFill="0" autoLine="0" r:id="rId21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0" name="cbAshColor"/>
      </mc:Fallback>
    </mc:AlternateContent>
    <mc:AlternateContent xmlns:mc="http://schemas.openxmlformats.org/markup-compatibility/2006">
      <mc:Choice Requires="x14">
        <control shapeId="23571" r:id="rId22" name="cbAsh">
          <controlPr defaultSize="0" autoFill="0" autoLine="0" r:id="rId23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2" name="cbAsh"/>
      </mc:Fallback>
    </mc:AlternateContent>
    <mc:AlternateContent xmlns:mc="http://schemas.openxmlformats.org/markup-compatibility/2006">
      <mc:Choice Requires="x14">
        <control shapeId="23570" r:id="rId24" name="cbSoot">
          <controlPr defaultSize="0" autoFill="0" autoLine="0" r:id="rId25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4" name="cbSoot"/>
      </mc:Fallback>
    </mc:AlternateContent>
    <mc:AlternateContent xmlns:mc="http://schemas.openxmlformats.org/markup-compatibility/2006">
      <mc:Choice Requires="x14">
        <control shapeId="23560" r:id="rId26" name="chkRedAsh">
          <controlPr autoLine="0" r:id="rId11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6" name="chkRedAsh"/>
      </mc:Fallback>
    </mc:AlternateContent>
    <mc:AlternateContent xmlns:mc="http://schemas.openxmlformats.org/markup-compatibility/2006">
      <mc:Choice Requires="x14">
        <control shapeId="23559" r:id="rId27" name="cmdSave">
          <controlPr defaultSize="0" autoFill="0" autoLine="0" r:id="rId28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7" name="cmdSave"/>
      </mc:Fallback>
    </mc:AlternateContent>
    <mc:AlternateContent xmlns:mc="http://schemas.openxmlformats.org/markup-compatibility/2006">
      <mc:Choice Requires="x14">
        <control shapeId="23555" r:id="rId29" name="chkECDPinDropDepth">
          <controlPr autoLine="0" r:id="rId11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29" name="chkECDPinDropDepth"/>
      </mc:Fallback>
    </mc:AlternateContent>
    <mc:AlternateContent xmlns:mc="http://schemas.openxmlformats.org/markup-compatibility/2006">
      <mc:Choice Requires="x14">
        <control shapeId="23554" r:id="rId30" name="chkUSignalReceived">
          <controlPr autoLine="0" r:id="rId11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30" name="chkUSignalReceived"/>
      </mc:Fallback>
    </mc:AlternateContent>
    <mc:AlternateContent xmlns:mc="http://schemas.openxmlformats.org/markup-compatibility/2006">
      <mc:Choice Requires="x14">
        <control shapeId="23553" r:id="rId31" name="chkCoolant">
          <controlPr autoLine="0" r:id="rId11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1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211</v>
      </c>
      <c r="C3" s="1">
        <v>47</v>
      </c>
    </row>
    <row r="4" spans="2:9" ht="18.75" x14ac:dyDescent="0.3">
      <c r="I4" s="45"/>
    </row>
    <row r="5" spans="2:9" x14ac:dyDescent="0.25">
      <c r="B5" s="107" t="s">
        <v>16</v>
      </c>
      <c r="C5" s="108">
        <v>12</v>
      </c>
      <c r="D5" s="61"/>
      <c r="E5" s="61" t="s">
        <v>213</v>
      </c>
      <c r="F5" s="94"/>
      <c r="G5" s="95" t="s">
        <v>92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212</v>
      </c>
      <c r="F6" s="98"/>
      <c r="G6" s="67" t="s">
        <v>93</v>
      </c>
      <c r="H6" s="64"/>
    </row>
    <row r="7" spans="2:9" x14ac:dyDescent="0.25">
      <c r="B7" s="99" t="s">
        <v>171</v>
      </c>
      <c r="C7" s="97">
        <f>(3.14*(SubDiameter/2)^2)*(SubLength)*(1/12)^3</f>
        <v>0.71958333333333335</v>
      </c>
      <c r="D7" s="100"/>
      <c r="E7" s="64" t="s">
        <v>214</v>
      </c>
      <c r="F7" s="98">
        <f>(Volume*MaxSpaceVelocity)*(1/60)*(61.7)/(2350*0.395)</f>
        <v>0</v>
      </c>
      <c r="G7" s="67" t="s">
        <v>93</v>
      </c>
      <c r="H7" s="64"/>
    </row>
    <row r="8" spans="2:9" x14ac:dyDescent="0.25">
      <c r="B8" s="101" t="s">
        <v>172</v>
      </c>
      <c r="C8" s="102">
        <f>Volume*28.317</f>
        <v>20.376441249999999</v>
      </c>
      <c r="D8" s="103"/>
      <c r="E8" s="104" t="s">
        <v>215</v>
      </c>
      <c r="F8" s="106">
        <f>IF(F7&gt;MaxHertz,"60",F7)</f>
        <v>0</v>
      </c>
      <c r="G8" s="105" t="s">
        <v>93</v>
      </c>
      <c r="H8" s="64"/>
    </row>
    <row r="9" spans="2:9" x14ac:dyDescent="0.25">
      <c r="H9" s="64"/>
    </row>
    <row r="11" spans="2:9" x14ac:dyDescent="0.25">
      <c r="B11" s="87" t="s">
        <v>72</v>
      </c>
      <c r="C11" s="61"/>
      <c r="D11" s="88"/>
      <c r="E11" s="61" t="s">
        <v>73</v>
      </c>
      <c r="F11" s="61"/>
      <c r="G11" s="62" t="s">
        <v>88</v>
      </c>
      <c r="H11" s="62" t="s">
        <v>89</v>
      </c>
      <c r="I11" s="91"/>
    </row>
    <row r="12" spans="2:9" x14ac:dyDescent="0.25">
      <c r="B12" s="63" t="s">
        <v>74</v>
      </c>
      <c r="C12" s="64"/>
      <c r="D12" s="65"/>
      <c r="E12" s="64" t="s">
        <v>75</v>
      </c>
      <c r="F12" s="64"/>
      <c r="G12" s="64"/>
      <c r="H12" s="66" t="s">
        <v>90</v>
      </c>
      <c r="I12" s="92"/>
    </row>
    <row r="13" spans="2:9" x14ac:dyDescent="0.25">
      <c r="B13" s="63" t="s">
        <v>76</v>
      </c>
      <c r="C13" s="64"/>
      <c r="D13" s="68"/>
      <c r="E13" s="64"/>
      <c r="F13" s="64"/>
      <c r="G13" s="64"/>
      <c r="H13" s="66" t="s">
        <v>91</v>
      </c>
      <c r="I13" s="92"/>
    </row>
    <row r="14" spans="2:9" x14ac:dyDescent="0.25">
      <c r="B14" s="69" t="s">
        <v>77</v>
      </c>
      <c r="C14" s="70" t="s">
        <v>78</v>
      </c>
      <c r="D14" s="70" t="s">
        <v>79</v>
      </c>
      <c r="E14" s="70" t="s">
        <v>80</v>
      </c>
      <c r="F14" s="64"/>
      <c r="G14" s="70" t="s">
        <v>81</v>
      </c>
      <c r="H14" s="70"/>
      <c r="I14" s="71"/>
    </row>
    <row r="15" spans="2:9" x14ac:dyDescent="0.25">
      <c r="B15" s="72" t="s">
        <v>82</v>
      </c>
      <c r="C15" s="73" t="s">
        <v>83</v>
      </c>
      <c r="D15" s="73" t="s">
        <v>84</v>
      </c>
      <c r="E15" s="73" t="s">
        <v>83</v>
      </c>
      <c r="F15" s="73" t="s">
        <v>85</v>
      </c>
      <c r="G15" s="70" t="s">
        <v>86</v>
      </c>
      <c r="H15" s="70" t="s">
        <v>83</v>
      </c>
      <c r="I15" s="71" t="s">
        <v>87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239.86111111111114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419.75694444444446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599.65277777777771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719.58333333333337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839.51388888888891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899.47916666666663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959.44444444444457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1019.4097222222223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1079.375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1139.3402777777778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1199.3055555555554</v>
      </c>
      <c r="I26" s="84">
        <f t="shared" si="3"/>
        <v>0</v>
      </c>
    </row>
    <row r="28" spans="2:9" x14ac:dyDescent="0.25">
      <c r="B28" s="87" t="s">
        <v>72</v>
      </c>
      <c r="C28" s="61"/>
      <c r="D28" s="88"/>
      <c r="E28" s="61" t="s">
        <v>73</v>
      </c>
      <c r="F28" s="61"/>
      <c r="G28" s="62" t="s">
        <v>88</v>
      </c>
      <c r="H28" s="62" t="s">
        <v>89</v>
      </c>
      <c r="I28" s="91"/>
    </row>
    <row r="29" spans="2:9" x14ac:dyDescent="0.25">
      <c r="B29" s="63" t="s">
        <v>74</v>
      </c>
      <c r="C29" s="64"/>
      <c r="D29" s="65"/>
      <c r="E29" s="64" t="s">
        <v>75</v>
      </c>
      <c r="F29" s="64"/>
      <c r="G29" s="64"/>
      <c r="H29" s="66" t="s">
        <v>90</v>
      </c>
      <c r="I29" s="92"/>
    </row>
    <row r="30" spans="2:9" x14ac:dyDescent="0.25">
      <c r="B30" s="63" t="s">
        <v>76</v>
      </c>
      <c r="C30" s="64"/>
      <c r="D30" s="68"/>
      <c r="E30" s="64"/>
      <c r="F30" s="64"/>
      <c r="G30" s="64"/>
      <c r="H30" s="66" t="s">
        <v>91</v>
      </c>
      <c r="I30" s="92"/>
    </row>
    <row r="31" spans="2:9" x14ac:dyDescent="0.25">
      <c r="B31" s="69" t="s">
        <v>77</v>
      </c>
      <c r="C31" s="70" t="s">
        <v>78</v>
      </c>
      <c r="D31" s="70" t="s">
        <v>79</v>
      </c>
      <c r="E31" s="70" t="s">
        <v>80</v>
      </c>
      <c r="F31" s="85"/>
      <c r="G31" s="70" t="s">
        <v>81</v>
      </c>
      <c r="H31" s="70"/>
      <c r="I31" s="71"/>
    </row>
    <row r="32" spans="2:9" x14ac:dyDescent="0.25">
      <c r="B32" s="86" t="s">
        <v>82</v>
      </c>
      <c r="C32" s="70" t="s">
        <v>83</v>
      </c>
      <c r="D32" s="70" t="s">
        <v>84</v>
      </c>
      <c r="E32" s="70" t="s">
        <v>83</v>
      </c>
      <c r="F32" s="70" t="s">
        <v>85</v>
      </c>
      <c r="G32" s="70" t="s">
        <v>86</v>
      </c>
      <c r="H32" s="70" t="s">
        <v>83</v>
      </c>
      <c r="I32" s="71" t="s">
        <v>87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239.86111111111114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419.75694444444446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599.65277777777771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719.58333333333337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839.51388888888891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899.47916666666663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959.44444444444457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1019.4097222222223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1079.375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1139.3402777777778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1199.3055555555554</v>
      </c>
      <c r="I43" s="84">
        <f t="shared" si="8"/>
        <v>0</v>
      </c>
    </row>
    <row r="45" spans="2:9" x14ac:dyDescent="0.25">
      <c r="B45" s="87" t="s">
        <v>72</v>
      </c>
      <c r="C45" s="61"/>
      <c r="D45" s="88"/>
      <c r="E45" s="61" t="s">
        <v>73</v>
      </c>
      <c r="F45" s="61"/>
      <c r="G45" s="62" t="s">
        <v>88</v>
      </c>
      <c r="H45" s="62" t="s">
        <v>89</v>
      </c>
      <c r="I45" s="91"/>
    </row>
    <row r="46" spans="2:9" x14ac:dyDescent="0.25">
      <c r="B46" s="63" t="s">
        <v>74</v>
      </c>
      <c r="C46" s="64"/>
      <c r="D46" s="65"/>
      <c r="E46" s="64" t="s">
        <v>75</v>
      </c>
      <c r="F46" s="64"/>
      <c r="G46" s="64"/>
      <c r="H46" s="66" t="s">
        <v>90</v>
      </c>
      <c r="I46" s="92"/>
    </row>
    <row r="47" spans="2:9" x14ac:dyDescent="0.25">
      <c r="B47" s="63" t="s">
        <v>76</v>
      </c>
      <c r="C47" s="64"/>
      <c r="D47" s="68"/>
      <c r="E47" s="64"/>
      <c r="F47" s="64"/>
      <c r="G47" s="64"/>
      <c r="H47" s="66" t="s">
        <v>91</v>
      </c>
      <c r="I47" s="92"/>
    </row>
    <row r="48" spans="2:9" x14ac:dyDescent="0.25">
      <c r="B48" s="69" t="s">
        <v>77</v>
      </c>
      <c r="C48" s="70" t="s">
        <v>78</v>
      </c>
      <c r="D48" s="70" t="s">
        <v>79</v>
      </c>
      <c r="E48" s="70" t="s">
        <v>80</v>
      </c>
      <c r="F48" s="85"/>
      <c r="G48" s="70" t="s">
        <v>81</v>
      </c>
      <c r="H48" s="70"/>
      <c r="I48" s="71"/>
    </row>
    <row r="49" spans="2:9" x14ac:dyDescent="0.25">
      <c r="B49" s="86" t="s">
        <v>82</v>
      </c>
      <c r="C49" s="70" t="s">
        <v>83</v>
      </c>
      <c r="D49" s="70" t="s">
        <v>84</v>
      </c>
      <c r="E49" s="70" t="s">
        <v>83</v>
      </c>
      <c r="F49" s="70" t="s">
        <v>85</v>
      </c>
      <c r="G49" s="70" t="s">
        <v>86</v>
      </c>
      <c r="H49" s="70" t="s">
        <v>83</v>
      </c>
      <c r="I49" s="71" t="s">
        <v>87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239.86111111111114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419.75694444444446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599.65277777777771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719.58333333333337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839.51388888888891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899.47916666666663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959.44444444444457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1019.4097222222223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1079.375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1139.3402777777778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1199.3055555555554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2019-06-16T20:30:40Z</dcterms:modified>
</cp:coreProperties>
</file>