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7D3423B-5D21-465B-B9AC-1F87C4BE2F58}" xr6:coauthVersionLast="44" xr6:coauthVersionMax="44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DPF!$C$5:$C$28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<sst xmlns="http://schemas.openxmlformats.org/spreadsheetml/2006/main" count="589" uniqueCount="314">
  <si>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</si>
  <si>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</si>
  <si>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</si>
  <si>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</si>
  <si>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</si>
  <si>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</si>
  <si>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</si>
  <si>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</si>
  <si>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</si>
  <si>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</si>
  <si>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</si>
  <si>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</si>
  <si>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</si>
  <si>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</si>
  <si>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</si>
  <si>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</si>
  <si>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</si>
  <si>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</si>
  <si>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</si>
  <si>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</si>
  <si>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</si>
  <si>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</si>
  <si>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</si>
  <si>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</si>
  <si>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</si>
  <si>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</si>
  <si>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</si>
  <si>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</si>
  <si>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</si>
  <si>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</si>
  <si>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</si>
  <si>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</si>
  <si>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</si>
  <si>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</si>
  <si>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</si>
  <si>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</si>
  <si>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</si>
  <si>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</si>
  <si>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</si>
  <si>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</si>
  <si>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</si>
  <si>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</si>
  <si>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</si>
  <si>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</si>
  <si>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</si>
  <si>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</si>
  <si>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</si>
  <si>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</si>
  <si>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</si>
  <si>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</si>
  <si>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</si>
  <si>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</si>
  <si>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</si>
  <si>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</si>
  <si>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</si>
  <si>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</si>
  <si>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</si>
  <si>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</si>
  <si>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</si>
  <si>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</si>
  <si>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</si>
  <si>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</si>
  <si>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</si>
  <si>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</si>
  <si>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</si>
  <si>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</si>
  <si>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</si>
  <si>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</si>
  <si>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</si>
  <si>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</si>
  <si>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</si>
  <si>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</si>
  <si>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</si>
  <si>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</si>
  <si>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</si>
  <si>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</si>
  <si>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</si>
  <si>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</si>
  <si>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</si>
  <si>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</si>
  <si>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</si>
  <si>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</si>
  <si>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</si>
  <si>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</si>
  <si>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</si>
  <si>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</si>
  <si>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</si>
  <si>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</si>
  <si>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</si>
  <si>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</si>
  <si>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</si>
  <si>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</si>
  <si>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</si>
  <si>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</si>
  <si>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</si>
  <si>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</si>
  <si>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</si>
  <si>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</si>
  <si>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</si>
  <si>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</si>
  <si>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</si>
  <si>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</si>
  <si>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</si>
  <si>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</si>
  <si>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</si>
  <si>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</si>
  <si>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</si>
  <si>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</si>
  <si>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</si>
  <si>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</si>
  <si>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</si>
  <si>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</si>
  <si>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</si>
  <si>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</si>
  <si>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</si>
  <si>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</si>
  <si>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</si>
  <si>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</si>
  <si>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</si>
  <si>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</si>
  <si>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</si>
  <si>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</si>
  <si>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</si>
  <si>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</si>
  <si>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</si>
  <si>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</si>
  <si>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</si>
  <si>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</si>
  <si>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</si>
  <si>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</si>
  <si>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</si>
  <si>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</si>
  <si>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</si>
  <si>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</si>
  <si>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</si>
  <si>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</si>
  <si>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</si>
  <si>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</si>
  <si>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</si>
  <si>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</si>
  <si>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</si>
  <si>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</si>
  <si>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</si>
  <si>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</si>
  <si>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</si>
  <si>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</si>
  <si>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</si>
  <si>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</si>
  <si>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</si>
  <si>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</si>
  <si>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</si>
  <si>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</si>
  <si>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</si>
  <si>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</si>
  <si>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</si>
  <si>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</si>
  <si>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</si>
  <si>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</si>
  <si>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</si>
  <si>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</si>
  <si>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</si>
  <si>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</si>
  <si>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</si>
  <si>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</si>
  <si>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</si>
  <si>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</si>
  <si>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</si>
  <si>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</si>
  <si>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</si>
  <si>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</si>
  <si>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</si>
  <si>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</si>
  <si>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</si>
  <si>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</si>
  <si>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</si>
  <si>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</si>
  <si>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</si>
  <si>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</si>
  <si>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</si>
  <si>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</si>
  <si>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</si>
  <si>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</si>
  <si>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</si>
  <si>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</si>
  <si>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</si>
  <si>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</si>
  <si>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</si>
  <si>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</si>
  <si>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</si>
  <si>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</si>
  <si>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</si>
  <si>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</si>
  <si>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</si>
  <si>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</si>
  <si>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</si>
  <si>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</si>
  <si>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</si>
  <si>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</si>
  <si>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</si>
  <si>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</si>
  <si>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</si>
  <si>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</si>
  <si>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</si>
  <si>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</si>
  <si>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</si>
  <si>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</si>
  <si>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</si>
  <si>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</si>
  <si>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</si>
  <si>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</si>
  <si>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</si>
  <si>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</si>
  <si>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</si>
  <si>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</si>
  <si>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</si>
  <si>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</si>
  <si>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</si>
  <si>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</si>
  <si>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</si>
  <si>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</si>
  <si>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</si>
  <si>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</si>
  <si>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</si>
  <si>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</si>
  <si>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</si>
  <si>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</si>
  <si>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</si>
  <si>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</si>
  <si>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</si>
  <si>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</si>
  <si>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</si>
  <si>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</si>
  <si>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</si>
  <si>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</si>
  <si>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</si>
  <si>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</si>
  <si>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</si>
  <si>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</si>
  <si>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</si>
  <si>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</si>
  <si>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</si>
  <si>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</si>
  <si>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</si>
  <si>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</si>
  <si>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</si>
  <si>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</si>
  <si>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</si>
  <si>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</si>
  <si>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</si>
  <si>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</si>
  <si>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</si>
  <si>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</si>
  <si>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</si>
  <si>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</si>
  <si>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</si>
  <si>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</si>
  <si>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</si>
  <si>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</si>
  <si>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</si>
  <si>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</si>
  <si>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</si>
  <si>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</si>
  <si>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</si>
  <si>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</si>
  <si>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</si>
  <si>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</si>
  <si>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</si>
  <si>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</si>
  <si>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</si>
  <si>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</si>
  <si>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</si>
  <si>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</si>
  <si>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</si>
  <si>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</si>
  <si>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</si>
  <si>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</si>
  <si>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</si>
  <si>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</si>
  <si>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</si>
  <si>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</si>
  <si>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</si>
  <si>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</si>
  <si>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</si>
  <si>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</si>
  <si>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</si>
  <si>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</si>
  <si>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</si>
  <si>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</si>
  <si>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</si>
  <si>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</si>
  <si>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</si>
  <si>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</si>
  <si>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</si>
  <si>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</si>
  <si>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</si>
  <si>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</si>
  <si>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</si>
  <si>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</si>
  <si>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</si>
  <si>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</si>
  <si>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</si>
  <si>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</si>
  <si>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</si>
  <si>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</si>
  <si>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</si>
  <si>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</si>
  <si>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>test</t>
  </si>
  <si>
    <t>FJD</t>
  </si>
  <si>
    <t>75 Creamery RD</t>
  </si>
  <si>
    <t>Pottstown</t>
  </si>
  <si>
    <t>19355</t>
  </si>
  <si>
    <t xml:space="preserve">Passed  pin drop test </t>
  </si>
  <si>
    <t>Main</t>
  </si>
  <si>
    <t>v 1.1.0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</si>
</sst>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" Type="http://schemas.openxmlformats.org/officeDocument/2006/relationships/image" Target="../media/image70.emf"/><Relationship Id="rId21" Type="http://schemas.openxmlformats.org/officeDocument/2006/relationships/image" Target="../media/image52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" Type="http://schemas.openxmlformats.org/officeDocument/2006/relationships/image" Target="../media/image71.emf"/><Relationship Id="rId16" Type="http://schemas.openxmlformats.org/officeDocument/2006/relationships/image" Target="../media/image57.emf"/><Relationship Id="rId20" Type="http://schemas.openxmlformats.org/officeDocument/2006/relationships/image" Target="../media/image53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5" Type="http://schemas.openxmlformats.org/officeDocument/2006/relationships/image" Target="../media/image68.emf"/><Relationship Id="rId15" Type="http://schemas.openxmlformats.org/officeDocument/2006/relationships/image" Target="../media/image58.emf"/><Relationship Id="rId23" Type="http://schemas.openxmlformats.org/officeDocument/2006/relationships/image" Target="../media/image73.emf"/><Relationship Id="rId10" Type="http://schemas.openxmlformats.org/officeDocument/2006/relationships/image" Target="../media/image63.emf"/><Relationship Id="rId19" Type="http://schemas.openxmlformats.org/officeDocument/2006/relationships/image" Target="../media/image54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5" Type="http://schemas.openxmlformats.org/officeDocument/2006/relationships/image" Target="../media/image81.emf"/><Relationship Id="rId4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12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93.emf"/><Relationship Id="rId6" Type="http://schemas.openxmlformats.org/officeDocument/2006/relationships/image" Target="../media/image89.emf"/><Relationship Id="rId11" Type="http://schemas.openxmlformats.org/officeDocument/2006/relationships/image" Target="../media/image84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91.emf"/><Relationship Id="rId9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390525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314325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85725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3086100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3076575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1543050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647700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638175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647700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647700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1323975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1333500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3105150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1000125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1009650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990600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200025</xdr:colOff>
          <xdr:row>18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28575</xdr:rowOff>
        </xdr:from>
        <xdr:to>
          <xdr:col>2</xdr:col>
          <xdr:colOff>200025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28575</xdr:rowOff>
        </xdr:from>
        <xdr:to>
          <xdr:col>2</xdr:col>
          <xdr:colOff>200025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9525</xdr:rowOff>
        </xdr:from>
        <xdr:to>
          <xdr:col>2</xdr:col>
          <xdr:colOff>200025</xdr:colOff>
          <xdr:row>23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9525</xdr:rowOff>
        </xdr:from>
        <xdr:to>
          <xdr:col>2</xdr:col>
          <xdr:colOff>200025</xdr:colOff>
          <xdr:row>24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19050</xdr:rowOff>
        </xdr:from>
        <xdr:to>
          <xdr:col>2</xdr:col>
          <xdr:colOff>200025</xdr:colOff>
          <xdr:row>25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2</xdr:col>
          <xdr:colOff>3076575</xdr:colOff>
          <xdr:row>12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3076575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3076575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3076575</xdr:colOff>
          <xdr:row>13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3076575</xdr:colOff>
          <xdr:row>14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3076575</xdr:colOff>
          <xdr:row>15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9525</xdr:rowOff>
        </xdr:from>
        <xdr:to>
          <xdr:col>2</xdr:col>
          <xdr:colOff>3076575</xdr:colOff>
          <xdr:row>22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2</xdr:col>
          <xdr:colOff>3076575</xdr:colOff>
          <xdr:row>27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3076575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7</xdr:col>
          <xdr:colOff>600075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7</xdr:col>
          <xdr:colOff>600075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7</xdr:col>
          <xdr:colOff>628650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3086100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3076575</xdr:colOff>
          <xdr:row>9</xdr:row>
          <xdr:rowOff>9525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1143000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1162050</xdr:colOff>
          <xdr:row>7</xdr:row>
          <xdr:rowOff>123825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771525</xdr:colOff>
          <xdr:row>3</xdr:row>
          <xdr:rowOff>142875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438150</xdr:colOff>
          <xdr:row>3</xdr:row>
          <xdr:rowOff>76200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476250</xdr:colOff>
          <xdr:row>5</xdr:row>
          <xdr:rowOff>133350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57150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57150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57150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57150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1162050</xdr:colOff>
          <xdr:row>37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1162050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295275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1152525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323850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3</xdr:row>
          <xdr:rowOff>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171450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3.xml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63.emf"/><Relationship Id="rId41" Type="http://schemas.openxmlformats.org/officeDocument/2006/relationships/image" Target="../media/image6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7.emf"/><Relationship Id="rId40" Type="http://schemas.openxmlformats.org/officeDocument/2006/relationships/control" Target="../activeX/activeX69.xml"/><Relationship Id="rId45" Type="http://schemas.openxmlformats.org/officeDocument/2006/relationships/image" Target="../media/image71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control" Target="../activeX/activeX75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4" Type="http://schemas.openxmlformats.org/officeDocument/2006/relationships/control" Target="../activeX/activeX71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4.xml"/><Relationship Id="rId35" Type="http://schemas.openxmlformats.org/officeDocument/2006/relationships/image" Target="../media/image66.emf"/><Relationship Id="rId43" Type="http://schemas.openxmlformats.org/officeDocument/2006/relationships/image" Target="../media/image70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7.emf"/><Relationship Id="rId26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6.xml"/><Relationship Id="rId7" Type="http://schemas.openxmlformats.org/officeDocument/2006/relationships/image" Target="../media/image83.emf"/><Relationship Id="rId12" Type="http://schemas.openxmlformats.org/officeDocument/2006/relationships/control" Target="../activeX/activeX90.xml"/><Relationship Id="rId17" Type="http://schemas.openxmlformats.org/officeDocument/2006/relationships/control" Target="../activeX/activeX94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6.emf"/><Relationship Id="rId20" Type="http://schemas.openxmlformats.org/officeDocument/2006/relationships/image" Target="../media/image88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image" Target="../media/image85.emf"/><Relationship Id="rId24" Type="http://schemas.openxmlformats.org/officeDocument/2006/relationships/image" Target="../media/image90.emf"/><Relationship Id="rId32" Type="http://schemas.openxmlformats.org/officeDocument/2006/relationships/image" Target="../media/image93.emf"/><Relationship Id="rId5" Type="http://schemas.openxmlformats.org/officeDocument/2006/relationships/image" Target="../media/image82.emf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5.xml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6.xml"/><Relationship Id="rId9" Type="http://schemas.openxmlformats.org/officeDocument/2006/relationships/image" Target="../media/image84.emf"/><Relationship Id="rId14" Type="http://schemas.openxmlformats.org/officeDocument/2006/relationships/control" Target="../activeX/activeX92.xml"/><Relationship Id="rId22" Type="http://schemas.openxmlformats.org/officeDocument/2006/relationships/image" Target="../media/image89.emf"/><Relationship Id="rId27" Type="http://schemas.openxmlformats.org/officeDocument/2006/relationships/control" Target="../activeX/activeX99.xml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94.emf"/><Relationship Id="rId4" Type="http://schemas.openxmlformats.org/officeDocument/2006/relationships/control" Target="../activeX/activeX103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313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29</v>
      </c>
    </row>
    <row r="3" spans="2:5" ht="30" customHeight="1" x14ac:dyDescent="0.25">
      <c r="B3" s="11" t="s">
        <v>42</v>
      </c>
      <c r="C3" s="14" t="s">
        <v>306</v>
      </c>
      <c r="E3" s="37"/>
    </row>
    <row r="4" spans="2:5" ht="30" customHeight="1" x14ac:dyDescent="0.25">
      <c r="B4" s="11" t="s">
        <v>159</v>
      </c>
      <c r="C4" s="14" t="s">
        <v>307</v>
      </c>
      <c r="E4" s="34"/>
    </row>
    <row r="5" spans="2:5" ht="30" customHeight="1" x14ac:dyDescent="0.25">
      <c r="B5" s="11" t="s">
        <v>43</v>
      </c>
      <c r="C5" s="14" t="s">
        <v>308</v>
      </c>
      <c r="E5" s="37"/>
    </row>
    <row r="6" spans="2:5" ht="30" customHeight="1" x14ac:dyDescent="0.25">
      <c r="B6" s="11" t="s">
        <v>44</v>
      </c>
      <c r="C6" s="14" t="s">
        <v>160</v>
      </c>
    </row>
    <row r="7" spans="2:5" ht="30" customHeight="1" x14ac:dyDescent="0.25">
      <c r="B7" s="11" t="s">
        <v>45</v>
      </c>
      <c r="C7" s="14" t="s">
        <v>309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310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312</v>
      </c>
      <c r="D4" s="37"/>
    </row>
    <row r="5" spans="1:4" ht="30" customHeight="1" x14ac:dyDescent="0.25">
      <c r="A5" s="5" t="s">
        <v>1</v>
      </c>
      <c r="B5" s="14" t="s">
        <v>160</v>
      </c>
    </row>
    <row r="6" spans="1:4" ht="30" customHeight="1" x14ac:dyDescent="0.25">
      <c r="A6" s="5" t="s">
        <v>28</v>
      </c>
      <c r="B6" s="14" t="s">
        <v>160</v>
      </c>
    </row>
    <row r="7" spans="1:4" ht="30" customHeight="1" x14ac:dyDescent="0.25">
      <c r="A7" s="5" t="s">
        <v>2</v>
      </c>
      <c r="B7" s="14" t="s">
        <v>160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160</v>
      </c>
    </row>
    <row r="10" spans="1:4" ht="30" customHeight="1" x14ac:dyDescent="0.25">
      <c r="A10" s="5" t="s">
        <v>140</v>
      </c>
      <c r="B10" s="14" t="s">
        <v>188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257</v>
      </c>
      <c r="B3" s="12"/>
      <c r="D3" s="37"/>
    </row>
    <row r="4" spans="1:4" ht="30" customHeight="1" x14ac:dyDescent="0.25">
      <c r="A4" s="5" t="s">
        <v>165</v>
      </c>
      <c r="B4" s="138" t="s">
        <v>285</v>
      </c>
    </row>
    <row r="5" spans="1:4" ht="30" customHeight="1" x14ac:dyDescent="0.25">
      <c r="A5" s="5" t="s">
        <v>189</v>
      </c>
      <c r="B5" s="57"/>
    </row>
    <row r="6" spans="1:4" ht="30" customHeight="1" x14ac:dyDescent="0.25">
      <c r="A6" s="5" t="s">
        <v>9</v>
      </c>
      <c r="B6" s="14"/>
    </row>
    <row r="7" spans="1:4" ht="30" customHeight="1" x14ac:dyDescent="0.25">
      <c r="A7" s="5" t="s">
        <v>10</v>
      </c>
      <c r="B7" s="14" t="s">
        <v>286</v>
      </c>
    </row>
    <row r="8" spans="1:4" ht="30" customHeight="1" x14ac:dyDescent="0.25">
      <c r="A8" s="5" t="s">
        <v>11</v>
      </c>
      <c r="B8" s="14">
        <v>2019</v>
      </c>
    </row>
    <row r="9" spans="1:4" ht="30" customHeight="1" x14ac:dyDescent="0.25">
      <c r="A9" s="107" t="s">
        <v>258</v>
      </c>
      <c r="B9" s="14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/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287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163</v>
      </c>
      <c r="B3" s="14" t="s">
        <v>164</v>
      </c>
      <c r="E3" t="s">
        <v>161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288</v>
      </c>
      <c r="E3" s="37"/>
    </row>
    <row r="4" spans="1:5" ht="30" customHeight="1" x14ac:dyDescent="0.25">
      <c r="A4" s="5" t="s">
        <v>36</v>
      </c>
      <c r="B4" s="58"/>
    </row>
    <row r="5" spans="1:5" ht="30" customHeight="1" x14ac:dyDescent="0.25">
      <c r="A5" s="5" t="s">
        <v>13</v>
      </c>
      <c r="B5" s="14"/>
    </row>
    <row r="6" spans="1:5" ht="30" customHeight="1" x14ac:dyDescent="0.25">
      <c r="A6" s="5" t="s">
        <v>34</v>
      </c>
      <c r="B6" s="14"/>
    </row>
    <row r="7" spans="1:5" ht="30" customHeight="1" x14ac:dyDescent="0.25">
      <c r="A7" s="5" t="s">
        <v>14</v>
      </c>
      <c r="B7" s="14"/>
    </row>
    <row r="8" spans="1:5" ht="30" customHeight="1" x14ac:dyDescent="0.25">
      <c r="A8" s="5" t="s">
        <v>37</v>
      </c>
      <c r="B8" s="103"/>
    </row>
    <row r="9" spans="1:5" ht="30" customHeight="1" x14ac:dyDescent="0.25">
      <c r="A9" s="5" t="s">
        <v>15</v>
      </c>
      <c r="B9" s="14">
        <v>14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14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29"/>
  <sheetViews>
    <sheetView showGridLines="0" workbookViewId="0">
      <selection activeCell="I18" sqref="I18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147</v>
      </c>
      <c r="E4" s="45"/>
    </row>
    <row r="5" spans="2:10" ht="18" customHeight="1" x14ac:dyDescent="0.25">
      <c r="B5" s="134" t="s">
        <v>246</v>
      </c>
      <c r="C5" s="1"/>
      <c r="J5" s="5"/>
    </row>
    <row r="6" spans="2:10" ht="18" customHeight="1" x14ac:dyDescent="0.25">
      <c r="B6" s="5" t="s">
        <v>177</v>
      </c>
      <c r="C6" s="53">
        <v>43717.073365937496</v>
      </c>
      <c r="J6" s="5"/>
    </row>
    <row r="7" spans="2:10" ht="18" customHeight="1" x14ac:dyDescent="0.25">
      <c r="B7" s="5" t="s">
        <v>174</v>
      </c>
      <c r="C7" s="2"/>
    </row>
    <row r="8" spans="2:10" ht="18" customHeight="1" x14ac:dyDescent="0.25">
      <c r="B8" s="5" t="s">
        <v>175</v>
      </c>
      <c r="C8" s="53"/>
    </row>
    <row r="9" spans="2:10" ht="18" customHeight="1" x14ac:dyDescent="0.25">
      <c r="B9" s="5" t="s">
        <v>220</v>
      </c>
      <c r="C9" s="53"/>
    </row>
    <row r="10" spans="2:10" ht="18" customHeight="1" x14ac:dyDescent="0.25">
      <c r="B10" s="5" t="s">
        <v>265</v>
      </c>
      <c r="C10" s="137" t="s">
        <v>160</v>
      </c>
    </row>
    <row r="11" spans="2:10" ht="18" customHeight="1" x14ac:dyDescent="0.25">
      <c r="C11" s="2"/>
    </row>
    <row r="12" spans="2:10" ht="18" customHeight="1" x14ac:dyDescent="0.25">
      <c r="B12" s="5" t="s">
        <v>148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176</v>
      </c>
      <c r="C15" s="1"/>
    </row>
    <row r="16" spans="2:10" ht="18" customHeight="1" x14ac:dyDescent="0.25">
      <c r="B16" s="134" t="s">
        <v>259</v>
      </c>
      <c r="C16" s="54">
        <v>0</v>
      </c>
    </row>
    <row r="17" spans="2:5" ht="18" customHeight="1" x14ac:dyDescent="0.25">
      <c r="B17" s="134" t="s">
        <v>260</v>
      </c>
      <c r="C17" s="53">
        <v>0</v>
      </c>
    </row>
    <row r="18" spans="2:5" ht="18" customHeight="1" x14ac:dyDescent="0.25">
      <c r="C18" s="1"/>
    </row>
    <row r="19" spans="2:5" ht="18" customHeight="1" x14ac:dyDescent="0.25">
      <c r="B19" s="5" t="s">
        <v>19</v>
      </c>
      <c r="C19" s="52"/>
    </row>
    <row r="20" spans="2:5" ht="18" customHeight="1" x14ac:dyDescent="0.25">
      <c r="B20" s="5" t="s">
        <v>20</v>
      </c>
      <c r="C20" s="53"/>
    </row>
    <row r="21" spans="2:5" ht="18" customHeight="1" x14ac:dyDescent="0.25">
      <c r="B21" s="5" t="s">
        <v>21</v>
      </c>
      <c r="C21" s="53"/>
    </row>
    <row r="22" spans="2:5" ht="18" customHeight="1" x14ac:dyDescent="0.25">
      <c r="B22" s="5" t="s">
        <v>22</v>
      </c>
      <c r="C22" s="1"/>
    </row>
    <row r="23" spans="2:5" ht="18" customHeight="1" x14ac:dyDescent="0.25">
      <c r="C23" s="1"/>
    </row>
    <row r="24" spans="2:5" ht="18" customHeight="1" x14ac:dyDescent="0.25">
      <c r="B24" s="5" t="s">
        <v>23</v>
      </c>
      <c r="C24" s="52"/>
    </row>
    <row r="25" spans="2:5" ht="18" customHeight="1" x14ac:dyDescent="0.25">
      <c r="B25" s="5" t="s">
        <v>24</v>
      </c>
      <c r="C25" s="53"/>
    </row>
    <row r="26" spans="2:5" ht="18" customHeight="1" x14ac:dyDescent="0.25">
      <c r="B26" s="5" t="s">
        <v>25</v>
      </c>
      <c r="C26" s="53"/>
    </row>
    <row r="27" spans="2:5" ht="18" customHeight="1" x14ac:dyDescent="0.25">
      <c r="B27" s="5" t="s">
        <v>26</v>
      </c>
      <c r="C27" s="1"/>
      <c r="D27" s="116"/>
      <c r="E27" s="116"/>
    </row>
    <row r="28" spans="2:5" ht="18" customHeight="1" x14ac:dyDescent="0.25">
      <c r="B28" s="5" t="s">
        <v>7</v>
      </c>
      <c r="C28" s="1"/>
      <c r="D28" s="116"/>
      <c r="E28" s="116"/>
    </row>
    <row r="29" spans="2:5" ht="18" customHeight="1" x14ac:dyDescent="0.25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ltText="" r:id="rId1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r:id="rId27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3</xdr:col>
                <xdr:colOff>38100</xdr:colOff>
                <xdr:row>27</xdr:row>
                <xdr:rowOff>9525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19050</xdr:colOff>
                <xdr:row>21</xdr:row>
                <xdr:rowOff>9525</xdr:rowOff>
              </from>
              <to>
                <xdr:col>3</xdr:col>
                <xdr:colOff>38100</xdr:colOff>
                <xdr:row>22</xdr:row>
                <xdr:rowOff>19050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30" name="cbECD">
          <controlPr defaultSize="0" autoFill="0" autoLine="0" r:id="rId31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3</xdr:col>
                <xdr:colOff>38100</xdr:colOff>
                <xdr:row>15</xdr:row>
                <xdr:rowOff>19050</xdr:rowOff>
              </to>
            </anchor>
          </controlPr>
        </control>
      </mc:Choice>
      <mc:Fallback>
        <control shapeId="33805" r:id="rId30" name="cbECD"/>
      </mc:Fallback>
    </mc:AlternateContent>
    <mc:AlternateContent xmlns:mc="http://schemas.openxmlformats.org/markup-compatibility/2006">
      <mc:Choice Requires="x14">
        <control shapeId="33804" r:id="rId32" name="cbEngine">
          <controlPr defaultSize="0" autoFill="0" autoLine="0" r:id="rId33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3</xdr:col>
                <xdr:colOff>38100</xdr:colOff>
                <xdr:row>14</xdr:row>
                <xdr:rowOff>19050</xdr:rowOff>
              </to>
            </anchor>
          </controlPr>
        </control>
      </mc:Choice>
      <mc:Fallback>
        <control shapeId="33804" r:id="rId32" name="cbEngine"/>
      </mc:Fallback>
    </mc:AlternateContent>
    <mc:AlternateContent xmlns:mc="http://schemas.openxmlformats.org/markup-compatibility/2006">
      <mc:Choice Requires="x14">
        <control shapeId="33803" r:id="rId34" name="cbVehicle">
          <controlPr defaultSize="0" autoFill="0" autoLine="0" r:id="rId35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3" r:id="rId34" name="cbVehicle"/>
      </mc:Fallback>
    </mc:AlternateContent>
    <mc:AlternateContent xmlns:mc="http://schemas.openxmlformats.org/markup-compatibility/2006">
      <mc:Choice Requires="x14">
        <control shapeId="33802" r:id="rId36" name="cbCompLocation">
          <controlPr defaultSize="0" autoFill="0" autoLine="0" r:id="rId3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36" name="cbCompLocation"/>
      </mc:Fallback>
    </mc:AlternateContent>
    <mc:AlternateContent xmlns:mc="http://schemas.openxmlformats.org/markup-compatibility/2006">
      <mc:Choice Requires="x14">
        <control shapeId="33801" r:id="rId38" name="cbCompany">
          <controlPr defaultSize="0" autoFill="0" autoLine="0" r:id="rId3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38" name="cbCompany"/>
      </mc:Fallback>
    </mc:AlternateContent>
    <mc:AlternateContent xmlns:mc="http://schemas.openxmlformats.org/markup-compatibility/2006">
      <mc:Choice Requires="x14">
        <control shapeId="33800" r:id="rId40" name="cbDPF">
          <controlPr defaultSize="0" autoFill="0" autoLine="0" r:id="rId41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3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33800" r:id="rId40" name="cbDPF"/>
      </mc:Fallback>
    </mc:AlternateContent>
    <mc:AlternateContent xmlns:mc="http://schemas.openxmlformats.org/markup-compatibility/2006">
      <mc:Choice Requires="x14">
        <control shapeId="33799" r:id="rId42" name="cmdSave">
          <controlPr defaultSize="0" autoFill="0" autoLine="0" r:id="rId4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42" name="cmdSave"/>
      </mc:Fallback>
    </mc:AlternateContent>
    <mc:AlternateContent xmlns:mc="http://schemas.openxmlformats.org/markup-compatibility/2006">
      <mc:Choice Requires="x14">
        <control shapeId="33798" r:id="rId44" name="chkEngineFail">
          <controlPr autoLine="0" r:id="rId45">
            <anchor moveWithCells="1">
              <from>
                <xdr:col>2</xdr:col>
                <xdr:colOff>76200</xdr:colOff>
                <xdr:row>25</xdr:row>
                <xdr:rowOff>19050</xdr:rowOff>
              </from>
              <to>
                <xdr:col>2</xdr:col>
                <xdr:colOff>200025</xdr:colOff>
                <xdr:row>25</xdr:row>
                <xdr:rowOff>180975</xdr:rowOff>
              </to>
            </anchor>
          </controlPr>
        </control>
      </mc:Choice>
      <mc:Fallback>
        <control shapeId="33798" r:id="rId44" name="chkEngineFail"/>
      </mc:Fallback>
    </mc:AlternateContent>
    <mc:AlternateContent xmlns:mc="http://schemas.openxmlformats.org/markup-compatibility/2006">
      <mc:Choice Requires="x14">
        <control shapeId="33797" r:id="rId46" name="chkHighSootLoad">
          <controlPr autoLine="0" r:id="rId45">
            <anchor moveWithCells="1">
              <from>
                <xdr:col>2</xdr:col>
                <xdr:colOff>76200</xdr:colOff>
                <xdr:row>24</xdr:row>
                <xdr:rowOff>9525</xdr:rowOff>
              </from>
              <to>
                <xdr:col>2</xdr:col>
                <xdr:colOff>200025</xdr:colOff>
                <xdr:row>24</xdr:row>
                <xdr:rowOff>171450</xdr:rowOff>
              </to>
            </anchor>
          </controlPr>
        </control>
      </mc:Choice>
      <mc:Fallback>
        <control shapeId="33797" r:id="rId46" name="chkHighSootLoad"/>
      </mc:Fallback>
    </mc:AlternateContent>
    <mc:AlternateContent xmlns:mc="http://schemas.openxmlformats.org/markup-compatibility/2006">
      <mc:Choice Requires="x14">
        <control shapeId="33796" r:id="rId47" name="chkPreventMaint">
          <controlPr autoLine="0" r:id="rId45">
            <anchor moveWithCells="1">
              <from>
                <xdr:col>2</xdr:col>
                <xdr:colOff>76200</xdr:colOff>
                <xdr:row>23</xdr:row>
                <xdr:rowOff>9525</xdr:rowOff>
              </from>
              <to>
                <xdr:col>2</xdr:col>
                <xdr:colOff>200025</xdr:colOff>
                <xdr:row>23</xdr:row>
                <xdr:rowOff>171450</xdr:rowOff>
              </to>
            </anchor>
          </controlPr>
        </control>
      </mc:Choice>
      <mc:Fallback>
        <control shapeId="33796" r:id="rId47" name="chkPreventMaint"/>
      </mc:Fallback>
    </mc:AlternateContent>
    <mc:AlternateContent xmlns:mc="http://schemas.openxmlformats.org/markup-compatibility/2006">
      <mc:Choice Requires="x14">
        <control shapeId="33795" r:id="rId48" name="chkHighIdle">
          <controlPr autoLine="0" r:id="rId45">
            <anchor moveWithCells="1">
              <from>
                <xdr:col>2</xdr:col>
                <xdr:colOff>76200</xdr:colOff>
                <xdr:row>20</xdr:row>
                <xdr:rowOff>28575</xdr:rowOff>
              </from>
              <to>
                <xdr:col>2</xdr:col>
                <xdr:colOff>200025</xdr:colOff>
                <xdr:row>20</xdr:row>
                <xdr:rowOff>190500</xdr:rowOff>
              </to>
            </anchor>
          </controlPr>
        </control>
      </mc:Choice>
      <mc:Fallback>
        <control shapeId="33795" r:id="rId48" name="chkHighIdle"/>
      </mc:Fallback>
    </mc:AlternateContent>
    <mc:AlternateContent xmlns:mc="http://schemas.openxmlformats.org/markup-compatibility/2006">
      <mc:Choice Requires="x14">
        <control shapeId="33794" r:id="rId49" name="chkStartStop">
          <controlPr autoLine="0" r:id="rId45">
            <anchor moveWithCells="1">
              <from>
                <xdr:col>2</xdr:col>
                <xdr:colOff>76200</xdr:colOff>
                <xdr:row>19</xdr:row>
                <xdr:rowOff>28575</xdr:rowOff>
              </from>
              <to>
                <xdr:col>2</xdr:col>
                <xdr:colOff>200025</xdr:colOff>
                <xdr:row>19</xdr:row>
                <xdr:rowOff>190500</xdr:rowOff>
              </to>
            </anchor>
          </controlPr>
        </control>
      </mc:Choice>
      <mc:Fallback>
        <control shapeId="33794" r:id="rId49" name="chkStartStop"/>
      </mc:Fallback>
    </mc:AlternateContent>
    <mc:AlternateContent xmlns:mc="http://schemas.openxmlformats.org/markup-compatibility/2006">
      <mc:Choice Requires="x14">
        <control shapeId="33793" r:id="rId50" name="chkOvrRdHw">
          <controlPr autoLine="0" r:id="rId51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200025</xdr:colOff>
                <xdr:row>18</xdr:row>
                <xdr:rowOff>171450</xdr:rowOff>
              </to>
            </anchor>
          </controlPr>
        </control>
      </mc:Choice>
      <mc:Fallback>
        <control shapeId="33793" r:id="rId50" name="chkOvrRdHw"/>
      </mc:Fallback>
    </mc:AlternateContent>
    <mc:AlternateContent xmlns:mc="http://schemas.openxmlformats.org/markup-compatibility/2006">
      <mc:Choice Requires="x14">
        <control shapeId="33819" r:id="rId52" name="cbCleaningLocation">
          <controlPr defaultSize="0" autoFill="0" autoLine="0" r:id="rId53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3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33819" r:id="rId52" name="cbCleaningLoca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D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8" x14ac:dyDescent="0.25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266</v>
      </c>
      <c r="AN1" t="s">
        <v>267</v>
      </c>
      <c r="AO1" t="s">
        <v>149</v>
      </c>
      <c r="AP1" t="s">
        <v>248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249</v>
      </c>
      <c r="BK1" t="s">
        <v>98</v>
      </c>
      <c r="BL1" t="s">
        <v>14</v>
      </c>
      <c r="BM1" t="s">
        <v>10</v>
      </c>
      <c r="BN1" t="s">
        <v>11</v>
      </c>
      <c r="BO1" t="s">
        <v>268</v>
      </c>
      <c r="BP1" t="s">
        <v>269</v>
      </c>
      <c r="BQ1" t="s">
        <v>250</v>
      </c>
      <c r="BR1" t="s">
        <v>97</v>
      </c>
      <c r="BS1" t="s">
        <v>10</v>
      </c>
      <c r="BT1" t="s">
        <v>11</v>
      </c>
      <c r="BU1" t="s">
        <v>99</v>
      </c>
      <c r="BV1" t="s">
        <v>251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252</v>
      </c>
      <c r="CG1" t="s">
        <v>184</v>
      </c>
      <c r="CH1" t="s">
        <v>253</v>
      </c>
      <c r="CI1" t="s">
        <v>254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255</v>
      </c>
      <c r="CX1" t="s">
        <v>270</v>
      </c>
      <c r="CY1" t="s">
        <v>271</v>
      </c>
      <c r="CZ1" t="s">
        <v>272</v>
      </c>
      <c r="DA1" t="s">
        <v>273</v>
      </c>
      <c r="DB1" t="s">
        <v>274</v>
      </c>
      <c r="DC1" t="s">
        <v>275</v>
      </c>
      <c r="DD1" t="s">
        <v>276</v>
      </c>
    </row>
    <row r="2" spans="1:108" ht="30" x14ac:dyDescent="0.25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290</v>
      </c>
      <c r="AB2" t="s">
        <v>292</v>
      </c>
      <c r="AC2" t="s">
        <v>293</v>
      </c>
      <c r="AD2">
        <v>0</v>
      </c>
      <c r="AE2" t="b">
        <v>1</v>
      </c>
      <c r="AF2" t="b">
        <v>1</v>
      </c>
      <c r="AG2" t="b">
        <v>1</v>
      </c>
      <c r="AH2" t="s">
        <v>294</v>
      </c>
      <c r="AI2" t="b">
        <v>1</v>
      </c>
      <c r="AJ2" t="b">
        <v>1</v>
      </c>
      <c r="AK2" t="b">
        <v>1</v>
      </c>
      <c r="AL2" t="s">
        <v>295</v>
      </c>
      <c r="AM2">
        <v>5000</v>
      </c>
      <c r="AN2">
        <v>5</v>
      </c>
      <c r="AO2" s="36">
        <v>43716.717454861115</v>
      </c>
      <c r="AP2" t="s">
        <v>277</v>
      </c>
      <c r="AQ2" t="s">
        <v>278</v>
      </c>
      <c r="AR2" t="s">
        <v>279</v>
      </c>
      <c r="AT2" t="s">
        <v>280</v>
      </c>
      <c r="AU2" t="s">
        <v>281</v>
      </c>
      <c r="AV2" t="s">
        <v>256</v>
      </c>
      <c r="AW2" t="s">
        <v>277</v>
      </c>
      <c r="AX2" t="s">
        <v>278</v>
      </c>
      <c r="AY2" s="36" t="s">
        <v>279</v>
      </c>
      <c r="AZ2" s="36"/>
      <c r="BA2" t="s">
        <v>280</v>
      </c>
      <c r="BB2" t="s">
        <v>281</v>
      </c>
      <c r="BC2" t="s">
        <v>256</v>
      </c>
      <c r="BD2" t="s">
        <v>280</v>
      </c>
      <c r="BE2" t="s">
        <v>279</v>
      </c>
      <c r="BG2" t="s">
        <v>280</v>
      </c>
      <c r="BH2" t="s">
        <v>282</v>
      </c>
      <c r="BI2" t="s">
        <v>256</v>
      </c>
      <c r="BJ2" t="s">
        <v>285</v>
      </c>
      <c r="BL2" t="s">
        <v>296</v>
      </c>
      <c r="BM2" t="s">
        <v>286</v>
      </c>
      <c r="BN2">
        <v>2019</v>
      </c>
      <c r="BO2" t="s">
        <v>283</v>
      </c>
      <c r="BP2">
        <v>500</v>
      </c>
      <c r="BQ2" t="s">
        <v>296</v>
      </c>
      <c r="BS2" t="s">
        <v>287</v>
      </c>
      <c r="BT2">
        <v>2019</v>
      </c>
      <c r="BU2" t="s">
        <v>297</v>
      </c>
      <c r="BV2" t="s">
        <v>296</v>
      </c>
      <c r="BW2" t="s">
        <v>298</v>
      </c>
      <c r="BX2">
        <v>0</v>
      </c>
      <c r="BZ2" t="s">
        <v>288</v>
      </c>
      <c r="CB2">
        <v>14</v>
      </c>
      <c r="CC2">
        <v>12</v>
      </c>
      <c r="CD2">
        <v>14</v>
      </c>
      <c r="CE2">
        <v>11</v>
      </c>
      <c r="CF2" s="106" t="s">
        <v>299</v>
      </c>
      <c r="CG2" t="s">
        <v>300</v>
      </c>
      <c r="CH2" s="106" t="s">
        <v>301</v>
      </c>
      <c r="CI2" t="s">
        <v>302</v>
      </c>
      <c r="CJ2" s="106" t="s">
        <v>303</v>
      </c>
      <c r="CK2" t="s">
        <v>304</v>
      </c>
      <c r="CL2" t="s">
        <v>301</v>
      </c>
      <c r="CM2" s="106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305</v>
      </c>
      <c r="CT2">
        <v>11</v>
      </c>
      <c r="CU2">
        <v>110000</v>
      </c>
      <c r="CV2">
        <v>60</v>
      </c>
      <c r="CW2" t="s">
        <v>291</v>
      </c>
      <c r="CX2" t="s">
        <v>284</v>
      </c>
      <c r="CY2" t="s">
        <v>261</v>
      </c>
      <c r="CZ2" t="s">
        <v>262</v>
      </c>
      <c r="DB2" t="s">
        <v>263</v>
      </c>
      <c r="DC2" t="s">
        <v>256</v>
      </c>
      <c r="DD2" t="s">
        <v>264</v>
      </c>
    </row>
    <row r="3" spans="1:108" ht="30" x14ac:dyDescent="0.25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290</v>
      </c>
      <c r="AB3" t="s">
        <v>292</v>
      </c>
      <c r="AC3" t="s">
        <v>293</v>
      </c>
      <c r="AD3">
        <v>0</v>
      </c>
      <c r="AE3" t="b">
        <v>1</v>
      </c>
      <c r="AF3" t="b">
        <v>1</v>
      </c>
      <c r="AG3" t="b">
        <v>1</v>
      </c>
      <c r="AH3" t="s">
        <v>294</v>
      </c>
      <c r="AI3" t="b">
        <v>1</v>
      </c>
      <c r="AJ3" t="b">
        <v>1</v>
      </c>
      <c r="AK3" t="b">
        <v>1</v>
      </c>
      <c r="AL3" t="s">
        <v>295</v>
      </c>
      <c r="AM3">
        <v>5000</v>
      </c>
      <c r="AN3">
        <v>5</v>
      </c>
      <c r="AO3" s="36">
        <v>43716.717454861115</v>
      </c>
      <c r="AP3" t="s">
        <v>277</v>
      </c>
      <c r="AQ3" t="s">
        <v>278</v>
      </c>
      <c r="AR3" t="s">
        <v>279</v>
      </c>
      <c r="AT3" t="s">
        <v>280</v>
      </c>
      <c r="AU3" t="s">
        <v>281</v>
      </c>
      <c r="AV3" t="s">
        <v>256</v>
      </c>
      <c r="AW3" t="s">
        <v>277</v>
      </c>
      <c r="AX3" t="s">
        <v>278</v>
      </c>
      <c r="AY3" s="36" t="s">
        <v>279</v>
      </c>
      <c r="AZ3" s="36"/>
      <c r="BA3" t="s">
        <v>280</v>
      </c>
      <c r="BB3" t="s">
        <v>281</v>
      </c>
      <c r="BC3" t="s">
        <v>256</v>
      </c>
      <c r="BD3" t="s">
        <v>280</v>
      </c>
      <c r="BE3" t="s">
        <v>279</v>
      </c>
      <c r="BG3" t="s">
        <v>280</v>
      </c>
      <c r="BH3" t="s">
        <v>282</v>
      </c>
      <c r="BI3" t="s">
        <v>256</v>
      </c>
      <c r="BJ3" t="s">
        <v>285</v>
      </c>
      <c r="BL3" t="s">
        <v>296</v>
      </c>
      <c r="BM3" t="s">
        <v>286</v>
      </c>
      <c r="BN3">
        <v>2019</v>
      </c>
      <c r="BO3" t="s">
        <v>283</v>
      </c>
      <c r="BP3">
        <v>500</v>
      </c>
      <c r="BQ3" t="s">
        <v>296</v>
      </c>
      <c r="BS3" t="s">
        <v>287</v>
      </c>
      <c r="BT3">
        <v>2019</v>
      </c>
      <c r="BU3" t="s">
        <v>297</v>
      </c>
      <c r="BV3" t="s">
        <v>296</v>
      </c>
      <c r="BW3" t="s">
        <v>298</v>
      </c>
      <c r="BX3">
        <v>0</v>
      </c>
      <c r="BZ3" t="s">
        <v>288</v>
      </c>
      <c r="CB3">
        <v>14</v>
      </c>
      <c r="CC3">
        <v>12</v>
      </c>
      <c r="CD3">
        <v>14</v>
      </c>
      <c r="CE3">
        <v>11</v>
      </c>
      <c r="CF3" s="106" t="s">
        <v>299</v>
      </c>
      <c r="CG3" t="s">
        <v>300</v>
      </c>
      <c r="CH3" s="106" t="s">
        <v>301</v>
      </c>
      <c r="CI3" t="s">
        <v>302</v>
      </c>
      <c r="CJ3" s="106" t="s">
        <v>303</v>
      </c>
      <c r="CK3" t="s">
        <v>304</v>
      </c>
      <c r="CL3" t="s">
        <v>301</v>
      </c>
      <c r="CM3" s="106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305</v>
      </c>
      <c r="CT3">
        <v>11</v>
      </c>
      <c r="CU3">
        <v>110000</v>
      </c>
      <c r="CV3">
        <v>60</v>
      </c>
      <c r="CW3" t="s">
        <v>291</v>
      </c>
      <c r="CX3" t="s">
        <v>284</v>
      </c>
      <c r="CY3" t="s">
        <v>261</v>
      </c>
      <c r="CZ3" t="s">
        <v>262</v>
      </c>
      <c r="DB3" t="s">
        <v>263</v>
      </c>
      <c r="DC3" t="s">
        <v>256</v>
      </c>
      <c r="DD3" t="s">
        <v>264</v>
      </c>
    </row>
    <row r="4" spans="1:108" ht="30" x14ac:dyDescent="0.25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290</v>
      </c>
      <c r="AB4" t="s">
        <v>292</v>
      </c>
      <c r="AC4" t="s">
        <v>293</v>
      </c>
      <c r="AD4">
        <v>0</v>
      </c>
      <c r="AE4" t="b">
        <v>1</v>
      </c>
      <c r="AF4" t="b">
        <v>1</v>
      </c>
      <c r="AG4" t="b">
        <v>1</v>
      </c>
      <c r="AH4" t="s">
        <v>294</v>
      </c>
      <c r="AI4" t="b">
        <v>1</v>
      </c>
      <c r="AJ4" t="b">
        <v>1</v>
      </c>
      <c r="AK4" t="b">
        <v>1</v>
      </c>
      <c r="AL4" t="s">
        <v>295</v>
      </c>
      <c r="AM4">
        <v>5000</v>
      </c>
      <c r="AN4">
        <v>5</v>
      </c>
      <c r="AO4" s="36">
        <v>43716.717454861115</v>
      </c>
      <c r="AP4" t="s">
        <v>277</v>
      </c>
      <c r="AQ4" t="s">
        <v>278</v>
      </c>
      <c r="AR4" t="s">
        <v>279</v>
      </c>
      <c r="AT4" t="s">
        <v>280</v>
      </c>
      <c r="AU4" t="s">
        <v>281</v>
      </c>
      <c r="AV4" t="s">
        <v>256</v>
      </c>
      <c r="AW4" t="s">
        <v>277</v>
      </c>
      <c r="AX4" t="s">
        <v>278</v>
      </c>
      <c r="AY4" s="36" t="s">
        <v>279</v>
      </c>
      <c r="AZ4" s="36"/>
      <c r="BA4" t="s">
        <v>280</v>
      </c>
      <c r="BB4" t="s">
        <v>281</v>
      </c>
      <c r="BC4" t="s">
        <v>256</v>
      </c>
      <c r="BD4" t="s">
        <v>280</v>
      </c>
      <c r="BE4" t="s">
        <v>279</v>
      </c>
      <c r="BG4" t="s">
        <v>280</v>
      </c>
      <c r="BH4" t="s">
        <v>282</v>
      </c>
      <c r="BI4" t="s">
        <v>256</v>
      </c>
      <c r="BJ4" t="s">
        <v>285</v>
      </c>
      <c r="BL4" t="s">
        <v>296</v>
      </c>
      <c r="BM4" t="s">
        <v>286</v>
      </c>
      <c r="BN4">
        <v>2019</v>
      </c>
      <c r="BO4" t="s">
        <v>283</v>
      </c>
      <c r="BP4">
        <v>500</v>
      </c>
      <c r="BQ4" t="s">
        <v>296</v>
      </c>
      <c r="BS4" t="s">
        <v>287</v>
      </c>
      <c r="BT4">
        <v>2019</v>
      </c>
      <c r="BU4" t="s">
        <v>297</v>
      </c>
      <c r="BV4" t="s">
        <v>296</v>
      </c>
      <c r="BW4" t="s">
        <v>298</v>
      </c>
      <c r="BX4">
        <v>0</v>
      </c>
      <c r="BZ4" t="s">
        <v>288</v>
      </c>
      <c r="CB4">
        <v>14</v>
      </c>
      <c r="CC4">
        <v>12</v>
      </c>
      <c r="CD4">
        <v>14</v>
      </c>
      <c r="CE4">
        <v>11</v>
      </c>
      <c r="CF4" s="106" t="s">
        <v>299</v>
      </c>
      <c r="CG4" t="s">
        <v>300</v>
      </c>
      <c r="CH4" s="106" t="s">
        <v>301</v>
      </c>
      <c r="CI4" t="s">
        <v>302</v>
      </c>
      <c r="CJ4" s="106" t="s">
        <v>303</v>
      </c>
      <c r="CK4" t="s">
        <v>304</v>
      </c>
      <c r="CL4" t="s">
        <v>301</v>
      </c>
      <c r="CM4" s="106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305</v>
      </c>
      <c r="CT4">
        <v>11</v>
      </c>
      <c r="CU4">
        <v>110000</v>
      </c>
      <c r="CV4">
        <v>60</v>
      </c>
      <c r="CW4" t="s">
        <v>291</v>
      </c>
      <c r="CX4" t="s">
        <v>284</v>
      </c>
      <c r="CY4" t="s">
        <v>261</v>
      </c>
      <c r="CZ4" t="s">
        <v>262</v>
      </c>
      <c r="DB4" t="s">
        <v>263</v>
      </c>
      <c r="DC4" t="s">
        <v>256</v>
      </c>
      <c r="DD4" t="s">
        <v>264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08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1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25">
      <c r="B13" s="19">
        <v>9</v>
      </c>
      <c r="C13" s="108" t="s">
        <v>197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25">
      <c r="B14" s="19">
        <v>8</v>
      </c>
      <c r="C14" s="108" t="s">
        <v>198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25">
      <c r="B15" s="19">
        <v>7</v>
      </c>
      <c r="C15" s="108" t="s">
        <v>199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25">
      <c r="B16" s="19">
        <v>6</v>
      </c>
      <c r="C16" s="108" t="s">
        <v>200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25">
      <c r="B17" s="19">
        <v>35</v>
      </c>
      <c r="C17" s="108" t="s">
        <v>201</v>
      </c>
      <c r="D17" s="19">
        <v>41</v>
      </c>
      <c r="F17" s="2">
        <v>43607.795680439813</v>
      </c>
      <c r="G17" t="s">
        <v>202</v>
      </c>
      <c r="H17" t="s">
        <v>203</v>
      </c>
    </row>
    <row r="18" spans="2:8" ht="15.95" customHeight="1" x14ac:dyDescent="0.25">
      <c r="B18" s="19">
        <v>35</v>
      </c>
      <c r="C18" s="108" t="s">
        <v>201</v>
      </c>
      <c r="D18" s="19">
        <v>42</v>
      </c>
      <c r="F18" s="2">
        <v>43607.808764930553</v>
      </c>
      <c r="G18" t="s">
        <v>202</v>
      </c>
      <c r="H18" t="s">
        <v>203</v>
      </c>
    </row>
    <row r="19" spans="2:8" x14ac:dyDescent="0.25">
      <c r="B19" s="19">
        <v>13</v>
      </c>
      <c r="C19" s="108" t="s">
        <v>204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25">
      <c r="B20" s="19">
        <v>12</v>
      </c>
      <c r="C20" s="108" t="s">
        <v>205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25">
      <c r="B21" s="19">
        <v>11</v>
      </c>
      <c r="C21" s="108" t="s">
        <v>206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25">
      <c r="B22" s="19">
        <v>10</v>
      </c>
      <c r="C22" s="108" t="s">
        <v>207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25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25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25">
      <c r="B25" s="19">
        <v>37</v>
      </c>
      <c r="C25" s="108" t="s">
        <v>208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25">
      <c r="B26" s="19">
        <v>37</v>
      </c>
      <c r="C26" s="108" t="s">
        <v>208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25">
      <c r="B27" s="19">
        <v>36</v>
      </c>
      <c r="C27" s="108" t="s">
        <v>209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25">
      <c r="B28" s="19">
        <v>34</v>
      </c>
      <c r="C28" s="108" t="s">
        <v>210</v>
      </c>
      <c r="D28" s="19">
        <v>40</v>
      </c>
      <c r="F28" s="2">
        <v>43607.790823958334</v>
      </c>
      <c r="G28" t="s">
        <v>211</v>
      </c>
      <c r="H28" t="s">
        <v>162</v>
      </c>
    </row>
    <row r="29" spans="2:8" x14ac:dyDescent="0.25">
      <c r="B29" s="19">
        <v>33</v>
      </c>
      <c r="C29" s="108" t="s">
        <v>212</v>
      </c>
      <c r="D29" s="19">
        <v>39</v>
      </c>
      <c r="F29" s="2">
        <v>43607.79031369213</v>
      </c>
      <c r="G29" t="s">
        <v>213</v>
      </c>
      <c r="H29" t="s">
        <v>162</v>
      </c>
    </row>
    <row r="30" spans="2:8" x14ac:dyDescent="0.25">
      <c r="B30" s="19">
        <v>32</v>
      </c>
      <c r="C30" s="108" t="s">
        <v>214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25">
      <c r="B31" s="19">
        <v>32</v>
      </c>
      <c r="C31" s="108" t="s">
        <v>214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25">
      <c r="B32" s="19">
        <v>31</v>
      </c>
      <c r="C32" s="108" t="s">
        <v>215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25">
      <c r="B33" s="19">
        <v>31</v>
      </c>
      <c r="C33" s="108" t="s">
        <v>215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25">
      <c r="B34" s="19">
        <v>31</v>
      </c>
      <c r="C34" s="108" t="s">
        <v>215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25">
      <c r="B35" s="19">
        <v>30</v>
      </c>
      <c r="C35" s="108" t="s">
        <v>216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25">
      <c r="B36" s="19">
        <v>16</v>
      </c>
      <c r="C36" s="108" t="s">
        <v>217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25">
      <c r="B37" s="19">
        <v>16</v>
      </c>
      <c r="C37" s="108" t="s">
        <v>217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25">
      <c r="B38" s="19">
        <v>15</v>
      </c>
      <c r="C38" s="108" t="s">
        <v>218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25">
      <c r="B39" s="19">
        <v>14</v>
      </c>
      <c r="C39" s="108" t="s">
        <v>219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25">
      <c r="B40" s="19">
        <v>14</v>
      </c>
      <c r="C40" s="108" t="s">
        <v>219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25">
      <c r="B41" s="19">
        <v>14</v>
      </c>
      <c r="C41" s="108" t="s">
        <v>219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148</v>
      </c>
      <c r="C5" s="1"/>
    </row>
    <row r="6" spans="2:3" x14ac:dyDescent="0.25">
      <c r="B6" s="1"/>
      <c r="C6" s="2"/>
    </row>
    <row r="7" spans="2:3" x14ac:dyDescent="0.25">
      <c r="B7" s="5" t="s">
        <v>154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25"/>
  <cols>
    <col min="1" max="1" width="34.28515625" style="123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3" t="s">
        <v>0</v>
      </c>
      <c r="B2" s="101" t="s">
        <v>290</v>
      </c>
    </row>
    <row r="3" spans="1:10" ht="18" customHeight="1" x14ac:dyDescent="0.25">
      <c r="A3" s="123" t="s">
        <v>180</v>
      </c>
      <c r="B3" s="117">
        <v>86</v>
      </c>
      <c r="J3" s="19"/>
    </row>
    <row r="4" spans="1:10" ht="18" customHeight="1" x14ac:dyDescent="0.25">
      <c r="A4" s="123" t="s">
        <v>241</v>
      </c>
      <c r="B4" s="102" t="s">
        <v>289</v>
      </c>
      <c r="E4" s="40"/>
      <c r="F4" s="40"/>
      <c r="H4" s="10"/>
      <c r="I4" s="19"/>
      <c r="J4" s="19"/>
    </row>
    <row r="5" spans="1:10" ht="18" customHeight="1" x14ac:dyDescent="0.25">
      <c r="A5" s="123" t="s">
        <v>16</v>
      </c>
      <c r="B5" s="101">
        <v>12</v>
      </c>
      <c r="F5" s="43"/>
      <c r="H5" s="10"/>
      <c r="I5" s="19"/>
      <c r="J5" s="19"/>
    </row>
    <row r="6" spans="1:10" ht="18" customHeight="1" x14ac:dyDescent="0.25">
      <c r="A6" s="123" t="s">
        <v>18</v>
      </c>
      <c r="B6" s="101">
        <v>11</v>
      </c>
      <c r="F6" s="41"/>
      <c r="H6" s="10"/>
    </row>
    <row r="7" spans="1:10" ht="18" customHeight="1" x14ac:dyDescent="0.25">
      <c r="A7" s="123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23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23" t="s">
        <v>233</v>
      </c>
      <c r="B10" s="1" t="s">
        <v>49</v>
      </c>
      <c r="C10" s="1" t="s">
        <v>50</v>
      </c>
      <c r="D10" s="1" t="s">
        <v>50</v>
      </c>
      <c r="G10" s="125" t="s">
        <v>237</v>
      </c>
      <c r="J10" s="19"/>
    </row>
    <row r="11" spans="1:10" ht="18" customHeight="1" x14ac:dyDescent="0.25">
      <c r="B11" s="123" t="s">
        <v>244</v>
      </c>
      <c r="C11" s="123" t="s">
        <v>243</v>
      </c>
      <c r="D11" s="123" t="s">
        <v>242</v>
      </c>
      <c r="E11" s="123" t="s">
        <v>168</v>
      </c>
      <c r="F11" s="41"/>
      <c r="G11" s="127" t="s">
        <v>221</v>
      </c>
      <c r="H11" s="126"/>
      <c r="J11" s="19"/>
    </row>
    <row r="12" spans="1:10" ht="18" customHeight="1" x14ac:dyDescent="0.25">
      <c r="A12" s="123" t="s">
        <v>51</v>
      </c>
      <c r="B12" s="44">
        <v>45</v>
      </c>
      <c r="C12" s="44">
        <v>44</v>
      </c>
      <c r="D12" s="44">
        <v>43</v>
      </c>
      <c r="E12" s="105">
        <f>B12-D12</f>
        <v>2</v>
      </c>
      <c r="F12" s="131" t="s">
        <v>222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25">
      <c r="A14" s="125" t="s">
        <v>234</v>
      </c>
      <c r="B14" s="41"/>
      <c r="C14" s="41"/>
      <c r="D14" s="119"/>
      <c r="E14" s="20"/>
      <c r="F14" s="120"/>
      <c r="G14" s="127" t="s">
        <v>223</v>
      </c>
    </row>
    <row r="15" spans="1:10" ht="18" customHeight="1" x14ac:dyDescent="0.25">
      <c r="A15" s="124" t="s">
        <v>224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25">
      <c r="A16" s="123" t="s">
        <v>225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25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25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25">
      <c r="C19" s="41"/>
      <c r="D19" s="119"/>
      <c r="E19" s="20"/>
      <c r="F19" s="120"/>
      <c r="G19" s="42"/>
    </row>
    <row r="20" spans="1:14" ht="18" customHeight="1" x14ac:dyDescent="0.25">
      <c r="A20" s="123" t="s">
        <v>226</v>
      </c>
      <c r="B20" s="121" t="s">
        <v>61</v>
      </c>
      <c r="C20" s="41"/>
      <c r="D20" s="119"/>
      <c r="E20" s="122"/>
      <c r="F20" s="120"/>
      <c r="G20" s="125" t="s">
        <v>238</v>
      </c>
    </row>
    <row r="21" spans="1:14" ht="18" customHeight="1" x14ac:dyDescent="0.25">
      <c r="A21" s="123" t="s">
        <v>7</v>
      </c>
      <c r="B21" s="41"/>
      <c r="C21" s="41"/>
      <c r="D21" s="119"/>
      <c r="E21" s="20"/>
      <c r="F21" s="120"/>
      <c r="G21" s="128" t="s">
        <v>227</v>
      </c>
    </row>
    <row r="22" spans="1:14" ht="18" customHeight="1" x14ac:dyDescent="0.25">
      <c r="A22" s="124" t="s">
        <v>228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25">
      <c r="B23" s="39" t="s">
        <v>52</v>
      </c>
      <c r="C23" s="44"/>
      <c r="D23" s="118"/>
      <c r="E23" s="20"/>
      <c r="F23" s="120"/>
      <c r="G23" s="19"/>
    </row>
    <row r="24" spans="1:14" ht="18" customHeight="1" x14ac:dyDescent="0.25">
      <c r="B24" s="41"/>
      <c r="C24" s="41"/>
      <c r="D24" s="119"/>
      <c r="E24" s="20"/>
      <c r="F24" s="120"/>
      <c r="G24" s="128" t="s">
        <v>229</v>
      </c>
      <c r="I24" s="139" t="s">
        <v>291</v>
      </c>
      <c r="J24" s="140"/>
      <c r="K24" s="140"/>
      <c r="L24" s="140"/>
      <c r="M24" s="140"/>
      <c r="N24" s="141"/>
    </row>
    <row r="25" spans="1:14" ht="18" customHeight="1" x14ac:dyDescent="0.25">
      <c r="A25" s="124" t="s">
        <v>230</v>
      </c>
      <c r="B25" s="119"/>
      <c r="C25" s="119"/>
      <c r="D25" s="119"/>
      <c r="E25" s="20"/>
      <c r="F25" s="120"/>
      <c r="H25" s="10"/>
      <c r="I25" s="142"/>
      <c r="J25" s="143"/>
      <c r="K25" s="143"/>
      <c r="L25" s="143"/>
      <c r="M25" s="143"/>
      <c r="N25" s="144"/>
    </row>
    <row r="26" spans="1:14" ht="18" customHeight="1" x14ac:dyDescent="0.25">
      <c r="A26" s="124"/>
      <c r="B26" s="132" t="s">
        <v>245</v>
      </c>
      <c r="C26" s="44">
        <v>11</v>
      </c>
      <c r="D26" s="133" t="s">
        <v>231</v>
      </c>
      <c r="E26" s="20"/>
      <c r="F26" s="120"/>
      <c r="I26" s="142"/>
      <c r="J26" s="143"/>
      <c r="K26" s="143"/>
      <c r="L26" s="143"/>
      <c r="M26" s="143"/>
      <c r="N26" s="144"/>
    </row>
    <row r="27" spans="1:14" ht="18" customHeight="1" x14ac:dyDescent="0.25">
      <c r="C27" s="20" t="s">
        <v>53</v>
      </c>
      <c r="D27" s="20" t="s">
        <v>54</v>
      </c>
      <c r="E27" s="20"/>
      <c r="F27" s="120"/>
      <c r="I27" s="142"/>
      <c r="J27" s="143"/>
      <c r="K27" s="143"/>
      <c r="L27" s="143"/>
      <c r="M27" s="143"/>
      <c r="N27" s="144"/>
    </row>
    <row r="28" spans="1:14" ht="18" customHeight="1" x14ac:dyDescent="0.25">
      <c r="A28" s="123" t="s">
        <v>239</v>
      </c>
      <c r="B28" s="121" t="s">
        <v>240</v>
      </c>
      <c r="C28" s="44">
        <v>10.5</v>
      </c>
      <c r="D28" s="44">
        <v>11</v>
      </c>
      <c r="E28" s="129"/>
      <c r="F28" s="120"/>
      <c r="I28" s="142"/>
      <c r="J28" s="143"/>
      <c r="K28" s="143"/>
      <c r="L28" s="143"/>
      <c r="M28" s="143"/>
      <c r="N28" s="144"/>
    </row>
    <row r="29" spans="1:14" ht="18" customHeight="1" x14ac:dyDescent="0.25">
      <c r="B29" s="121" t="s">
        <v>55</v>
      </c>
      <c r="C29" s="44">
        <v>10.5</v>
      </c>
      <c r="D29" s="44">
        <v>11</v>
      </c>
      <c r="E29" s="130"/>
      <c r="F29" s="42"/>
      <c r="I29" s="145"/>
      <c r="J29" s="146"/>
      <c r="K29" s="146"/>
      <c r="L29" s="146"/>
      <c r="M29" s="146"/>
      <c r="N29" s="147"/>
    </row>
    <row r="30" spans="1:14" ht="18" customHeight="1" x14ac:dyDescent="0.25">
      <c r="B30" s="121" t="s">
        <v>56</v>
      </c>
      <c r="C30" s="44">
        <v>10.5</v>
      </c>
      <c r="D30" s="44">
        <v>11</v>
      </c>
      <c r="E30" s="130"/>
      <c r="F30" s="20"/>
    </row>
    <row r="31" spans="1:14" ht="18" customHeight="1" x14ac:dyDescent="0.25">
      <c r="B31" s="121" t="s">
        <v>57</v>
      </c>
      <c r="C31" s="44">
        <v>10.5</v>
      </c>
      <c r="D31" s="44">
        <v>11</v>
      </c>
      <c r="E31" s="130"/>
      <c r="F31" s="20"/>
    </row>
    <row r="32" spans="1:14" ht="18" customHeight="1" x14ac:dyDescent="0.25">
      <c r="B32" s="38" t="s">
        <v>247</v>
      </c>
      <c r="C32" s="44">
        <v>10.5</v>
      </c>
      <c r="D32" s="44">
        <v>11</v>
      </c>
      <c r="E32" s="130"/>
      <c r="F32" s="20"/>
    </row>
    <row r="33" spans="1:10" ht="18" customHeight="1" x14ac:dyDescent="0.25">
      <c r="B33" s="38"/>
      <c r="C33" s="38"/>
      <c r="D33" s="38"/>
      <c r="E33" s="38"/>
      <c r="F33" s="20"/>
    </row>
    <row r="34" spans="1:10" ht="18" customHeight="1" x14ac:dyDescent="0.25">
      <c r="B34" s="39" t="s">
        <v>311</v>
      </c>
      <c r="C34" s="44"/>
      <c r="D34" s="38"/>
      <c r="E34" s="38"/>
      <c r="F34" s="20"/>
    </row>
    <row r="35" spans="1:10" ht="18" customHeight="1" x14ac:dyDescent="0.25">
      <c r="B35" s="38"/>
      <c r="C35" s="38"/>
      <c r="D35" s="38"/>
      <c r="E35" s="38"/>
      <c r="F35" s="20"/>
      <c r="H35" s="19"/>
    </row>
    <row r="36" spans="1:10" ht="18" customHeight="1" x14ac:dyDescent="0.25">
      <c r="A36" s="124" t="s">
        <v>232</v>
      </c>
      <c r="H36" s="19"/>
    </row>
    <row r="37" spans="1:10" ht="18" customHeight="1" x14ac:dyDescent="0.25">
      <c r="A37" s="123" t="s">
        <v>235</v>
      </c>
      <c r="H37" s="19"/>
      <c r="I37" s="19"/>
    </row>
    <row r="38" spans="1:10" ht="18" customHeight="1" x14ac:dyDescent="0.25">
      <c r="A38" s="123" t="s">
        <v>236</v>
      </c>
      <c r="E38" s="19"/>
      <c r="H38" s="19"/>
      <c r="I38" s="19"/>
    </row>
    <row r="39" spans="1:10" ht="18" customHeight="1" x14ac:dyDescent="0.25">
      <c r="E39" s="19"/>
    </row>
    <row r="40" spans="1:10" ht="18" customHeight="1" x14ac:dyDescent="0.25">
      <c r="F40" s="19"/>
    </row>
    <row r="41" spans="1:10" ht="18" customHeight="1" x14ac:dyDescent="0.25">
      <c r="F41" s="19"/>
    </row>
    <row r="42" spans="1:10" ht="18" customHeight="1" x14ac:dyDescent="0.25">
      <c r="B42" s="21" t="s">
        <v>7</v>
      </c>
      <c r="C42" s="19"/>
      <c r="D42" s="19"/>
      <c r="I42" s="19"/>
    </row>
    <row r="43" spans="1:10" ht="18" customHeight="1" x14ac:dyDescent="0.25">
      <c r="B43" t="s">
        <v>7</v>
      </c>
      <c r="C43" s="19"/>
      <c r="D43" s="19"/>
    </row>
    <row r="44" spans="1:10" ht="18" customHeight="1" x14ac:dyDescent="0.25">
      <c r="J44" s="19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323850</xdr:colOff>
                <xdr:row>33</xdr:row>
                <xdr:rowOff>190500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3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13" name="chkEngineEGRCoolant"/>
      </mc:Fallback>
    </mc:AlternateContent>
    <mc:AlternateContent xmlns:mc="http://schemas.openxmlformats.org/markup-compatibility/2006">
      <mc:Choice Requires="x14">
        <control shapeId="34828" r:id="rId14" name="chkFuelOil">
          <controlPr autoLine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14" name="chkFuelOil"/>
      </mc:Fallback>
    </mc:AlternateContent>
    <mc:AlternateContent xmlns:mc="http://schemas.openxmlformats.org/markup-compatibility/2006">
      <mc:Choice Requires="x14">
        <control shapeId="34827" r:id="rId15" name="cbCracking">
          <controlPr defaultSize="0" autoFill="0" autoLine="0" r:id="rId16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15" name="cbCracking"/>
      </mc:Fallback>
    </mc:AlternateContent>
    <mc:AlternateContent xmlns:mc="http://schemas.openxmlformats.org/markup-compatibility/2006">
      <mc:Choice Requires="x14">
        <control shapeId="34826" r:id="rId17" name="cbBreachChannels">
          <controlPr defaultSize="0" autoFill="0" autoLine="0" r:id="rId18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7" name="cbBreachChannels"/>
      </mc:Fallback>
    </mc:AlternateContent>
    <mc:AlternateContent xmlns:mc="http://schemas.openxmlformats.org/markup-compatibility/2006">
      <mc:Choice Requires="x14">
        <control shapeId="34825" r:id="rId19" name="cbOutletColor">
          <controlPr defaultSize="0" autoFill="0" autoLine="0" r:id="rId20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9" name="cbOutletColor"/>
      </mc:Fallback>
    </mc:AlternateContent>
    <mc:AlternateContent xmlns:mc="http://schemas.openxmlformats.org/markup-compatibility/2006">
      <mc:Choice Requires="x14">
        <control shapeId="34824" r:id="rId21" name="cbAshColor">
          <controlPr defaultSize="0" autoFill="0" autoLine="0" r:id="rId22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1" name="cbAshColor"/>
      </mc:Fallback>
    </mc:AlternateContent>
    <mc:AlternateContent xmlns:mc="http://schemas.openxmlformats.org/markup-compatibility/2006">
      <mc:Choice Requires="x14">
        <control shapeId="34823" r:id="rId23" name="cbAsh">
          <controlPr defaultSize="0" autoFill="0" autoLine="0" r:id="rId24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3" name="cbAsh"/>
      </mc:Fallback>
    </mc:AlternateContent>
    <mc:AlternateContent xmlns:mc="http://schemas.openxmlformats.org/markup-compatibility/2006">
      <mc:Choice Requires="x14">
        <control shapeId="34822" r:id="rId25" name="cbSoot">
          <controlPr defaultSize="0" autoFill="0" autoLine="0" r:id="rId26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5" name="cbSoot"/>
      </mc:Fallback>
    </mc:AlternateContent>
    <mc:AlternateContent xmlns:mc="http://schemas.openxmlformats.org/markup-compatibility/2006">
      <mc:Choice Requires="x14">
        <control shapeId="34821" r:id="rId27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27" name="chkRedAsh"/>
      </mc:Fallback>
    </mc:AlternateContent>
    <mc:AlternateContent xmlns:mc="http://schemas.openxmlformats.org/markup-compatibility/2006">
      <mc:Choice Requires="x14">
        <control shapeId="34820" r:id="rId28" name="cmdSave">
          <controlPr defaultSize="0" autoFill="0" autoLine="0" r:id="rId29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28" name="cmdSave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32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D44" sqref="D44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6" t="s">
        <v>169</v>
      </c>
      <c r="C3" s="73">
        <v>85</v>
      </c>
    </row>
    <row r="4" spans="2:9" ht="18.75" x14ac:dyDescent="0.3">
      <c r="I4" s="45"/>
    </row>
    <row r="5" spans="2:9" x14ac:dyDescent="0.25">
      <c r="B5" s="99" t="s">
        <v>16</v>
      </c>
      <c r="C5" s="100"/>
      <c r="D5" s="59"/>
      <c r="E5" s="59" t="s">
        <v>171</v>
      </c>
      <c r="F5" s="87">
        <v>110000</v>
      </c>
      <c r="G5" s="136" t="s">
        <v>82</v>
      </c>
      <c r="H5" s="62"/>
    </row>
    <row r="6" spans="2:9" x14ac:dyDescent="0.25">
      <c r="B6" s="88" t="s">
        <v>18</v>
      </c>
      <c r="C6" s="89"/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25">
      <c r="B7" s="91" t="s">
        <v>145</v>
      </c>
      <c r="C7" s="89">
        <f>(3.14*(SubDiameter/2)^2)*(SubLength)*(1/12)^3</f>
        <v>0</v>
      </c>
      <c r="D7" s="92"/>
      <c r="E7" s="62" t="s">
        <v>172</v>
      </c>
      <c r="F7" s="90">
        <f>(Volume*MaxSpaceVelocity)*(1/60)*(61.7)/(2350*0.395)</f>
        <v>0</v>
      </c>
      <c r="G7" s="65" t="s">
        <v>83</v>
      </c>
      <c r="H7" s="62"/>
    </row>
    <row r="8" spans="2:9" x14ac:dyDescent="0.25">
      <c r="B8" s="93" t="s">
        <v>146</v>
      </c>
      <c r="C8" s="94">
        <f>Volume*28.317</f>
        <v>0</v>
      </c>
      <c r="D8" s="95"/>
      <c r="E8" s="96" t="s">
        <v>173</v>
      </c>
      <c r="F8" s="98">
        <f>IF(F7&gt;MaxHertz,"60",F7)</f>
        <v>0</v>
      </c>
      <c r="G8" s="97" t="s">
        <v>83</v>
      </c>
      <c r="H8" s="62"/>
    </row>
    <row r="9" spans="2:9" x14ac:dyDescent="0.25">
      <c r="H9" s="62"/>
    </row>
    <row r="11" spans="2:9" x14ac:dyDescent="0.25">
      <c r="B11" s="82" t="s">
        <v>62</v>
      </c>
      <c r="C11" s="59"/>
      <c r="D11" s="83"/>
      <c r="E11" s="59" t="s">
        <v>63</v>
      </c>
      <c r="F11" s="59"/>
      <c r="G11" s="60" t="s">
        <v>78</v>
      </c>
      <c r="H11" s="60" t="s">
        <v>79</v>
      </c>
      <c r="I11" s="84"/>
    </row>
    <row r="12" spans="2:9" x14ac:dyDescent="0.2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4"/>
    </row>
    <row r="13" spans="2:9" x14ac:dyDescent="0.25">
      <c r="B13" s="61" t="s">
        <v>66</v>
      </c>
      <c r="C13" s="62"/>
      <c r="D13" s="63"/>
      <c r="E13" s="62"/>
      <c r="F13" s="62"/>
      <c r="G13" s="62"/>
      <c r="H13" s="64" t="s">
        <v>81</v>
      </c>
      <c r="I13" s="84"/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3" t="e">
        <f t="shared" ref="F16:F26" si="1">(E16*60)/Volume</f>
        <v>#DIV/0!</v>
      </c>
      <c r="G16" s="113">
        <v>20000</v>
      </c>
      <c r="H16" s="74">
        <f t="shared" ref="H16:H26" si="2">G16*Volume/60</f>
        <v>0</v>
      </c>
      <c r="I16" s="75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3" t="e">
        <f t="shared" si="1"/>
        <v>#DIV/0!</v>
      </c>
      <c r="G17" s="113">
        <v>35000</v>
      </c>
      <c r="H17" s="74">
        <f t="shared" si="2"/>
        <v>0</v>
      </c>
      <c r="I17" s="75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66"/>
      <c r="E18" s="73">
        <f t="shared" si="0"/>
        <v>0</v>
      </c>
      <c r="F18" s="73" t="e">
        <f t="shared" si="1"/>
        <v>#DIV/0!</v>
      </c>
      <c r="G18" s="113">
        <v>50000</v>
      </c>
      <c r="H18" s="74">
        <f t="shared" si="2"/>
        <v>0</v>
      </c>
      <c r="I18" s="75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66"/>
      <c r="E19" s="73">
        <f t="shared" si="0"/>
        <v>0</v>
      </c>
      <c r="F19" s="73" t="e">
        <f t="shared" si="1"/>
        <v>#DIV/0!</v>
      </c>
      <c r="G19" s="113">
        <v>60000</v>
      </c>
      <c r="H19" s="74">
        <f t="shared" si="2"/>
        <v>0</v>
      </c>
      <c r="I19" s="75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66"/>
      <c r="E20" s="73">
        <f t="shared" si="0"/>
        <v>0</v>
      </c>
      <c r="F20" s="73" t="e">
        <f t="shared" si="1"/>
        <v>#DIV/0!</v>
      </c>
      <c r="G20" s="113">
        <v>70000</v>
      </c>
      <c r="H20" s="74">
        <f t="shared" si="2"/>
        <v>0</v>
      </c>
      <c r="I20" s="75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66"/>
      <c r="E21" s="73">
        <f t="shared" si="0"/>
        <v>0</v>
      </c>
      <c r="F21" s="73" t="e">
        <f t="shared" si="1"/>
        <v>#DIV/0!</v>
      </c>
      <c r="G21" s="113">
        <v>75000</v>
      </c>
      <c r="H21" s="74">
        <f t="shared" si="2"/>
        <v>0</v>
      </c>
      <c r="I21" s="75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66"/>
      <c r="E22" s="73">
        <f t="shared" si="0"/>
        <v>0</v>
      </c>
      <c r="F22" s="73" t="e">
        <f t="shared" si="1"/>
        <v>#DIV/0!</v>
      </c>
      <c r="G22" s="113">
        <v>80000</v>
      </c>
      <c r="H22" s="74">
        <f t="shared" si="2"/>
        <v>0</v>
      </c>
      <c r="I22" s="75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66"/>
      <c r="E23" s="73">
        <f t="shared" si="0"/>
        <v>0</v>
      </c>
      <c r="F23" s="73" t="e">
        <f t="shared" si="1"/>
        <v>#DIV/0!</v>
      </c>
      <c r="G23" s="113">
        <v>85000</v>
      </c>
      <c r="H23" s="74">
        <f t="shared" si="2"/>
        <v>0</v>
      </c>
      <c r="I23" s="75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66"/>
      <c r="E24" s="73">
        <f t="shared" si="0"/>
        <v>0</v>
      </c>
      <c r="F24" s="73" t="e">
        <f t="shared" si="1"/>
        <v>#DIV/0!</v>
      </c>
      <c r="G24" s="113">
        <v>90000</v>
      </c>
      <c r="H24" s="74">
        <f t="shared" si="2"/>
        <v>0</v>
      </c>
      <c r="I24" s="75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66"/>
      <c r="E25" s="73">
        <f t="shared" si="0"/>
        <v>0</v>
      </c>
      <c r="F25" s="73" t="e">
        <f t="shared" si="1"/>
        <v>#DIV/0!</v>
      </c>
      <c r="G25" s="113">
        <v>95000</v>
      </c>
      <c r="H25" s="74">
        <f t="shared" si="2"/>
        <v>0</v>
      </c>
      <c r="I25" s="75">
        <f t="shared" si="3"/>
        <v>0</v>
      </c>
    </row>
    <row r="26" spans="2:9" x14ac:dyDescent="0.25">
      <c r="B26" s="76">
        <f>1*$F$8</f>
        <v>0</v>
      </c>
      <c r="C26" s="77">
        <f t="shared" si="4"/>
        <v>0</v>
      </c>
      <c r="D26" s="66"/>
      <c r="E26" s="77">
        <f t="shared" si="0"/>
        <v>0</v>
      </c>
      <c r="F26" s="77" t="e">
        <f t="shared" si="1"/>
        <v>#DIV/0!</v>
      </c>
      <c r="G26" s="114">
        <v>100000</v>
      </c>
      <c r="H26" s="78">
        <f t="shared" si="2"/>
        <v>0</v>
      </c>
      <c r="I26" s="79">
        <f t="shared" si="3"/>
        <v>0</v>
      </c>
    </row>
    <row r="28" spans="2:9" x14ac:dyDescent="0.25">
      <c r="B28" s="82" t="s">
        <v>62</v>
      </c>
      <c r="C28" s="59"/>
      <c r="D28" s="83"/>
      <c r="E28" s="59" t="s">
        <v>63</v>
      </c>
      <c r="F28" s="59"/>
      <c r="G28" s="60" t="s">
        <v>78</v>
      </c>
      <c r="H28" s="60" t="s">
        <v>79</v>
      </c>
      <c r="I28" s="84"/>
    </row>
    <row r="29" spans="2:9" x14ac:dyDescent="0.2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4"/>
    </row>
    <row r="30" spans="2:9" x14ac:dyDescent="0.25">
      <c r="B30" s="61" t="s">
        <v>66</v>
      </c>
      <c r="C30" s="62"/>
      <c r="D30" s="63"/>
      <c r="E30" s="62"/>
      <c r="F30" s="62"/>
      <c r="G30" s="62"/>
      <c r="H30" s="64" t="s">
        <v>81</v>
      </c>
      <c r="I30" s="84"/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25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3" t="e">
        <f t="shared" ref="F33:F43" si="6">(E33*60)/Volume</f>
        <v>#DIV/0!</v>
      </c>
      <c r="G33" s="113">
        <v>20000</v>
      </c>
      <c r="H33" s="74">
        <f t="shared" ref="H33:H43" si="7">G33*Volume/60</f>
        <v>0</v>
      </c>
      <c r="I33" s="75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3" t="e">
        <f t="shared" si="6"/>
        <v>#DIV/0!</v>
      </c>
      <c r="G34" s="113">
        <v>35000</v>
      </c>
      <c r="H34" s="74">
        <f t="shared" si="7"/>
        <v>0</v>
      </c>
      <c r="I34" s="75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115"/>
      <c r="E35" s="73">
        <f t="shared" si="5"/>
        <v>0</v>
      </c>
      <c r="F35" s="73" t="e">
        <f t="shared" si="6"/>
        <v>#DIV/0!</v>
      </c>
      <c r="G35" s="113">
        <v>50000</v>
      </c>
      <c r="H35" s="74">
        <f t="shared" si="7"/>
        <v>0</v>
      </c>
      <c r="I35" s="75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115"/>
      <c r="E36" s="73">
        <f t="shared" si="5"/>
        <v>0</v>
      </c>
      <c r="F36" s="73" t="e">
        <f t="shared" si="6"/>
        <v>#DIV/0!</v>
      </c>
      <c r="G36" s="113">
        <v>60000</v>
      </c>
      <c r="H36" s="74">
        <f t="shared" si="7"/>
        <v>0</v>
      </c>
      <c r="I36" s="75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115"/>
      <c r="E37" s="73">
        <f t="shared" si="5"/>
        <v>0</v>
      </c>
      <c r="F37" s="73" t="e">
        <f t="shared" si="6"/>
        <v>#DIV/0!</v>
      </c>
      <c r="G37" s="113">
        <v>70000</v>
      </c>
      <c r="H37" s="74">
        <f t="shared" si="7"/>
        <v>0</v>
      </c>
      <c r="I37" s="75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115"/>
      <c r="E38" s="73">
        <f t="shared" si="5"/>
        <v>0</v>
      </c>
      <c r="F38" s="73" t="e">
        <f t="shared" si="6"/>
        <v>#DIV/0!</v>
      </c>
      <c r="G38" s="113">
        <v>75000</v>
      </c>
      <c r="H38" s="74">
        <f t="shared" si="7"/>
        <v>0</v>
      </c>
      <c r="I38" s="75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115"/>
      <c r="E39" s="73">
        <f t="shared" si="5"/>
        <v>0</v>
      </c>
      <c r="F39" s="73" t="e">
        <f t="shared" si="6"/>
        <v>#DIV/0!</v>
      </c>
      <c r="G39" s="113">
        <v>80000</v>
      </c>
      <c r="H39" s="74">
        <f t="shared" si="7"/>
        <v>0</v>
      </c>
      <c r="I39" s="75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115"/>
      <c r="E40" s="73">
        <f t="shared" si="5"/>
        <v>0</v>
      </c>
      <c r="F40" s="73" t="e">
        <f t="shared" si="6"/>
        <v>#DIV/0!</v>
      </c>
      <c r="G40" s="113">
        <v>85000</v>
      </c>
      <c r="H40" s="74">
        <f t="shared" si="7"/>
        <v>0</v>
      </c>
      <c r="I40" s="75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115"/>
      <c r="E41" s="73">
        <f t="shared" si="5"/>
        <v>0</v>
      </c>
      <c r="F41" s="73" t="e">
        <f t="shared" si="6"/>
        <v>#DIV/0!</v>
      </c>
      <c r="G41" s="113">
        <v>90000</v>
      </c>
      <c r="H41" s="74">
        <f t="shared" si="7"/>
        <v>0</v>
      </c>
      <c r="I41" s="75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115"/>
      <c r="E42" s="73">
        <f t="shared" si="5"/>
        <v>0</v>
      </c>
      <c r="F42" s="73" t="e">
        <f t="shared" si="6"/>
        <v>#DIV/0!</v>
      </c>
      <c r="G42" s="113">
        <v>95000</v>
      </c>
      <c r="H42" s="74">
        <f t="shared" si="7"/>
        <v>0</v>
      </c>
      <c r="I42" s="75">
        <f t="shared" si="8"/>
        <v>0</v>
      </c>
    </row>
    <row r="43" spans="2:9" x14ac:dyDescent="0.25">
      <c r="B43" s="76">
        <f>1*$F$8</f>
        <v>0</v>
      </c>
      <c r="C43" s="77">
        <f>(2350/61.7)*B43*0.395</f>
        <v>0</v>
      </c>
      <c r="D43" s="135"/>
      <c r="E43" s="77">
        <f t="shared" si="5"/>
        <v>0</v>
      </c>
      <c r="F43" s="77" t="e">
        <f t="shared" si="6"/>
        <v>#DIV/0!</v>
      </c>
      <c r="G43" s="114">
        <v>100000</v>
      </c>
      <c r="H43" s="78">
        <f t="shared" si="7"/>
        <v>0</v>
      </c>
      <c r="I43" s="79">
        <f t="shared" si="8"/>
        <v>0</v>
      </c>
    </row>
    <row r="45" spans="2:9" x14ac:dyDescent="0.25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25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25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3">
        <v>20000</v>
      </c>
      <c r="H50" s="74">
        <f t="shared" ref="H50:H60" si="12">G50*Volume/60</f>
        <v>0</v>
      </c>
      <c r="I50" s="75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3">
        <v>35000</v>
      </c>
      <c r="H51" s="74">
        <f t="shared" si="12"/>
        <v>0</v>
      </c>
      <c r="I51" s="75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115"/>
      <c r="E52" s="73">
        <f t="shared" si="10"/>
        <v>0</v>
      </c>
      <c r="F52" s="73" t="e">
        <f t="shared" si="11"/>
        <v>#DIV/0!</v>
      </c>
      <c r="G52" s="113">
        <v>50000</v>
      </c>
      <c r="H52" s="74">
        <f t="shared" si="12"/>
        <v>0</v>
      </c>
      <c r="I52" s="75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115"/>
      <c r="E53" s="73">
        <f t="shared" si="10"/>
        <v>0</v>
      </c>
      <c r="F53" s="73" t="e">
        <f t="shared" si="11"/>
        <v>#DIV/0!</v>
      </c>
      <c r="G53" s="113">
        <v>60000</v>
      </c>
      <c r="H53" s="74">
        <f t="shared" si="12"/>
        <v>0</v>
      </c>
      <c r="I53" s="75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115"/>
      <c r="E54" s="73">
        <f t="shared" si="10"/>
        <v>0</v>
      </c>
      <c r="F54" s="73" t="e">
        <f t="shared" si="11"/>
        <v>#DIV/0!</v>
      </c>
      <c r="G54" s="113">
        <v>70000</v>
      </c>
      <c r="H54" s="74">
        <f t="shared" si="12"/>
        <v>0</v>
      </c>
      <c r="I54" s="75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115"/>
      <c r="E55" s="73">
        <f t="shared" si="10"/>
        <v>0</v>
      </c>
      <c r="F55" s="73" t="e">
        <f t="shared" si="11"/>
        <v>#DIV/0!</v>
      </c>
      <c r="G55" s="113">
        <v>75000</v>
      </c>
      <c r="H55" s="74">
        <f t="shared" si="12"/>
        <v>0</v>
      </c>
      <c r="I55" s="75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115"/>
      <c r="E56" s="73">
        <f t="shared" si="10"/>
        <v>0</v>
      </c>
      <c r="F56" s="73" t="e">
        <f t="shared" si="11"/>
        <v>#DIV/0!</v>
      </c>
      <c r="G56" s="113">
        <v>80000</v>
      </c>
      <c r="H56" s="74">
        <f t="shared" si="12"/>
        <v>0</v>
      </c>
      <c r="I56" s="75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115"/>
      <c r="E57" s="73">
        <f t="shared" si="10"/>
        <v>0</v>
      </c>
      <c r="F57" s="73" t="e">
        <f t="shared" si="11"/>
        <v>#DIV/0!</v>
      </c>
      <c r="G57" s="113">
        <v>85000</v>
      </c>
      <c r="H57" s="74">
        <f t="shared" si="12"/>
        <v>0</v>
      </c>
      <c r="I57" s="75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115"/>
      <c r="E58" s="73">
        <f t="shared" si="10"/>
        <v>0</v>
      </c>
      <c r="F58" s="73" t="e">
        <f t="shared" si="11"/>
        <v>#DIV/0!</v>
      </c>
      <c r="G58" s="113">
        <v>90000</v>
      </c>
      <c r="H58" s="74">
        <f t="shared" si="12"/>
        <v>0</v>
      </c>
      <c r="I58" s="75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115"/>
      <c r="E59" s="73">
        <f t="shared" si="10"/>
        <v>0</v>
      </c>
      <c r="F59" s="73" t="e">
        <f t="shared" si="11"/>
        <v>#DIV/0!</v>
      </c>
      <c r="G59" s="113">
        <v>95000</v>
      </c>
      <c r="H59" s="74">
        <f t="shared" si="12"/>
        <v>0</v>
      </c>
      <c r="I59" s="75">
        <f t="shared" si="13"/>
        <v>0</v>
      </c>
    </row>
    <row r="60" spans="2:9" x14ac:dyDescent="0.25">
      <c r="B60" s="76">
        <f>1*$F$8</f>
        <v>0</v>
      </c>
      <c r="C60" s="77">
        <f t="shared" si="14"/>
        <v>0</v>
      </c>
      <c r="D60" s="135"/>
      <c r="E60" s="77">
        <f t="shared" si="10"/>
        <v>0</v>
      </c>
      <c r="F60" s="77" t="e">
        <f t="shared" si="11"/>
        <v>#DIV/0!</v>
      </c>
      <c r="G60" s="114">
        <v>100000</v>
      </c>
      <c r="H60" s="78">
        <f t="shared" si="12"/>
        <v>0</v>
      </c>
      <c r="I60" s="79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2019-09-09T01:48:03Z</dcterms:modified>
</cp:coreProperties>
</file>