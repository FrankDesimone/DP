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FC50BA9-426C-4FB0-9077-33EAB759D590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Search" sheetId="22" state="hidden" r:id="rId11"/>
    <sheet name="Report" sheetId="20" state="hidden" r:id="rId12"/>
    <sheet name="Quality" sheetId="18" state="hidden" r:id="rId13"/>
    <sheet name="QAProcess" sheetId="19" state="hidden" r:id="rId14"/>
  </sheets>
  <functionGroups builtInGroupCount="19"/>
  <externalReferences>
    <externalReference r:id="rId15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Quality!$B$3:$B$5</definedName>
    <definedName name="ecd" localSheetId="8">DPF!#REF!</definedName>
    <definedName name="ecd" localSheetId="7">ECD!$B$3:$B$12</definedName>
    <definedName name="ecd" localSheetId="12">Quality!$B$3:$B$5</definedName>
    <definedName name="engine" localSheetId="8">DPF!#REF!</definedName>
    <definedName name="engine" localSheetId="5">Engine!$B$3:$B$6</definedName>
    <definedName name="InletCells" localSheetId="12">Quality!$B$18:$D$22</definedName>
    <definedName name="manufacturer" localSheetId="6">Manufacturer!$B$3:$B$3</definedName>
    <definedName name="Mass0" localSheetId="12">Quality!$B$11</definedName>
    <definedName name="Mass1" localSheetId="12">Quality!$C$11</definedName>
    <definedName name="Mass2" localSheetId="12">Quality!$D$11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13">QAProcess!$C$5</definedName>
    <definedName name="SubDiameter">Quality!$B$4</definedName>
    <definedName name="SubLength" localSheetId="13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3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<sst xmlns="http://schemas.openxmlformats.org/spreadsheetml/2006/main" count="561" uniqueCount="304">
  <si>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</si>
  <si>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</si>
  <si>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</si>
  <si>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</si>
  <si>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</si>
  <si>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</si>
  <si>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</si>
  <si>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</si>
  <si>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</si>
  <si>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</si>
  <si>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</si>
  <si>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</si>
  <si>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</si>
  <si>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</si>
  <si>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</si>
  <si>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</si>
  <si>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</si>
  <si>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</si>
  <si>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</si>
  <si>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</si>
  <si>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</si>
  <si>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</si>
  <si>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</si>
  <si>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</si>
  <si>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</si>
  <si>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</si>
  <si>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</si>
  <si>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</si>
  <si>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</si>
  <si>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</si>
  <si>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</si>
  <si>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</si>
  <si>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</si>
  <si>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</si>
  <si>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</si>
  <si>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</si>
  <si>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</si>
  <si>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</si>
  <si>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</si>
  <si>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</si>
  <si>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</si>
  <si>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</si>
  <si>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</si>
  <si>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</si>
  <si>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</si>
  <si>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</si>
  <si>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</si>
  <si>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</si>
  <si>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</si>
  <si>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</si>
  <si>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</si>
  <si>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</si>
  <si>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</si>
  <si>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</si>
  <si>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</si>
  <si>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</si>
  <si>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</si>
  <si>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</si>
  <si>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</si>
  <si>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</si>
  <si>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</si>
  <si>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</si>
  <si>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</si>
  <si>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</si>
  <si>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</si>
  <si>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</si>
  <si>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</si>
  <si>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</si>
  <si>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</si>
  <si>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</si>
  <si>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</si>
  <si>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</si>
  <si>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</si>
  <si>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</si>
  <si>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</si>
  <si>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</si>
  <si>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</si>
  <si>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</si>
  <si>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</si>
  <si>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</si>
  <si>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</si>
  <si>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</si>
  <si>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</si>
  <si>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</si>
  <si>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</si>
  <si>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</si>
  <si>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</si>
  <si>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</si>
  <si>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</si>
  <si>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</si>
  <si>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</si>
  <si>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</si>
  <si>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</si>
  <si>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</si>
  <si>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</si>
  <si>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</si>
  <si>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</si>
  <si>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</si>
  <si>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</si>
  <si>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</si>
  <si>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</si>
  <si>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</si>
  <si>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</si>
  <si>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</si>
  <si>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</si>
  <si>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</si>
  <si>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</si>
  <si>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</si>
  <si>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</si>
  <si>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</si>
  <si>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</si>
  <si>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</si>
  <si>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</si>
  <si>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</si>
  <si>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</si>
  <si>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</si>
  <si>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</si>
  <si>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</si>
  <si>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</si>
  <si>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</si>
  <si>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</si>
  <si>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</si>
  <si>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</si>
  <si>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</si>
  <si>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</si>
  <si>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</si>
  <si>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</si>
  <si>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</si>
  <si>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</si>
  <si>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</si>
  <si>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</si>
  <si>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</si>
  <si>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</si>
  <si>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</si>
  <si>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</si>
  <si>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</si>
  <si>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</si>
  <si>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</si>
  <si>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</si>
  <si>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</si>
  <si>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</si>
  <si>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</si>
  <si>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</si>
  <si>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</si>
  <si>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</si>
  <si>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</si>
  <si>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</si>
  <si>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</si>
  <si>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</si>
  <si>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</si>
  <si>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</si>
  <si>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</si>
  <si>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</si>
  <si>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</si>
  <si>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</si>
  <si>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</si>
  <si>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</si>
  <si>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</si>
  <si>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</si>
  <si>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</si>
  <si>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</si>
  <si>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</si>
  <si>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</si>
  <si>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</si>
  <si>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</si>
  <si>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</si>
  <si>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</si>
  <si>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</si>
  <si>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</si>
  <si>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</si>
  <si>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</si>
  <si>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</si>
  <si>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</si>
  <si>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</si>
  <si>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</si>
  <si>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</si>
  <si>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</si>
  <si>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</si>
  <si>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</si>
  <si>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</si>
  <si>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</si>
  <si>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</si>
  <si>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</si>
  <si>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</si>
  <si>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</si>
  <si>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</si>
  <si>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</si>
  <si>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</si>
  <si>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</si>
  <si>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</si>
  <si>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</si>
  <si>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</si>
  <si>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</si>
  <si>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</si>
  <si>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</si>
  <si>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</si>
  <si>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</si>
  <si>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</si>
  <si>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</si>
  <si>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</si>
  <si>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</si>
  <si>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</si>
  <si>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</si>
  <si>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</si>
  <si>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</si>
  <si>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</si>
  <si>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</si>
  <si>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</si>
  <si>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</si>
  <si>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</si>
  <si>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</si>
  <si>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</si>
  <si>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</si>
  <si>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</si>
  <si>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</si>
  <si>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</si>
  <si>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</si>
  <si>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</si>
  <si>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</si>
  <si>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</si>
  <si>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</si>
  <si>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</si>
  <si>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</si>
  <si>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</si>
  <si>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</si>
  <si>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</si>
  <si>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</si>
  <si>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</si>
  <si>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</si>
  <si>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</si>
  <si>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</si>
  <si>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</si>
  <si>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</si>
  <si>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</si>
  <si>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</si>
  <si>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</si>
  <si>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</si>
  <si>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</si>
  <si>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</si>
  <si>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</si>
  <si>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</si>
  <si>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</si>
  <si>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</si>
  <si>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</si>
  <si>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</si>
  <si>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</si>
  <si>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</si>
  <si>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</si>
  <si>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</si>
  <si>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</si>
  <si>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</si>
  <si>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</si>
  <si>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</si>
  <si>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</si>
  <si>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</si>
  <si>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</si>
  <si>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</si>
  <si>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</si>
  <si>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</si>
  <si>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</si>
  <si>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</si>
  <si>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</si>
  <si>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</si>
  <si>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</si>
  <si>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</si>
  <si>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</si>
  <si>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</si>
  <si>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</si>
  <si>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</si>
  <si>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</si>
  <si>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</si>
  <si>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</si>
  <si>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</si>
  <si>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</si>
  <si>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</si>
  <si>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</si>
  <si>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</si>
  <si>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</si>
  <si>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</si>
  <si>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</si>
  <si>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</si>
  <si>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</si>
  <si>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</si>
  <si>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</si>
  <si>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</si>
  <si>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</si>
  <si>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</si>
  <si>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</si>
  <si>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</si>
  <si>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</si>
  <si>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</si>
  <si>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</si>
  <si>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</si>
  <si>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</si>
  <si>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</si>
  <si>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</si>
  <si>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</si>
  <si>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</si>
  <si>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</si>
  <si>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Synatek</t>
  </si>
  <si>
    <t>Syn</t>
  </si>
  <si>
    <t>737 Hagey Drive</t>
  </si>
  <si>
    <t>18777</t>
  </si>
  <si>
    <t>serialk ### / 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</si>
</sst>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7.emf"/><Relationship Id="rId18" Type="http://schemas.openxmlformats.org/officeDocument/2006/relationships/image" Target="../media/image52.emf"/><Relationship Id="rId3" Type="http://schemas.openxmlformats.org/officeDocument/2006/relationships/image" Target="../media/image68.emf"/><Relationship Id="rId21" Type="http://schemas.openxmlformats.org/officeDocument/2006/relationships/image" Target="../media/image50.emf"/><Relationship Id="rId7" Type="http://schemas.openxmlformats.org/officeDocument/2006/relationships/image" Target="../media/image62.emf"/><Relationship Id="rId12" Type="http://schemas.openxmlformats.org/officeDocument/2006/relationships/image" Target="../media/image69.emf"/><Relationship Id="rId17" Type="http://schemas.openxmlformats.org/officeDocument/2006/relationships/image" Target="../media/image53.emf"/><Relationship Id="rId2" Type="http://schemas.openxmlformats.org/officeDocument/2006/relationships/image" Target="../media/image67.emf"/><Relationship Id="rId16" Type="http://schemas.openxmlformats.org/officeDocument/2006/relationships/image" Target="../media/image54.emf"/><Relationship Id="rId20" Type="http://schemas.openxmlformats.org/officeDocument/2006/relationships/image" Target="../media/image70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Relationship Id="rId14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5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11" Type="http://schemas.openxmlformats.org/officeDocument/2006/relationships/image" Target="../media/image89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C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C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C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C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C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C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C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C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C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C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C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C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C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5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9" Type="http://schemas.openxmlformats.org/officeDocument/2006/relationships/control" Target="../activeX/activeX68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image" Target="../media/image64.emf"/><Relationship Id="rId42" Type="http://schemas.openxmlformats.org/officeDocument/2006/relationships/control" Target="../activeX/activeX70.xml"/><Relationship Id="rId47" Type="http://schemas.openxmlformats.org/officeDocument/2006/relationships/control" Target="../activeX/activeX74.xml"/><Relationship Id="rId50" Type="http://schemas.openxmlformats.org/officeDocument/2006/relationships/image" Target="../media/image70.emf"/><Relationship Id="rId7" Type="http://schemas.openxmlformats.org/officeDocument/2006/relationships/control" Target="../activeX/activeX52.xml"/><Relationship Id="rId12" Type="http://schemas.openxmlformats.org/officeDocument/2006/relationships/image" Target="../media/image53.emf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control" Target="../activeX/activeX65.xml"/><Relationship Id="rId38" Type="http://schemas.openxmlformats.org/officeDocument/2006/relationships/image" Target="../media/image66.emf"/><Relationship Id="rId46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29" Type="http://schemas.openxmlformats.org/officeDocument/2006/relationships/control" Target="../activeX/activeX63.xml"/><Relationship Id="rId41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image" Target="../media/image59.emf"/><Relationship Id="rId32" Type="http://schemas.openxmlformats.org/officeDocument/2006/relationships/image" Target="../media/image63.emf"/><Relationship Id="rId37" Type="http://schemas.openxmlformats.org/officeDocument/2006/relationships/control" Target="../activeX/activeX67.xml"/><Relationship Id="rId40" Type="http://schemas.openxmlformats.org/officeDocument/2006/relationships/image" Target="../media/image67.emf"/><Relationship Id="rId45" Type="http://schemas.openxmlformats.org/officeDocument/2006/relationships/control" Target="../activeX/activeX73.xml"/><Relationship Id="rId5" Type="http://schemas.openxmlformats.org/officeDocument/2006/relationships/image" Target="../media/image50.emf"/><Relationship Id="rId15" Type="http://schemas.openxmlformats.org/officeDocument/2006/relationships/control" Target="../activeX/activeX56.xml"/><Relationship Id="rId23" Type="http://schemas.openxmlformats.org/officeDocument/2006/relationships/control" Target="../activeX/activeX60.xml"/><Relationship Id="rId28" Type="http://schemas.openxmlformats.org/officeDocument/2006/relationships/image" Target="../media/image61.emf"/><Relationship Id="rId36" Type="http://schemas.openxmlformats.org/officeDocument/2006/relationships/image" Target="../media/image65.emf"/><Relationship Id="rId49" Type="http://schemas.openxmlformats.org/officeDocument/2006/relationships/control" Target="../activeX/activeX75.xml"/><Relationship Id="rId10" Type="http://schemas.openxmlformats.org/officeDocument/2006/relationships/image" Target="../media/image52.emf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4.xml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image" Target="../media/image54.emf"/><Relationship Id="rId22" Type="http://schemas.openxmlformats.org/officeDocument/2006/relationships/image" Target="../media/image58.emf"/><Relationship Id="rId27" Type="http://schemas.openxmlformats.org/officeDocument/2006/relationships/control" Target="../activeX/activeX62.xml"/><Relationship Id="rId30" Type="http://schemas.openxmlformats.org/officeDocument/2006/relationships/image" Target="../media/image62.emf"/><Relationship Id="rId35" Type="http://schemas.openxmlformats.org/officeDocument/2006/relationships/control" Target="../activeX/activeX66.xml"/><Relationship Id="rId43" Type="http://schemas.openxmlformats.org/officeDocument/2006/relationships/control" Target="../activeX/activeX71.xml"/><Relationship Id="rId48" Type="http://schemas.openxmlformats.org/officeDocument/2006/relationships/image" Target="../media/image69.emf"/><Relationship Id="rId8" Type="http://schemas.openxmlformats.org/officeDocument/2006/relationships/image" Target="../media/image5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1.emf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control" Target="../activeX/activeX90.xml"/><Relationship Id="rId18" Type="http://schemas.openxmlformats.org/officeDocument/2006/relationships/image" Target="../media/image84.emf"/><Relationship Id="rId26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4.xml"/><Relationship Id="rId7" Type="http://schemas.openxmlformats.org/officeDocument/2006/relationships/control" Target="../activeX/activeX86.xml"/><Relationship Id="rId12" Type="http://schemas.openxmlformats.org/officeDocument/2006/relationships/image" Target="../media/image81.emf"/><Relationship Id="rId17" Type="http://schemas.openxmlformats.org/officeDocument/2006/relationships/control" Target="../activeX/activeX92.xml"/><Relationship Id="rId25" Type="http://schemas.openxmlformats.org/officeDocument/2006/relationships/control" Target="../activeX/activeX97.xml"/><Relationship Id="rId2" Type="http://schemas.openxmlformats.org/officeDocument/2006/relationships/drawing" Target="../drawings/drawing12.xml"/><Relationship Id="rId16" Type="http://schemas.openxmlformats.org/officeDocument/2006/relationships/image" Target="../media/image83.emf"/><Relationship Id="rId20" Type="http://schemas.openxmlformats.org/officeDocument/2006/relationships/image" Target="../media/image85.emf"/><Relationship Id="rId29" Type="http://schemas.openxmlformats.org/officeDocument/2006/relationships/image" Target="../media/image88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control" Target="../activeX/activeX89.xml"/><Relationship Id="rId24" Type="http://schemas.openxmlformats.org/officeDocument/2006/relationships/control" Target="../activeX/activeX96.xml"/><Relationship Id="rId5" Type="http://schemas.openxmlformats.org/officeDocument/2006/relationships/image" Target="../media/image79.emf"/><Relationship Id="rId15" Type="http://schemas.openxmlformats.org/officeDocument/2006/relationships/control" Target="../activeX/activeX91.xml"/><Relationship Id="rId23" Type="http://schemas.openxmlformats.org/officeDocument/2006/relationships/control" Target="../activeX/activeX95.xml"/><Relationship Id="rId28" Type="http://schemas.openxmlformats.org/officeDocument/2006/relationships/control" Target="../activeX/activeX99.xml"/><Relationship Id="rId10" Type="http://schemas.openxmlformats.org/officeDocument/2006/relationships/control" Target="../activeX/activeX88.xml"/><Relationship Id="rId19" Type="http://schemas.openxmlformats.org/officeDocument/2006/relationships/control" Target="../activeX/activeX93.xml"/><Relationship Id="rId31" Type="http://schemas.openxmlformats.org/officeDocument/2006/relationships/image" Target="../media/image89.emf"/><Relationship Id="rId4" Type="http://schemas.openxmlformats.org/officeDocument/2006/relationships/control" Target="../activeX/activeX84.xml"/><Relationship Id="rId9" Type="http://schemas.openxmlformats.org/officeDocument/2006/relationships/image" Target="../media/image80.emf"/><Relationship Id="rId14" Type="http://schemas.openxmlformats.org/officeDocument/2006/relationships/image" Target="../media/image82.emf"/><Relationship Id="rId22" Type="http://schemas.openxmlformats.org/officeDocument/2006/relationships/image" Target="../media/image86.emf"/><Relationship Id="rId27" Type="http://schemas.openxmlformats.org/officeDocument/2006/relationships/image" Target="../media/image87.emf"/><Relationship Id="rId30" Type="http://schemas.openxmlformats.org/officeDocument/2006/relationships/control" Target="../activeX/activeX10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90.emf"/><Relationship Id="rId4" Type="http://schemas.openxmlformats.org/officeDocument/2006/relationships/control" Target="../activeX/activeX101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275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>
        <v>38</v>
      </c>
    </row>
    <row r="3" spans="2:5" ht="30" customHeight="1" x14ac:dyDescent="0.25">
      <c r="B3" s="11" t="s">
        <v>42</v>
      </c>
      <c r="C3" s="14" t="s">
        <v>299</v>
      </c>
      <c r="E3" s="37"/>
    </row>
    <row r="4" spans="2:5" ht="30" customHeight="1" x14ac:dyDescent="0.25">
      <c r="B4" s="11" t="s">
        <v>185</v>
      </c>
      <c r="C4" s="14" t="s">
        <v>300</v>
      </c>
      <c r="E4" s="34"/>
    </row>
    <row r="5" spans="2:5" ht="30" customHeight="1" x14ac:dyDescent="0.25">
      <c r="B5" s="11" t="s">
        <v>43</v>
      </c>
      <c r="C5" s="14" t="s">
        <v>301</v>
      </c>
      <c r="E5" s="37"/>
    </row>
    <row r="6" spans="2:5" ht="30" customHeight="1" x14ac:dyDescent="0.25">
      <c r="B6" s="11" t="s">
        <v>44</v>
      </c>
      <c r="C6" s="14" t="s">
        <v>186</v>
      </c>
    </row>
    <row r="7" spans="2:5" ht="30" customHeight="1" x14ac:dyDescent="0.25">
      <c r="B7" s="11" t="s">
        <v>45</v>
      </c>
      <c r="C7" s="14" t="s">
        <v>190</v>
      </c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 t="s">
        <v>302</v>
      </c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264</v>
      </c>
      <c r="D4" s="37"/>
    </row>
    <row r="5" spans="1:4" ht="30" customHeight="1" x14ac:dyDescent="0.25">
      <c r="A5" s="5" t="s">
        <v>1</v>
      </c>
      <c r="B5" s="14" t="s">
        <v>264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265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266</v>
      </c>
    </row>
    <row r="10" spans="1:4" ht="30" customHeight="1" x14ac:dyDescent="0.25">
      <c r="A10" s="5" t="s">
        <v>163</v>
      </c>
      <c r="B10" s="14" t="s">
        <v>251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257</v>
      </c>
      <c r="D3" s="37"/>
    </row>
    <row r="4" spans="1:4" ht="30" customHeight="1" x14ac:dyDescent="0.25">
      <c r="A4" s="5" t="s">
        <v>252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258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253</v>
      </c>
      <c r="B8" s="14">
        <v>1515115</v>
      </c>
    </row>
    <row r="9" spans="1:4" ht="30" customHeight="1" x14ac:dyDescent="0.25">
      <c r="A9" s="113" t="s">
        <v>254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255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274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259</v>
      </c>
      <c r="E3" s="37"/>
    </row>
    <row r="4" spans="1:5" ht="30" customHeight="1" x14ac:dyDescent="0.25">
      <c r="A4" s="5" t="s">
        <v>36</v>
      </c>
      <c r="B4" s="58" t="s">
        <v>260</v>
      </c>
    </row>
    <row r="5" spans="1:5" ht="30" customHeight="1" x14ac:dyDescent="0.25">
      <c r="A5" s="5" t="s">
        <v>13</v>
      </c>
      <c r="B5" s="14" t="s">
        <v>261</v>
      </c>
    </row>
    <row r="6" spans="1:5" ht="30" customHeight="1" x14ac:dyDescent="0.25">
      <c r="A6" s="5" t="s">
        <v>34</v>
      </c>
      <c r="B6" s="14" t="s">
        <v>262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09" t="s">
        <v>263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D5" sqref="D5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/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/>
    </row>
    <row r="15" spans="2:10" ht="18" customHeight="1" x14ac:dyDescent="0.25">
      <c r="B15" s="5" t="s">
        <v>214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r:id="rId5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7" name="cmdQAProcess">
          <controlPr defaultSize="0" autoLine="0" autoPict="0" r:id="rId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7" name="cmdQAProcess"/>
      </mc:Fallback>
    </mc:AlternateContent>
    <mc:AlternateContent xmlns:mc="http://schemas.openxmlformats.org/markup-compatibility/2006">
      <mc:Choice Requires="x14">
        <control shapeId="21537" r:id="rId9" name="cmdQuality">
          <controlPr defaultSize="0" autoLine="0" autoPict="0" altText="" r:id="rId10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9" name="cmdQuality"/>
      </mc:Fallback>
    </mc:AlternateContent>
    <mc:AlternateContent xmlns:mc="http://schemas.openxmlformats.org/markup-compatibility/2006">
      <mc:Choice Requires="x14">
        <control shapeId="21536" r:id="rId11" name="cmdECD">
          <controlPr defaultSize="0" autoLine="0" r:id="rId12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1" name="cmdECD"/>
      </mc:Fallback>
    </mc:AlternateContent>
    <mc:AlternateContent xmlns:mc="http://schemas.openxmlformats.org/markup-compatibility/2006">
      <mc:Choice Requires="x14">
        <control shapeId="21535" r:id="rId13" name="cmdEngine">
          <controlPr defaultSize="0" autoLine="0" r:id="rId14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3" name="cmdEngine"/>
      </mc:Fallback>
    </mc:AlternateContent>
    <mc:AlternateContent xmlns:mc="http://schemas.openxmlformats.org/markup-compatibility/2006">
      <mc:Choice Requires="x14">
        <control shapeId="21534" r:id="rId15" name="cmdVehicle">
          <controlPr defaultSize="0" autoLine="0" r:id="rId16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5" name="cmdVehicle"/>
      </mc:Fallback>
    </mc:AlternateContent>
    <mc:AlternateContent xmlns:mc="http://schemas.openxmlformats.org/markup-compatibility/2006">
      <mc:Choice Requires="x14">
        <control shapeId="21533" r:id="rId17" name="cbSalesID">
          <controlPr defaultSize="0" autoFill="0" autoLine="0" r:id="rId1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7" name="cbSalesID"/>
      </mc:Fallback>
    </mc:AlternateContent>
    <mc:AlternateContent xmlns:mc="http://schemas.openxmlformats.org/markup-compatibility/2006">
      <mc:Choice Requires="x14">
        <control shapeId="21532" r:id="rId19" name="cbBillingCompany">
          <controlPr defaultSize="0" autoFill="0" autoLine="0" r:id="rId2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19" name="cbBillingCompany"/>
      </mc:Fallback>
    </mc:AlternateContent>
    <mc:AlternateContent xmlns:mc="http://schemas.openxmlformats.org/markup-compatibility/2006">
      <mc:Choice Requires="x14">
        <control shapeId="21530" r:id="rId21" name="cbCleaningReason">
          <controlPr defaultSize="0" autoFill="0" autoLine="0" autoPict="0" r:id="rId22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1" name="cbCleaningReason"/>
      </mc:Fallback>
    </mc:AlternateContent>
    <mc:AlternateContent xmlns:mc="http://schemas.openxmlformats.org/markup-compatibility/2006">
      <mc:Choice Requires="x14">
        <control shapeId="21529" r:id="rId23" name="cbDrivingType">
          <controlPr defaultSize="0" autoFill="0" autoLine="0" r:id="rId24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3" name="cbDrivingType"/>
      </mc:Fallback>
    </mc:AlternateContent>
    <mc:AlternateContent xmlns:mc="http://schemas.openxmlformats.org/markup-compatibility/2006">
      <mc:Choice Requires="x14">
        <control shapeId="21528" r:id="rId25" name="cbECD">
          <controlPr defaultSize="0" autoFill="0" autoLine="0" r:id="rId26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5" name="cbECD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6" r:id="rId29" name="cbVehicle">
          <controlPr defaultSize="0" autoFill="0" autoLine="0" r:id="rId30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9" name="cbVehicle"/>
      </mc:Fallback>
    </mc:AlternateContent>
    <mc:AlternateContent xmlns:mc="http://schemas.openxmlformats.org/markup-compatibility/2006">
      <mc:Choice Requires="x14">
        <control shapeId="21525" r:id="rId31" name="cbCompLocation">
          <controlPr defaultSize="0" autoFill="0" autoLine="0" r:id="rId32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1" name="cbCompLocation"/>
      </mc:Fallback>
    </mc:AlternateContent>
    <mc:AlternateContent xmlns:mc="http://schemas.openxmlformats.org/markup-compatibility/2006">
      <mc:Choice Requires="x14">
        <control shapeId="21523" r:id="rId33" name="cbCompany">
          <controlPr defaultSize="0" autoFill="0" autoLine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3" name="cbCompany"/>
      </mc:Fallback>
    </mc:AlternateContent>
    <mc:AlternateContent xmlns:mc="http://schemas.openxmlformats.org/markup-compatibility/2006">
      <mc:Choice Requires="x14">
        <control shapeId="21522" r:id="rId35" name="cbDPF">
          <controlPr defaultSize="0" autoFill="0" autoLine="0" r:id="rId36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5" name="cbDPF"/>
      </mc:Fallback>
    </mc:AlternateContent>
    <mc:AlternateContent xmlns:mc="http://schemas.openxmlformats.org/markup-compatibility/2006">
      <mc:Choice Requires="x14">
        <control shapeId="21505" r:id="rId37" name="chkOvrRdHw">
          <controlPr autoLine="0" autoPict="0" r:id="rId38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7" name="chkOvrRdHw"/>
      </mc:Fallback>
    </mc:AlternateContent>
    <mc:AlternateContent xmlns:mc="http://schemas.openxmlformats.org/markup-compatibility/2006">
      <mc:Choice Requires="x14">
        <control shapeId="21506" r:id="rId39" name="chkStartStop">
          <controlPr autoLine="0" autoPict="0" r:id="rId40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39" name="chkStartStop"/>
      </mc:Fallback>
    </mc:AlternateContent>
    <mc:AlternateContent xmlns:mc="http://schemas.openxmlformats.org/markup-compatibility/2006">
      <mc:Choice Requires="x14">
        <control shapeId="21507" r:id="rId41" name="chkHighIdle">
          <controlPr autoLine="0" autoPict="0" r:id="rId40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1" name="chkHighIdle"/>
      </mc:Fallback>
    </mc:AlternateContent>
    <mc:AlternateContent xmlns:mc="http://schemas.openxmlformats.org/markup-compatibility/2006">
      <mc:Choice Requires="x14">
        <control shapeId="21508" r:id="rId42" name="chkPreventMaint">
          <controlPr autoLine="0" autoPict="0" r:id="rId40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2" name="chkPreventMaint"/>
      </mc:Fallback>
    </mc:AlternateContent>
    <mc:AlternateContent xmlns:mc="http://schemas.openxmlformats.org/markup-compatibility/2006">
      <mc:Choice Requires="x14">
        <control shapeId="21509" r:id="rId43" name="chkHighSootLoad">
          <controlPr autoLine="0" autoPict="0" r:id="rId40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3" name="chkHighSootLoad"/>
      </mc:Fallback>
    </mc:AlternateContent>
    <mc:AlternateContent xmlns:mc="http://schemas.openxmlformats.org/markup-compatibility/2006">
      <mc:Choice Requires="x14">
        <control shapeId="21510" r:id="rId44" name="chkEngineFail">
          <controlPr autoLine="0" autoPict="0" r:id="rId40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4" name="chkEngineFail"/>
      </mc:Fallback>
    </mc:AlternateContent>
    <mc:AlternateContent xmlns:mc="http://schemas.openxmlformats.org/markup-compatibility/2006">
      <mc:Choice Requires="x14">
        <control shapeId="21518" r:id="rId45" name="cmdSave">
          <controlPr defaultSize="0" autoFill="0" autoLine="0" r:id="rId46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5" name="cmdSave"/>
      </mc:Fallback>
    </mc:AlternateContent>
    <mc:AlternateContent xmlns:mc="http://schemas.openxmlformats.org/markup-compatibility/2006">
      <mc:Choice Requires="x14">
        <control shapeId="21531" r:id="rId47" name="cmdMenu">
          <controlPr autoLine="0" r:id="rId48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7" name="cmdMenu"/>
      </mc:Fallback>
    </mc:AlternateContent>
    <mc:AlternateContent xmlns:mc="http://schemas.openxmlformats.org/markup-compatibility/2006">
      <mc:Choice Requires="x14">
        <control shapeId="21539" r:id="rId49" name="cmdReport">
          <controlPr defaultSize="0" autoLine="0" altText="" r:id="rId50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9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2" t="s">
        <v>221</v>
      </c>
      <c r="CG2" t="s">
        <v>117</v>
      </c>
      <c r="CH2" s="112" t="s">
        <v>118</v>
      </c>
      <c r="CI2">
        <v>0</v>
      </c>
      <c r="CJ2" s="112" t="s">
        <v>223</v>
      </c>
      <c r="CK2" t="s">
        <v>222</v>
      </c>
      <c r="CM2" s="112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2" t="s">
        <v>221</v>
      </c>
      <c r="CG3" t="s">
        <v>117</v>
      </c>
      <c r="CH3" s="112" t="s">
        <v>118</v>
      </c>
      <c r="CI3">
        <v>0</v>
      </c>
      <c r="CJ3" s="112" t="s">
        <v>223</v>
      </c>
      <c r="CK3" t="s">
        <v>222</v>
      </c>
      <c r="CM3" s="112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2" t="s">
        <v>221</v>
      </c>
      <c r="CG4" t="s">
        <v>117</v>
      </c>
      <c r="CH4" s="112" t="s">
        <v>118</v>
      </c>
      <c r="CI4">
        <v>0</v>
      </c>
      <c r="CJ4" s="112" t="s">
        <v>223</v>
      </c>
      <c r="CK4" t="s">
        <v>222</v>
      </c>
      <c r="CM4" s="112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E8FA-F2F3-42C6-831D-153817D101F5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4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7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5" t="s">
        <v>273</v>
      </c>
      <c r="C12" s="25" t="s">
        <v>268</v>
      </c>
      <c r="D12" s="115" t="s">
        <v>267</v>
      </c>
      <c r="E12" s="116" t="s">
        <v>269</v>
      </c>
      <c r="F12" s="118" t="s">
        <v>270</v>
      </c>
      <c r="G12" s="25" t="s">
        <v>271</v>
      </c>
      <c r="H12" s="25" t="s">
        <v>272</v>
      </c>
    </row>
    <row r="13" spans="2:8" x14ac:dyDescent="0.25">
      <c r="B13" s="19">
        <v>9</v>
      </c>
      <c r="C13" s="114" t="s">
        <v>276</v>
      </c>
      <c r="D13" s="19">
        <v>22</v>
      </c>
      <c r="F13" s="2">
        <v>43554.784374768518</v>
      </c>
      <c r="G13" t="s">
        <v>188</v>
      </c>
      <c r="H13" t="s">
        <v>188</v>
      </c>
    </row>
    <row r="14" spans="2:8" x14ac:dyDescent="0.25">
      <c r="B14" s="19">
        <v>8</v>
      </c>
      <c r="C14" s="114" t="s">
        <v>277</v>
      </c>
      <c r="D14" s="19">
        <v>21</v>
      </c>
      <c r="F14" s="2">
        <v>43554.782228321761</v>
      </c>
      <c r="G14" t="s">
        <v>188</v>
      </c>
      <c r="H14" t="s">
        <v>188</v>
      </c>
    </row>
    <row r="15" spans="2:8" x14ac:dyDescent="0.25">
      <c r="B15" s="19">
        <v>7</v>
      </c>
      <c r="C15" s="114" t="s">
        <v>278</v>
      </c>
      <c r="D15" s="19">
        <v>20</v>
      </c>
      <c r="F15" s="2">
        <v>43554.782133298613</v>
      </c>
      <c r="G15" t="s">
        <v>188</v>
      </c>
      <c r="H15" t="s">
        <v>188</v>
      </c>
    </row>
    <row r="16" spans="2:8" x14ac:dyDescent="0.25">
      <c r="B16" s="19">
        <v>6</v>
      </c>
      <c r="C16" s="114" t="s">
        <v>279</v>
      </c>
      <c r="D16" s="19">
        <v>19</v>
      </c>
      <c r="F16" s="2">
        <v>43554.781524189813</v>
      </c>
      <c r="G16" t="s">
        <v>188</v>
      </c>
      <c r="H16" t="s">
        <v>188</v>
      </c>
    </row>
    <row r="17" spans="2:8" x14ac:dyDescent="0.25">
      <c r="B17" s="19">
        <v>35</v>
      </c>
      <c r="C17" s="114" t="s">
        <v>280</v>
      </c>
      <c r="D17" s="19">
        <v>41</v>
      </c>
      <c r="F17" s="2">
        <v>43607.795680439813</v>
      </c>
      <c r="G17" t="s">
        <v>281</v>
      </c>
      <c r="H17" t="s">
        <v>282</v>
      </c>
    </row>
    <row r="18" spans="2:8" ht="15.95" customHeight="1" x14ac:dyDescent="0.25">
      <c r="B18" s="19">
        <v>35</v>
      </c>
      <c r="C18" s="114" t="s">
        <v>280</v>
      </c>
      <c r="D18" s="19">
        <v>42</v>
      </c>
      <c r="F18" s="2">
        <v>43607.808764930553</v>
      </c>
      <c r="G18" t="s">
        <v>281</v>
      </c>
      <c r="H18" t="s">
        <v>282</v>
      </c>
    </row>
    <row r="19" spans="2:8" x14ac:dyDescent="0.25">
      <c r="B19" s="19">
        <v>13</v>
      </c>
      <c r="C19" s="114" t="s">
        <v>283</v>
      </c>
      <c r="D19" s="19">
        <v>26</v>
      </c>
      <c r="F19" s="2">
        <v>43555.732841979167</v>
      </c>
      <c r="G19" t="s">
        <v>188</v>
      </c>
      <c r="H19" t="s">
        <v>188</v>
      </c>
    </row>
    <row r="20" spans="2:8" x14ac:dyDescent="0.25">
      <c r="B20" s="19">
        <v>12</v>
      </c>
      <c r="C20" s="114" t="s">
        <v>284</v>
      </c>
      <c r="D20" s="19">
        <v>25</v>
      </c>
      <c r="F20" s="2">
        <v>43555.731991932873</v>
      </c>
      <c r="G20" t="s">
        <v>188</v>
      </c>
      <c r="H20" t="s">
        <v>188</v>
      </c>
    </row>
    <row r="21" spans="2:8" x14ac:dyDescent="0.25">
      <c r="B21" s="19">
        <v>11</v>
      </c>
      <c r="C21" s="114" t="s">
        <v>285</v>
      </c>
      <c r="D21" s="19">
        <v>24</v>
      </c>
      <c r="F21" s="2">
        <v>43555.721536655095</v>
      </c>
      <c r="G21" t="s">
        <v>188</v>
      </c>
      <c r="H21" t="s">
        <v>188</v>
      </c>
    </row>
    <row r="22" spans="2:8" x14ac:dyDescent="0.25">
      <c r="B22" s="19">
        <v>10</v>
      </c>
      <c r="C22" s="114" t="s">
        <v>286</v>
      </c>
      <c r="D22" s="19">
        <v>23</v>
      </c>
      <c r="F22" s="2">
        <v>43554.786333530094</v>
      </c>
      <c r="G22" t="s">
        <v>188</v>
      </c>
      <c r="H22" t="s">
        <v>188</v>
      </c>
    </row>
    <row r="23" spans="2:8" x14ac:dyDescent="0.25">
      <c r="B23" s="19">
        <v>39</v>
      </c>
      <c r="C23" s="114" t="s">
        <v>236</v>
      </c>
      <c r="D23" s="19">
        <v>47</v>
      </c>
      <c r="E23" s="2" t="s">
        <v>238</v>
      </c>
      <c r="F23" s="2">
        <v>43608.71115127315</v>
      </c>
      <c r="G23" t="s">
        <v>188</v>
      </c>
      <c r="H23" t="s">
        <v>188</v>
      </c>
    </row>
    <row r="24" spans="2:8" x14ac:dyDescent="0.25">
      <c r="B24" s="19">
        <v>39</v>
      </c>
      <c r="C24" s="114" t="s">
        <v>236</v>
      </c>
      <c r="D24" s="19">
        <v>52</v>
      </c>
      <c r="E24" s="2" t="s">
        <v>238</v>
      </c>
      <c r="F24" s="2">
        <v>43641.855874421293</v>
      </c>
      <c r="G24" t="s">
        <v>188</v>
      </c>
      <c r="H24" t="s">
        <v>188</v>
      </c>
    </row>
    <row r="25" spans="2:8" x14ac:dyDescent="0.25">
      <c r="B25" s="19">
        <v>37</v>
      </c>
      <c r="C25" s="114" t="s">
        <v>287</v>
      </c>
      <c r="D25" s="19">
        <v>53</v>
      </c>
      <c r="F25" s="2">
        <v>43641.856067395835</v>
      </c>
      <c r="G25" t="s">
        <v>188</v>
      </c>
      <c r="H25" t="s">
        <v>188</v>
      </c>
    </row>
    <row r="26" spans="2:8" x14ac:dyDescent="0.25">
      <c r="B26" s="19">
        <v>37</v>
      </c>
      <c r="C26" s="114" t="s">
        <v>287</v>
      </c>
      <c r="D26" s="19">
        <v>44</v>
      </c>
      <c r="F26" s="2">
        <v>43608.687795104168</v>
      </c>
      <c r="G26" t="s">
        <v>188</v>
      </c>
      <c r="H26" t="s">
        <v>188</v>
      </c>
    </row>
    <row r="27" spans="2:8" x14ac:dyDescent="0.25">
      <c r="B27" s="19">
        <v>36</v>
      </c>
      <c r="C27" s="114" t="s">
        <v>288</v>
      </c>
      <c r="D27" s="19">
        <v>43</v>
      </c>
      <c r="F27" s="2">
        <v>43608.681211226853</v>
      </c>
      <c r="G27" t="s">
        <v>188</v>
      </c>
      <c r="H27" t="s">
        <v>188</v>
      </c>
    </row>
    <row r="28" spans="2:8" x14ac:dyDescent="0.25">
      <c r="B28" s="19">
        <v>34</v>
      </c>
      <c r="C28" s="114" t="s">
        <v>289</v>
      </c>
      <c r="D28" s="19">
        <v>40</v>
      </c>
      <c r="F28" s="2">
        <v>43607.790823958334</v>
      </c>
      <c r="G28" t="s">
        <v>290</v>
      </c>
      <c r="H28" t="s">
        <v>188</v>
      </c>
    </row>
    <row r="29" spans="2:8" x14ac:dyDescent="0.25">
      <c r="B29" s="19">
        <v>33</v>
      </c>
      <c r="C29" s="114" t="s">
        <v>291</v>
      </c>
      <c r="D29" s="19">
        <v>39</v>
      </c>
      <c r="F29" s="2">
        <v>43607.79031369213</v>
      </c>
      <c r="G29" t="s">
        <v>292</v>
      </c>
      <c r="H29" t="s">
        <v>188</v>
      </c>
    </row>
    <row r="30" spans="2:8" x14ac:dyDescent="0.25">
      <c r="B30" s="19">
        <v>32</v>
      </c>
      <c r="C30" s="114" t="s">
        <v>293</v>
      </c>
      <c r="D30" s="19">
        <v>36</v>
      </c>
      <c r="F30" s="2">
        <v>43597.715333796295</v>
      </c>
      <c r="G30" t="s">
        <v>188</v>
      </c>
      <c r="H30" t="s">
        <v>188</v>
      </c>
    </row>
    <row r="31" spans="2:8" x14ac:dyDescent="0.25">
      <c r="B31" s="19">
        <v>32</v>
      </c>
      <c r="C31" s="114" t="s">
        <v>293</v>
      </c>
      <c r="D31" s="19">
        <v>37</v>
      </c>
      <c r="F31" s="2">
        <v>43597.720580127316</v>
      </c>
      <c r="G31" t="s">
        <v>188</v>
      </c>
      <c r="H31" t="s">
        <v>188</v>
      </c>
    </row>
    <row r="32" spans="2:8" x14ac:dyDescent="0.25">
      <c r="B32" s="19">
        <v>31</v>
      </c>
      <c r="C32" s="114" t="s">
        <v>294</v>
      </c>
      <c r="D32" s="19">
        <v>38</v>
      </c>
      <c r="F32" s="2">
        <v>43604.774235613426</v>
      </c>
      <c r="G32" t="s">
        <v>188</v>
      </c>
      <c r="H32" t="s">
        <v>188</v>
      </c>
    </row>
    <row r="33" spans="2:8" x14ac:dyDescent="0.25">
      <c r="B33" s="19">
        <v>31</v>
      </c>
      <c r="C33" s="114" t="s">
        <v>294</v>
      </c>
      <c r="D33" s="19">
        <v>34</v>
      </c>
      <c r="F33" s="2">
        <v>43590.760459606485</v>
      </c>
      <c r="G33" t="s">
        <v>188</v>
      </c>
      <c r="H33" t="s">
        <v>188</v>
      </c>
    </row>
    <row r="34" spans="2:8" x14ac:dyDescent="0.25">
      <c r="B34" s="19">
        <v>31</v>
      </c>
      <c r="C34" s="114" t="s">
        <v>294</v>
      </c>
      <c r="D34" s="19">
        <v>35</v>
      </c>
      <c r="F34" s="2">
        <v>43590.825798067126</v>
      </c>
      <c r="G34" t="s">
        <v>188</v>
      </c>
      <c r="H34" t="s">
        <v>188</v>
      </c>
    </row>
    <row r="35" spans="2:8" x14ac:dyDescent="0.25">
      <c r="B35" s="19">
        <v>30</v>
      </c>
      <c r="C35" s="114" t="s">
        <v>295</v>
      </c>
      <c r="D35" s="19">
        <v>33</v>
      </c>
      <c r="F35" s="2">
        <v>43590.760064780094</v>
      </c>
      <c r="G35" t="s">
        <v>188</v>
      </c>
      <c r="H35" t="s">
        <v>188</v>
      </c>
    </row>
    <row r="36" spans="2:8" x14ac:dyDescent="0.25">
      <c r="B36" s="19">
        <v>16</v>
      </c>
      <c r="C36" s="114" t="s">
        <v>296</v>
      </c>
      <c r="D36" s="19">
        <v>31</v>
      </c>
      <c r="F36" s="2">
        <v>43562.717906944446</v>
      </c>
      <c r="G36" t="s">
        <v>188</v>
      </c>
      <c r="H36" t="s">
        <v>188</v>
      </c>
    </row>
    <row r="37" spans="2:8" x14ac:dyDescent="0.25">
      <c r="B37" s="19">
        <v>16</v>
      </c>
      <c r="C37" s="114" t="s">
        <v>296</v>
      </c>
      <c r="D37" s="19">
        <v>32</v>
      </c>
      <c r="F37" s="2">
        <v>43569.762119016203</v>
      </c>
      <c r="G37" t="s">
        <v>188</v>
      </c>
      <c r="H37" t="s">
        <v>188</v>
      </c>
    </row>
    <row r="38" spans="2:8" x14ac:dyDescent="0.25">
      <c r="B38" s="19">
        <v>15</v>
      </c>
      <c r="C38" s="114" t="s">
        <v>297</v>
      </c>
      <c r="D38" s="19">
        <v>30</v>
      </c>
      <c r="F38" s="2">
        <v>43555.750073877316</v>
      </c>
      <c r="G38" t="s">
        <v>188</v>
      </c>
      <c r="H38" t="s">
        <v>188</v>
      </c>
    </row>
    <row r="39" spans="2:8" x14ac:dyDescent="0.25">
      <c r="B39" s="19">
        <v>14</v>
      </c>
      <c r="C39" s="114" t="s">
        <v>298</v>
      </c>
      <c r="D39" s="19">
        <v>27</v>
      </c>
      <c r="F39" s="2">
        <v>43555.736252858798</v>
      </c>
      <c r="G39" t="s">
        <v>188</v>
      </c>
      <c r="H39" t="s">
        <v>188</v>
      </c>
    </row>
    <row r="40" spans="2:8" x14ac:dyDescent="0.25">
      <c r="B40" s="19">
        <v>14</v>
      </c>
      <c r="C40" s="114" t="s">
        <v>298</v>
      </c>
      <c r="D40" s="19">
        <v>28</v>
      </c>
      <c r="F40" s="2">
        <v>43555.738319942131</v>
      </c>
      <c r="G40" t="s">
        <v>188</v>
      </c>
      <c r="H40" t="s">
        <v>188</v>
      </c>
    </row>
    <row r="41" spans="2:8" x14ac:dyDescent="0.25">
      <c r="B41" s="19">
        <v>14</v>
      </c>
      <c r="C41" s="114" t="s">
        <v>298</v>
      </c>
      <c r="D41" s="19">
        <v>29</v>
      </c>
      <c r="F41" s="2">
        <v>43555.73908240741</v>
      </c>
      <c r="G41" t="s">
        <v>188</v>
      </c>
      <c r="H41" t="s">
        <v>188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B2" sqref="B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7">
        <v>66</v>
      </c>
      <c r="J2" s="19"/>
    </row>
    <row r="3" spans="1:10" ht="18" customHeight="1" x14ac:dyDescent="0.25">
      <c r="A3" s="40" t="s">
        <v>219</v>
      </c>
      <c r="B3" s="108" t="s">
        <v>303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7">
        <v>11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7">
        <v>15</v>
      </c>
      <c r="F5" s="41"/>
      <c r="H5" s="10" t="s">
        <v>65</v>
      </c>
    </row>
    <row r="6" spans="1:10" ht="18" customHeight="1" x14ac:dyDescent="0.25">
      <c r="A6" s="40" t="s">
        <v>217</v>
      </c>
      <c r="B6" s="110">
        <f>(3.14*(SubDiameter/2)^2)*(SubLength)*(1/12)^3</f>
        <v>0.82452256944444446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1">
        <f>Volume*28.317</f>
        <v>23.348005598958334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>
        <v>0</v>
      </c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256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D18" sqref="D1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1" t="s">
        <v>205</v>
      </c>
      <c r="C3" s="1">
        <v>66</v>
      </c>
    </row>
    <row r="4" spans="2:9" ht="18.75" x14ac:dyDescent="0.3">
      <c r="I4" s="45"/>
    </row>
    <row r="5" spans="2:9" x14ac:dyDescent="0.25">
      <c r="B5" s="105" t="s">
        <v>16</v>
      </c>
      <c r="C5" s="106">
        <v>11</v>
      </c>
      <c r="D5" s="61"/>
      <c r="E5" s="61" t="s">
        <v>207</v>
      </c>
      <c r="F5" s="92">
        <v>110000</v>
      </c>
      <c r="G5" s="93" t="s">
        <v>91</v>
      </c>
      <c r="H5" s="64"/>
    </row>
    <row r="6" spans="2:9" x14ac:dyDescent="0.25">
      <c r="B6" s="94" t="s">
        <v>18</v>
      </c>
      <c r="C6" s="95">
        <v>15</v>
      </c>
      <c r="D6" s="64"/>
      <c r="E6" s="64" t="s">
        <v>206</v>
      </c>
      <c r="F6" s="96">
        <v>60</v>
      </c>
      <c r="G6" s="67" t="s">
        <v>92</v>
      </c>
      <c r="H6" s="64"/>
    </row>
    <row r="7" spans="2:9" x14ac:dyDescent="0.25">
      <c r="B7" s="97" t="s">
        <v>168</v>
      </c>
      <c r="C7" s="95">
        <f>(3.14*(SubDiameter/2)^2)*(SubLength)*(1/12)^3</f>
        <v>0.82452256944444446</v>
      </c>
      <c r="D7" s="98"/>
      <c r="E7" s="64" t="s">
        <v>208</v>
      </c>
      <c r="F7" s="96">
        <f>(Volume*MaxSpaceVelocity)*(1/60)*(61.7)/(2350*0.395)</f>
        <v>100.47642838350741</v>
      </c>
      <c r="G7" s="67" t="s">
        <v>92</v>
      </c>
      <c r="H7" s="64"/>
    </row>
    <row r="8" spans="2:9" x14ac:dyDescent="0.25">
      <c r="B8" s="99" t="s">
        <v>169</v>
      </c>
      <c r="C8" s="100">
        <f>Volume*28.317</f>
        <v>23.348005598958334</v>
      </c>
      <c r="D8" s="101"/>
      <c r="E8" s="102" t="s">
        <v>209</v>
      </c>
      <c r="F8" s="104" t="str">
        <f>IF(F7&gt;MaxHertz,"60",F7)</f>
        <v>60</v>
      </c>
      <c r="G8" s="103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>
        <v>95</v>
      </c>
      <c r="E11" s="61" t="s">
        <v>72</v>
      </c>
      <c r="F11" s="61"/>
      <c r="G11" s="62" t="s">
        <v>87</v>
      </c>
      <c r="H11" s="62" t="s">
        <v>88</v>
      </c>
      <c r="I11" s="89"/>
    </row>
    <row r="12" spans="2:9" x14ac:dyDescent="0.25">
      <c r="B12" s="63" t="s">
        <v>73</v>
      </c>
      <c r="C12" s="64"/>
      <c r="D12" s="65">
        <v>150</v>
      </c>
      <c r="E12" s="64" t="s">
        <v>74</v>
      </c>
      <c r="F12" s="64"/>
      <c r="G12" s="64"/>
      <c r="H12" s="66" t="s">
        <v>89</v>
      </c>
      <c r="I12" s="90"/>
    </row>
    <row r="13" spans="2:9" x14ac:dyDescent="0.25">
      <c r="B13" s="63" t="s">
        <v>75</v>
      </c>
      <c r="C13" s="64"/>
      <c r="D13" s="64"/>
      <c r="E13" s="64"/>
      <c r="F13" s="64"/>
      <c r="G13" s="64"/>
      <c r="H13" s="66" t="s">
        <v>90</v>
      </c>
      <c r="I13" s="90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15</v>
      </c>
      <c r="C16" s="75">
        <f>(2350/61.7)*B16*0.395</f>
        <v>225.66855753646678</v>
      </c>
      <c r="D16" s="68">
        <v>0.10000000149011612</v>
      </c>
      <c r="E16" s="75">
        <f t="shared" ref="E16:E26" si="0">C16-(34.4764881*D16-4.325744048*D16^2+0.369475446*D16^3-0.01733631*D16^4+0.000339472*D16^5)</f>
        <v>222.26379837163586</v>
      </c>
      <c r="F16" s="76">
        <f t="shared" ref="F16:F26" si="1">(E16*60)/Volume</f>
        <v>16173.999835181839</v>
      </c>
      <c r="G16" s="119">
        <v>20000</v>
      </c>
      <c r="H16" s="77">
        <f t="shared" ref="H16:H26" si="2">G16*Volume/60</f>
        <v>274.84085648148152</v>
      </c>
      <c r="I16" s="78">
        <f t="shared" ref="I16:I26" si="3">G16^2*P0a+G16*P0b+P0c</f>
        <v>0</v>
      </c>
    </row>
    <row r="17" spans="2:9" x14ac:dyDescent="0.25">
      <c r="B17" s="74">
        <f>0.4*$F$8</f>
        <v>24</v>
      </c>
      <c r="C17" s="75">
        <f t="shared" ref="C17:C26" si="4">(2350/61.7)*B17*0.395</f>
        <v>361.06969205834679</v>
      </c>
      <c r="D17" s="68">
        <v>0.20000000298023224</v>
      </c>
      <c r="E17" s="75">
        <f t="shared" si="0"/>
        <v>354.34449592844203</v>
      </c>
      <c r="F17" s="76">
        <f t="shared" si="1"/>
        <v>25785.4309191703</v>
      </c>
      <c r="G17" s="119">
        <v>35000</v>
      </c>
      <c r="H17" s="77">
        <f t="shared" si="2"/>
        <v>480.97149884259255</v>
      </c>
      <c r="I17" s="78">
        <f t="shared" si="3"/>
        <v>0</v>
      </c>
    </row>
    <row r="18" spans="2:9" x14ac:dyDescent="0.25">
      <c r="B18" s="74">
        <f>0.5*$F$8</f>
        <v>30</v>
      </c>
      <c r="C18" s="75">
        <f t="shared" si="4"/>
        <v>451.33711507293356</v>
      </c>
      <c r="D18" s="121">
        <v>0.30000001192092896</v>
      </c>
      <c r="E18" s="75">
        <f t="shared" si="0"/>
        <v>441.37364898818691</v>
      </c>
      <c r="F18" s="76">
        <f t="shared" si="1"/>
        <v>32118.488833040457</v>
      </c>
      <c r="G18" s="119">
        <v>50000</v>
      </c>
      <c r="H18" s="77">
        <f t="shared" si="2"/>
        <v>687.10214120370381</v>
      </c>
      <c r="I18" s="78">
        <f t="shared" si="3"/>
        <v>0</v>
      </c>
    </row>
    <row r="19" spans="2:9" x14ac:dyDescent="0.25">
      <c r="B19" s="74">
        <f>0.6*$F$8</f>
        <v>36</v>
      </c>
      <c r="C19" s="75">
        <f t="shared" si="4"/>
        <v>541.60453808752015</v>
      </c>
      <c r="D19" s="121">
        <v>0.40000000596046448</v>
      </c>
      <c r="E19" s="75">
        <f t="shared" si="0"/>
        <v>528.48285561409887</v>
      </c>
      <c r="F19" s="76">
        <f t="shared" si="1"/>
        <v>38457.372195658798</v>
      </c>
      <c r="G19" s="119">
        <v>60000</v>
      </c>
      <c r="H19" s="77">
        <f t="shared" si="2"/>
        <v>824.52256944444446</v>
      </c>
      <c r="I19" s="78">
        <f t="shared" si="3"/>
        <v>0</v>
      </c>
    </row>
    <row r="20" spans="2:9" x14ac:dyDescent="0.25">
      <c r="B20" s="74">
        <f>0.7*$F$8</f>
        <v>42</v>
      </c>
      <c r="C20" s="75">
        <f t="shared" si="4"/>
        <v>631.87196110210698</v>
      </c>
      <c r="D20" s="121">
        <v>0.5</v>
      </c>
      <c r="E20" s="75">
        <f t="shared" si="0"/>
        <v>615.67004154423194</v>
      </c>
      <c r="F20" s="76">
        <f t="shared" si="1"/>
        <v>44801.930064259948</v>
      </c>
      <c r="G20" s="119">
        <v>70000</v>
      </c>
      <c r="H20" s="77">
        <f t="shared" si="2"/>
        <v>961.94299768518511</v>
      </c>
      <c r="I20" s="78">
        <f t="shared" si="3"/>
        <v>0</v>
      </c>
    </row>
    <row r="21" spans="2:9" x14ac:dyDescent="0.25">
      <c r="B21" s="74">
        <f>0.75*$F$8</f>
        <v>45</v>
      </c>
      <c r="C21" s="75">
        <f t="shared" si="4"/>
        <v>677.00567260940034</v>
      </c>
      <c r="D21" s="121">
        <v>0.60000002384185791</v>
      </c>
      <c r="E21" s="75">
        <f t="shared" si="0"/>
        <v>657.79946059139274</v>
      </c>
      <c r="F21" s="76">
        <f t="shared" si="1"/>
        <v>47867.661963549057</v>
      </c>
      <c r="G21" s="119">
        <v>75000</v>
      </c>
      <c r="H21" s="77">
        <f t="shared" si="2"/>
        <v>1030.6532118055557</v>
      </c>
      <c r="I21" s="78">
        <f t="shared" si="3"/>
        <v>0</v>
      </c>
    </row>
    <row r="22" spans="2:9" x14ac:dyDescent="0.25">
      <c r="B22" s="74">
        <f>0.8*$F$8</f>
        <v>48</v>
      </c>
      <c r="C22" s="75">
        <f t="shared" si="4"/>
        <v>722.13938411669358</v>
      </c>
      <c r="D22" s="121">
        <v>0.69999998807907104</v>
      </c>
      <c r="E22" s="75">
        <f t="shared" si="0"/>
        <v>700.00283269020156</v>
      </c>
      <c r="F22" s="76">
        <f t="shared" si="1"/>
        <v>50938.775380898805</v>
      </c>
      <c r="G22" s="119">
        <v>80000</v>
      </c>
      <c r="H22" s="77">
        <f t="shared" si="2"/>
        <v>1099.3634259259261</v>
      </c>
      <c r="I22" s="78">
        <f t="shared" si="3"/>
        <v>0</v>
      </c>
    </row>
    <row r="23" spans="2:9" x14ac:dyDescent="0.25">
      <c r="B23" s="74">
        <f>0.85*$F$8</f>
        <v>51</v>
      </c>
      <c r="C23" s="75">
        <f t="shared" si="4"/>
        <v>767.27309562398705</v>
      </c>
      <c r="D23" s="121">
        <v>0.80000001192092896</v>
      </c>
      <c r="E23" s="75">
        <f t="shared" si="0"/>
        <v>742.27819928421968</v>
      </c>
      <c r="F23" s="76">
        <f t="shared" si="1"/>
        <v>54015.127793362386</v>
      </c>
      <c r="G23" s="119">
        <v>85000</v>
      </c>
      <c r="H23" s="77">
        <f t="shared" si="2"/>
        <v>1168.0736400462963</v>
      </c>
      <c r="I23" s="78">
        <f t="shared" si="3"/>
        <v>0</v>
      </c>
    </row>
    <row r="24" spans="2:9" x14ac:dyDescent="0.25">
      <c r="B24" s="74">
        <f>0.9*$F$8</f>
        <v>54</v>
      </c>
      <c r="C24" s="75">
        <f t="shared" si="4"/>
        <v>812.4068071312804</v>
      </c>
      <c r="D24" s="121">
        <v>0.89999997615814209</v>
      </c>
      <c r="E24" s="75">
        <f t="shared" si="0"/>
        <v>784.62364747476602</v>
      </c>
      <c r="F24" s="76">
        <f t="shared" si="1"/>
        <v>57096.580000479895</v>
      </c>
      <c r="G24" s="119">
        <v>90000</v>
      </c>
      <c r="H24" s="77">
        <f t="shared" si="2"/>
        <v>1236.7838541666667</v>
      </c>
      <c r="I24" s="78">
        <f t="shared" si="3"/>
        <v>0</v>
      </c>
    </row>
    <row r="25" spans="2:9" x14ac:dyDescent="0.25">
      <c r="B25" s="74">
        <f>0.95*$F$8</f>
        <v>57</v>
      </c>
      <c r="C25" s="75">
        <f t="shared" si="4"/>
        <v>857.54051863857376</v>
      </c>
      <c r="D25" s="121">
        <v>1</v>
      </c>
      <c r="E25" s="75">
        <f t="shared" si="0"/>
        <v>827.03729597857375</v>
      </c>
      <c r="F25" s="76">
        <f t="shared" si="1"/>
        <v>60182.995102425659</v>
      </c>
      <c r="G25" s="119">
        <v>95000</v>
      </c>
      <c r="H25" s="77">
        <f t="shared" si="2"/>
        <v>1305.494068287037</v>
      </c>
      <c r="I25" s="78">
        <f t="shared" si="3"/>
        <v>0</v>
      </c>
    </row>
    <row r="26" spans="2:9" x14ac:dyDescent="0.25">
      <c r="B26" s="79">
        <f>1*$F$8</f>
        <v>60</v>
      </c>
      <c r="C26" s="80">
        <f t="shared" si="4"/>
        <v>902.67423014586711</v>
      </c>
      <c r="D26" s="121">
        <v>1.1000000238418579</v>
      </c>
      <c r="E26" s="80">
        <f t="shared" si="0"/>
        <v>869.51730645881685</v>
      </c>
      <c r="F26" s="82">
        <f t="shared" si="1"/>
        <v>63274.239324560112</v>
      </c>
      <c r="G26" s="120">
        <v>100000</v>
      </c>
      <c r="H26" s="83">
        <f t="shared" si="2"/>
        <v>1374.2042824074076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89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0"/>
    </row>
    <row r="30" spans="2:9" x14ac:dyDescent="0.25">
      <c r="B30" s="63" t="s">
        <v>75</v>
      </c>
      <c r="C30" s="64"/>
      <c r="D30" s="64"/>
      <c r="E30" s="64"/>
      <c r="F30" s="64"/>
      <c r="G30" s="64"/>
      <c r="H30" s="66" t="s">
        <v>90</v>
      </c>
      <c r="I30" s="90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15</v>
      </c>
      <c r="C33" s="75">
        <f>(2350/61.7)*B33*0.395</f>
        <v>225.66855753646678</v>
      </c>
      <c r="D33" s="68">
        <v>0</v>
      </c>
      <c r="E33" s="75">
        <f t="shared" ref="E33:E43" si="5">C33-(34.4764881*D33-4.325744048*D33^2+0.369475446*D33^3-0.01733631*D33^4+0.000339472*D33^5)</f>
        <v>225.66855753646678</v>
      </c>
      <c r="F33" s="76">
        <f t="shared" ref="F33:F43" si="6">(E33*60)/Volume</f>
        <v>16421.762064452898</v>
      </c>
      <c r="G33" s="119">
        <v>20000</v>
      </c>
      <c r="H33" s="77">
        <f t="shared" ref="H33:H43" si="7">G33*Volume/60</f>
        <v>274.84085648148152</v>
      </c>
      <c r="I33" s="78">
        <f t="shared" ref="I33:I43" si="8">G33^2*P1a+G33*P1b+P1c</f>
        <v>0</v>
      </c>
    </row>
    <row r="34" spans="2:9" x14ac:dyDescent="0.25">
      <c r="B34" s="74">
        <f>0.4*$F$8</f>
        <v>24</v>
      </c>
      <c r="C34" s="75">
        <f t="shared" ref="C34:C42" si="9">(2350/61.7)*B34*0.395</f>
        <v>361.06969205834679</v>
      </c>
      <c r="D34" s="68">
        <v>0</v>
      </c>
      <c r="E34" s="75">
        <f t="shared" si="5"/>
        <v>361.06969205834679</v>
      </c>
      <c r="F34" s="76">
        <f t="shared" si="6"/>
        <v>26274.81930312463</v>
      </c>
      <c r="G34" s="119">
        <v>35000</v>
      </c>
      <c r="H34" s="77">
        <f t="shared" si="7"/>
        <v>480.97149884259255</v>
      </c>
      <c r="I34" s="78">
        <f t="shared" si="8"/>
        <v>0</v>
      </c>
    </row>
    <row r="35" spans="2:9" x14ac:dyDescent="0.25">
      <c r="B35" s="74">
        <f>0.5*$F$8</f>
        <v>30</v>
      </c>
      <c r="C35" s="75">
        <f t="shared" si="9"/>
        <v>451.33711507293356</v>
      </c>
      <c r="D35" s="68">
        <v>0</v>
      </c>
      <c r="E35" s="75">
        <f t="shared" si="5"/>
        <v>451.33711507293356</v>
      </c>
      <c r="F35" s="76">
        <f t="shared" si="6"/>
        <v>32843.524128905796</v>
      </c>
      <c r="G35" s="119">
        <v>50000</v>
      </c>
      <c r="H35" s="77">
        <f t="shared" si="7"/>
        <v>687.10214120370381</v>
      </c>
      <c r="I35" s="78">
        <f t="shared" si="8"/>
        <v>0</v>
      </c>
    </row>
    <row r="36" spans="2:9" x14ac:dyDescent="0.25">
      <c r="B36" s="74">
        <f>0.6*$F$8</f>
        <v>36</v>
      </c>
      <c r="C36" s="75">
        <f t="shared" si="9"/>
        <v>541.60453808752015</v>
      </c>
      <c r="D36" s="68">
        <v>0</v>
      </c>
      <c r="E36" s="75">
        <f t="shared" si="5"/>
        <v>541.60453808752015</v>
      </c>
      <c r="F36" s="76">
        <f t="shared" si="6"/>
        <v>39412.228954686943</v>
      </c>
      <c r="G36" s="119">
        <v>60000</v>
      </c>
      <c r="H36" s="77">
        <f t="shared" si="7"/>
        <v>824.52256944444446</v>
      </c>
      <c r="I36" s="78">
        <f t="shared" si="8"/>
        <v>0</v>
      </c>
    </row>
    <row r="37" spans="2:9" x14ac:dyDescent="0.25">
      <c r="B37" s="74">
        <f>0.7*$F$8</f>
        <v>42</v>
      </c>
      <c r="C37" s="75">
        <f t="shared" si="9"/>
        <v>631.87196110210698</v>
      </c>
      <c r="D37" s="68">
        <v>0</v>
      </c>
      <c r="E37" s="75">
        <f t="shared" si="5"/>
        <v>631.87196110210698</v>
      </c>
      <c r="F37" s="76">
        <f t="shared" si="6"/>
        <v>45980.933780468105</v>
      </c>
      <c r="G37" s="119">
        <v>70000</v>
      </c>
      <c r="H37" s="77">
        <f t="shared" si="7"/>
        <v>961.94299768518511</v>
      </c>
      <c r="I37" s="78">
        <f t="shared" si="8"/>
        <v>0</v>
      </c>
    </row>
    <row r="38" spans="2:9" x14ac:dyDescent="0.25">
      <c r="B38" s="74">
        <f>0.75*$F$8</f>
        <v>45</v>
      </c>
      <c r="C38" s="75">
        <f t="shared" si="9"/>
        <v>677.00567260940034</v>
      </c>
      <c r="D38" s="68">
        <v>0</v>
      </c>
      <c r="E38" s="75">
        <f t="shared" si="5"/>
        <v>677.00567260940034</v>
      </c>
      <c r="F38" s="76">
        <f t="shared" si="6"/>
        <v>49265.286193358683</v>
      </c>
      <c r="G38" s="119">
        <v>75000</v>
      </c>
      <c r="H38" s="77">
        <f t="shared" si="7"/>
        <v>1030.6532118055557</v>
      </c>
      <c r="I38" s="78">
        <f t="shared" si="8"/>
        <v>0</v>
      </c>
    </row>
    <row r="39" spans="2:9" x14ac:dyDescent="0.25">
      <c r="B39" s="74">
        <f>0.8*$F$8</f>
        <v>48</v>
      </c>
      <c r="C39" s="75">
        <f t="shared" si="9"/>
        <v>722.13938411669358</v>
      </c>
      <c r="D39" s="68">
        <v>0</v>
      </c>
      <c r="E39" s="75">
        <f t="shared" si="5"/>
        <v>722.13938411669358</v>
      </c>
      <c r="F39" s="76">
        <f t="shared" si="6"/>
        <v>52549.63860624926</v>
      </c>
      <c r="G39" s="119">
        <v>80000</v>
      </c>
      <c r="H39" s="77">
        <f t="shared" si="7"/>
        <v>1099.3634259259261</v>
      </c>
      <c r="I39" s="78">
        <f t="shared" si="8"/>
        <v>0</v>
      </c>
    </row>
    <row r="40" spans="2:9" x14ac:dyDescent="0.25">
      <c r="B40" s="74">
        <f>0.85*$F$8</f>
        <v>51</v>
      </c>
      <c r="C40" s="75">
        <f t="shared" si="9"/>
        <v>767.27309562398705</v>
      </c>
      <c r="D40" s="68">
        <v>0</v>
      </c>
      <c r="E40" s="75">
        <f t="shared" si="5"/>
        <v>767.27309562398705</v>
      </c>
      <c r="F40" s="76">
        <f t="shared" si="6"/>
        <v>55833.991019139852</v>
      </c>
      <c r="G40" s="119">
        <v>85000</v>
      </c>
      <c r="H40" s="77">
        <f t="shared" si="7"/>
        <v>1168.0736400462963</v>
      </c>
      <c r="I40" s="78">
        <f t="shared" si="8"/>
        <v>0</v>
      </c>
    </row>
    <row r="41" spans="2:9" x14ac:dyDescent="0.25">
      <c r="B41" s="74">
        <f>0.9*$F$8</f>
        <v>54</v>
      </c>
      <c r="C41" s="75">
        <f t="shared" si="9"/>
        <v>812.4068071312804</v>
      </c>
      <c r="D41" s="68">
        <v>0</v>
      </c>
      <c r="E41" s="75">
        <f t="shared" si="5"/>
        <v>812.4068071312804</v>
      </c>
      <c r="F41" s="76">
        <f t="shared" si="6"/>
        <v>59118.34343203043</v>
      </c>
      <c r="G41" s="119">
        <v>90000</v>
      </c>
      <c r="H41" s="77">
        <f t="shared" si="7"/>
        <v>1236.7838541666667</v>
      </c>
      <c r="I41" s="78">
        <f t="shared" si="8"/>
        <v>0</v>
      </c>
    </row>
    <row r="42" spans="2:9" x14ac:dyDescent="0.25">
      <c r="B42" s="74">
        <f>0.95*$F$8</f>
        <v>57</v>
      </c>
      <c r="C42" s="75">
        <f t="shared" si="9"/>
        <v>857.54051863857376</v>
      </c>
      <c r="D42" s="68">
        <v>0</v>
      </c>
      <c r="E42" s="75">
        <f t="shared" si="5"/>
        <v>857.54051863857376</v>
      </c>
      <c r="F42" s="76">
        <f t="shared" si="6"/>
        <v>62402.695844921</v>
      </c>
      <c r="G42" s="119">
        <v>95000</v>
      </c>
      <c r="H42" s="77">
        <f t="shared" si="7"/>
        <v>1305.494068287037</v>
      </c>
      <c r="I42" s="78">
        <f t="shared" si="8"/>
        <v>0</v>
      </c>
    </row>
    <row r="43" spans="2:9" x14ac:dyDescent="0.25">
      <c r="B43" s="79">
        <f>1*$F$8</f>
        <v>60</v>
      </c>
      <c r="C43" s="80">
        <f>(2350/61.7)*B43*0.395</f>
        <v>902.67423014586711</v>
      </c>
      <c r="D43" s="81">
        <v>0</v>
      </c>
      <c r="E43" s="80">
        <f t="shared" si="5"/>
        <v>902.67423014586711</v>
      </c>
      <c r="F43" s="82">
        <f t="shared" si="6"/>
        <v>65687.048257811592</v>
      </c>
      <c r="G43" s="120">
        <v>100000</v>
      </c>
      <c r="H43" s="83">
        <f t="shared" si="7"/>
        <v>1374.2042824074076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89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0"/>
    </row>
    <row r="47" spans="2:9" x14ac:dyDescent="0.25">
      <c r="B47" s="63" t="s">
        <v>75</v>
      </c>
      <c r="C47" s="64"/>
      <c r="E47" s="64"/>
      <c r="F47" s="64"/>
      <c r="G47" s="64"/>
      <c r="H47" s="66" t="s">
        <v>90</v>
      </c>
      <c r="I47" s="90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15</v>
      </c>
      <c r="C50" s="75">
        <f>(2350/61.7)*B50*0.395</f>
        <v>225.66855753646678</v>
      </c>
      <c r="D50" s="68">
        <v>0</v>
      </c>
      <c r="E50" s="75">
        <f t="shared" ref="E50:E60" si="10">C50-(34.4764881*D50-4.325744048*D50^2+0.369475446*D50^3-0.01733631*D50^4+0.000339472*D50^5)</f>
        <v>225.66855753646678</v>
      </c>
      <c r="F50" s="75">
        <f t="shared" ref="F50:F60" si="11">(E50*60)/Volume</f>
        <v>16421.762064452898</v>
      </c>
      <c r="G50" s="119">
        <v>20000</v>
      </c>
      <c r="H50" s="77">
        <f t="shared" ref="H50:H60" si="12">G50*Volume/60</f>
        <v>274.84085648148152</v>
      </c>
      <c r="I50" s="78">
        <f t="shared" ref="I50:I60" si="13">G50^2*P2a+G50*P2b+P2c</f>
        <v>0</v>
      </c>
    </row>
    <row r="51" spans="2:9" x14ac:dyDescent="0.25">
      <c r="B51" s="74">
        <f>0.4*$F$8</f>
        <v>24</v>
      </c>
      <c r="C51" s="75">
        <f t="shared" ref="C51:C60" si="14">(2350/61.7)*B51*0.395</f>
        <v>361.06969205834679</v>
      </c>
      <c r="D51" s="68">
        <v>0</v>
      </c>
      <c r="E51" s="75">
        <f t="shared" si="10"/>
        <v>361.06969205834679</v>
      </c>
      <c r="F51" s="75">
        <f t="shared" si="11"/>
        <v>26274.81930312463</v>
      </c>
      <c r="G51" s="119">
        <v>35000</v>
      </c>
      <c r="H51" s="77">
        <f t="shared" si="12"/>
        <v>480.97149884259255</v>
      </c>
      <c r="I51" s="78">
        <f t="shared" si="13"/>
        <v>0</v>
      </c>
    </row>
    <row r="52" spans="2:9" x14ac:dyDescent="0.25">
      <c r="B52" s="74">
        <f>0.5*$F$8</f>
        <v>30</v>
      </c>
      <c r="C52" s="75">
        <f t="shared" si="14"/>
        <v>451.33711507293356</v>
      </c>
      <c r="D52" s="68">
        <v>0</v>
      </c>
      <c r="E52" s="75">
        <f t="shared" si="10"/>
        <v>451.33711507293356</v>
      </c>
      <c r="F52" s="75">
        <f t="shared" si="11"/>
        <v>32843.524128905796</v>
      </c>
      <c r="G52" s="119">
        <v>50000</v>
      </c>
      <c r="H52" s="77">
        <f t="shared" si="12"/>
        <v>687.10214120370381</v>
      </c>
      <c r="I52" s="78">
        <f t="shared" si="13"/>
        <v>0</v>
      </c>
    </row>
    <row r="53" spans="2:9" x14ac:dyDescent="0.25">
      <c r="B53" s="74">
        <f>0.6*$F$8</f>
        <v>36</v>
      </c>
      <c r="C53" s="75">
        <f t="shared" si="14"/>
        <v>541.60453808752015</v>
      </c>
      <c r="D53" s="68">
        <v>0</v>
      </c>
      <c r="E53" s="75">
        <f t="shared" si="10"/>
        <v>541.60453808752015</v>
      </c>
      <c r="F53" s="75">
        <f t="shared" si="11"/>
        <v>39412.228954686943</v>
      </c>
      <c r="G53" s="119">
        <v>60000</v>
      </c>
      <c r="H53" s="77">
        <f t="shared" si="12"/>
        <v>824.52256944444446</v>
      </c>
      <c r="I53" s="78">
        <f t="shared" si="13"/>
        <v>0</v>
      </c>
    </row>
    <row r="54" spans="2:9" x14ac:dyDescent="0.25">
      <c r="B54" s="74">
        <f>0.7*$F$8</f>
        <v>42</v>
      </c>
      <c r="C54" s="75">
        <f t="shared" si="14"/>
        <v>631.87196110210698</v>
      </c>
      <c r="D54" s="68">
        <v>0</v>
      </c>
      <c r="E54" s="75">
        <f t="shared" si="10"/>
        <v>631.87196110210698</v>
      </c>
      <c r="F54" s="75">
        <f t="shared" si="11"/>
        <v>45980.933780468105</v>
      </c>
      <c r="G54" s="119">
        <v>70000</v>
      </c>
      <c r="H54" s="77">
        <f t="shared" si="12"/>
        <v>961.94299768518511</v>
      </c>
      <c r="I54" s="78">
        <f t="shared" si="13"/>
        <v>0</v>
      </c>
    </row>
    <row r="55" spans="2:9" x14ac:dyDescent="0.25">
      <c r="B55" s="74">
        <f>0.75*$F$8</f>
        <v>45</v>
      </c>
      <c r="C55" s="75">
        <f t="shared" si="14"/>
        <v>677.00567260940034</v>
      </c>
      <c r="D55" s="68">
        <v>0</v>
      </c>
      <c r="E55" s="75">
        <f t="shared" si="10"/>
        <v>677.00567260940034</v>
      </c>
      <c r="F55" s="75">
        <f t="shared" si="11"/>
        <v>49265.286193358683</v>
      </c>
      <c r="G55" s="119">
        <v>75000</v>
      </c>
      <c r="H55" s="77">
        <f t="shared" si="12"/>
        <v>1030.6532118055557</v>
      </c>
      <c r="I55" s="78">
        <f t="shared" si="13"/>
        <v>0</v>
      </c>
    </row>
    <row r="56" spans="2:9" x14ac:dyDescent="0.25">
      <c r="B56" s="74">
        <f>0.8*$F$8</f>
        <v>48</v>
      </c>
      <c r="C56" s="75">
        <f t="shared" si="14"/>
        <v>722.13938411669358</v>
      </c>
      <c r="D56" s="68">
        <v>0</v>
      </c>
      <c r="E56" s="75">
        <f t="shared" si="10"/>
        <v>722.13938411669358</v>
      </c>
      <c r="F56" s="75">
        <f t="shared" si="11"/>
        <v>52549.63860624926</v>
      </c>
      <c r="G56" s="119">
        <v>80000</v>
      </c>
      <c r="H56" s="77">
        <f t="shared" si="12"/>
        <v>1099.3634259259261</v>
      </c>
      <c r="I56" s="78">
        <f t="shared" si="13"/>
        <v>0</v>
      </c>
    </row>
    <row r="57" spans="2:9" x14ac:dyDescent="0.25">
      <c r="B57" s="74">
        <f>0.85*$F$8</f>
        <v>51</v>
      </c>
      <c r="C57" s="75">
        <f t="shared" si="14"/>
        <v>767.27309562398705</v>
      </c>
      <c r="D57" s="68">
        <v>0</v>
      </c>
      <c r="E57" s="75">
        <f t="shared" si="10"/>
        <v>767.27309562398705</v>
      </c>
      <c r="F57" s="75">
        <f t="shared" si="11"/>
        <v>55833.991019139852</v>
      </c>
      <c r="G57" s="119">
        <v>85000</v>
      </c>
      <c r="H57" s="77">
        <f t="shared" si="12"/>
        <v>1168.0736400462963</v>
      </c>
      <c r="I57" s="78">
        <f t="shared" si="13"/>
        <v>0</v>
      </c>
    </row>
    <row r="58" spans="2:9" x14ac:dyDescent="0.25">
      <c r="B58" s="74">
        <f>0.9*$F$8</f>
        <v>54</v>
      </c>
      <c r="C58" s="75">
        <f t="shared" si="14"/>
        <v>812.4068071312804</v>
      </c>
      <c r="D58" s="68">
        <v>0</v>
      </c>
      <c r="E58" s="75">
        <f t="shared" si="10"/>
        <v>812.4068071312804</v>
      </c>
      <c r="F58" s="75">
        <f t="shared" si="11"/>
        <v>59118.34343203043</v>
      </c>
      <c r="G58" s="119">
        <v>90000</v>
      </c>
      <c r="H58" s="77">
        <f t="shared" si="12"/>
        <v>1236.7838541666667</v>
      </c>
      <c r="I58" s="78">
        <f t="shared" si="13"/>
        <v>0</v>
      </c>
    </row>
    <row r="59" spans="2:9" x14ac:dyDescent="0.25">
      <c r="B59" s="74">
        <f>0.95*$F$8</f>
        <v>57</v>
      </c>
      <c r="C59" s="75">
        <f t="shared" si="14"/>
        <v>857.54051863857376</v>
      </c>
      <c r="D59" s="68">
        <v>0</v>
      </c>
      <c r="E59" s="75">
        <f t="shared" si="10"/>
        <v>857.54051863857376</v>
      </c>
      <c r="F59" s="75">
        <f t="shared" si="11"/>
        <v>62402.695844921</v>
      </c>
      <c r="G59" s="119">
        <v>95000</v>
      </c>
      <c r="H59" s="77">
        <f t="shared" si="12"/>
        <v>1305.494068287037</v>
      </c>
      <c r="I59" s="78">
        <f t="shared" si="13"/>
        <v>0</v>
      </c>
    </row>
    <row r="60" spans="2:9" x14ac:dyDescent="0.25">
      <c r="B60" s="79">
        <f>1*$F$8</f>
        <v>60</v>
      </c>
      <c r="C60" s="80">
        <f t="shared" si="14"/>
        <v>902.67423014586711</v>
      </c>
      <c r="D60" s="81">
        <v>0</v>
      </c>
      <c r="E60" s="80">
        <f t="shared" si="10"/>
        <v>902.67423014586711</v>
      </c>
      <c r="F60" s="80">
        <f t="shared" si="11"/>
        <v>65687.048257811592</v>
      </c>
      <c r="G60" s="120">
        <v>100000</v>
      </c>
      <c r="H60" s="83">
        <f t="shared" si="12"/>
        <v>1374.2042824074076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2019-07-21T19:44:06Z</dcterms:modified>
</cp:coreProperties>
</file>