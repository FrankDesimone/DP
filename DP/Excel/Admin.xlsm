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8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10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4FDD4A88-43FF-410D-AE4D-AEBFAC623283}" xr6:coauthVersionLast="40" xr6:coauthVersionMax="40" xr10:uidLastSave="{00000000-0000-0000-0000-000000000000}"/>
  <bookViews>
    <workbookView xWindow="0" yWindow="0" windowWidth="17880" windowHeight="1432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Quality" sheetId="18" state="hidden" r:id="rId10"/>
    <sheet name="QAProcess" sheetId="19" state="hidden" r:id="rId11"/>
  </sheets>
  <functionGroups builtInGroupCount="19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Quality!$D$34:$F$38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Company!$F$4</definedName>
    <definedName name="NoteCompanyLocation">CompanyLocation!$E$4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<sst xmlns="http://schemas.openxmlformats.org/spreadsheetml/2006/main" count="290" uniqueCount="171">
  <si>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</si>
  <si>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</si>
  <si>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</si>
  <si>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</si>
  <si>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</si>
  <si>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</si>
  <si>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</si>
  <si>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</si>
  <si>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</si>
  <si>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</si>
  <si>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</si>
  <si>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</si>
  <si>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</si>
  <si>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</si>
  <si>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</si>
  <si>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</si>
  <si>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</si>
  <si>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</si>
  <si>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</si>
  <si>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</si>
  <si>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</si>
  <si>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</si>
  <si>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</si>
  <si>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</si>
  <si>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</si>
  <si>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</si>
  <si>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</si>
  <si>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</si>
  <si>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</si>
  <si>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</si>
  <si>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</si>
  <si>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</si>
  <si>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</si>
  <si>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</si>
  <si>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</si>
  <si>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</si>
  <si>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</si>
  <si>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</si>
  <si>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</si>
  <si>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</si>
  <si>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</si>
  <si>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</si>
  <si>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</si>
  <si>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</si>
  <si>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</si>
  <si>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</si>
  <si>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</si>
  <si>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</si>
  <si>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</si>
  <si>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</si>
  <si>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</si>
  <si>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</si>
  <si>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</si>
  <si>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</si>
  <si>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</si>
  <si>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</si>
  <si>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</si>
  <si>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</si>
  <si>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</si>
  <si>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</si>
  <si>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</si>
  <si>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</si>
  <si>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</si>
  <si>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</si>
  <si>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</si>
  <si>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</si>
  <si>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</si>
  <si>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</si>
  <si>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</si>
  <si>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</si>
  <si>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</si>
  <si>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</si>
  <si>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</si>
  <si>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</si>
  <si>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</si>
  <si>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</si>
  <si>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</si>
  <si>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</si>
  <si>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</si>
  <si>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</si>
  <si>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</si>
  <si>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</si>
  <si>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</si>
  <si>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</si>
  <si>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</si>
  <si>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</si>
  <si>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</si>
  <si>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</si>
  <si>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</si>
  <si>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</si>
  <si>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</si>
  <si>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</si>
  <si>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</si>
  <si>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</si>
  <si>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</si>
  <si>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</si>
  <si>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</si>
  <si>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</si>
  <si>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</si>
  <si>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</si>
  <si>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</si>
  <si>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</si>
  <si>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</si>
  <si>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</si>
  <si>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</si>
  <si>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</si>
  <si>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</si>
  <si>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</si>
  <si>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</si>
  <si>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</si>
  <si>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</si>
  <si>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</si>
  <si>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</si>
  <si>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</si>
  <si>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</si>
  <si>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</si>
  <si>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</si>
  <si>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</si>
  <si>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</si>
  <si>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</si>
  <si>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</si>
  <si>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</si>
  <si>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</si>
  <si>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</si>
  <si>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</si>
  <si>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</si>
  <si>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</si>
  <si>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</si>
  <si>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</si>
  <si>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</si>
  <si>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</si>
  <si>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</si>
  <si>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</si>
  <si>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</si>
  <si>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</si>
  <si>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</si>
  <si>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</si>
  <si>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</si>
  <si>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</si>
  <si>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</si>
  <si>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</si>
  <si>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</si>
  <si>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</si>
  <si>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</si>
  <si>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</si>
  <si>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</si>
  <si>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</si>
  <si>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</si>
  <si>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</si>
  <si>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</si>
  <si>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</si>
  <si>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</si>
  <si>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</si>
  <si>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</si>
  <si>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</si>
  <si>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</si>
  <si>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</si>
  <si>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</si>
  <si>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</si>
  <si>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</si>
  <si>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</si>
  <si>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</si>
  <si>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</si>
  <si>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</si>
  <si>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</si>
  <si>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</si>
  <si>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60 Schoolhouse &amp; Rd.</t>
  </si>
  <si>
    <t>Souderton</t>
  </si>
  <si>
    <t>18964</t>
  </si>
  <si>
    <t>Aqua Wastewater Management Inc.</t>
  </si>
  <si>
    <t>Record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</si>
</sst>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5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4" fillId="0" borderId="0" xfId="0" applyFont="1"/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12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53.emf"/><Relationship Id="rId11" Type="http://schemas.openxmlformats.org/officeDocument/2006/relationships/image" Target="../media/image48.emf"/><Relationship Id="rId5" Type="http://schemas.openxmlformats.org/officeDocument/2006/relationships/image" Target="../media/image54.emf"/><Relationship Id="rId10" Type="http://schemas.openxmlformats.org/officeDocument/2006/relationships/image" Target="../media/image49.emf"/><Relationship Id="rId4" Type="http://schemas.openxmlformats.org/officeDocument/2006/relationships/image" Target="../media/image55.emf"/><Relationship Id="rId9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3000375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34925</xdr:colOff>
          <xdr:row>2</xdr:row>
          <xdr:rowOff>19050</xdr:rowOff>
        </xdr:from>
        <xdr:to>
          <xdr:col>5</xdr:col>
          <xdr:colOff>34925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34925</xdr:colOff>
          <xdr:row>4</xdr:row>
          <xdr:rowOff>85725</xdr:rowOff>
        </xdr:from>
        <xdr:to>
          <xdr:col>5</xdr:col>
          <xdr:colOff>34925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196850</xdr:colOff>
          <xdr:row>1</xdr:row>
          <xdr:rowOff>28575</xdr:rowOff>
        </xdr:from>
        <xdr:to>
          <xdr:col>4</xdr:col>
          <xdr:colOff>1568450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196850</xdr:colOff>
          <xdr:row>3</xdr:row>
          <xdr:rowOff>66674</xdr:rowOff>
        </xdr:from>
        <xdr:to>
          <xdr:col>4</xdr:col>
          <xdr:colOff>1587500</xdr:colOff>
          <xdr:row>4</xdr:row>
          <xdr:rowOff>9524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133350</xdr:rowOff>
        </xdr:from>
        <xdr:to>
          <xdr:col>6</xdr:col>
          <xdr:colOff>142875</xdr:colOff>
          <xdr:row>3</xdr:row>
          <xdr:rowOff>47625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57150</xdr:colOff>
          <xdr:row>3</xdr:row>
          <xdr:rowOff>104775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28575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9525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7</xdr:col>
          <xdr:colOff>38100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7</xdr:col>
          <xdr:colOff>38100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9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342900</xdr:colOff>
          <xdr:row>7</xdr:row>
          <xdr:rowOff>47625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590550</xdr:colOff>
          <xdr:row>6</xdr:row>
          <xdr:rowOff>9525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2.emf"/><Relationship Id="rId18" Type="http://schemas.openxmlformats.org/officeDocument/2006/relationships/control" Target="../activeX/activeX55.xml"/><Relationship Id="rId26" Type="http://schemas.openxmlformats.org/officeDocument/2006/relationships/control" Target="../activeX/activeX60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7" Type="http://schemas.openxmlformats.org/officeDocument/2006/relationships/image" Target="../media/image49.emf"/><Relationship Id="rId12" Type="http://schemas.openxmlformats.org/officeDocument/2006/relationships/control" Target="../activeX/activeX52.xml"/><Relationship Id="rId17" Type="http://schemas.openxmlformats.org/officeDocument/2006/relationships/image" Target="../media/image54.emf"/><Relationship Id="rId25" Type="http://schemas.openxmlformats.org/officeDocument/2006/relationships/control" Target="../activeX/activeX59.xml"/><Relationship Id="rId33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4.xml"/><Relationship Id="rId20" Type="http://schemas.openxmlformats.org/officeDocument/2006/relationships/control" Target="../activeX/activeX56.xml"/><Relationship Id="rId29" Type="http://schemas.openxmlformats.org/officeDocument/2006/relationships/control" Target="../activeX/activeX6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51.emf"/><Relationship Id="rId24" Type="http://schemas.openxmlformats.org/officeDocument/2006/relationships/control" Target="../activeX/activeX58.xml"/><Relationship Id="rId32" Type="http://schemas.openxmlformats.org/officeDocument/2006/relationships/control" Target="../activeX/activeX65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2.xml"/><Relationship Id="rId10" Type="http://schemas.openxmlformats.org/officeDocument/2006/relationships/control" Target="../activeX/activeX51.xml"/><Relationship Id="rId19" Type="http://schemas.openxmlformats.org/officeDocument/2006/relationships/image" Target="../media/image55.emf"/><Relationship Id="rId31" Type="http://schemas.openxmlformats.org/officeDocument/2006/relationships/control" Target="../activeX/activeX64.xml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57.xml"/><Relationship Id="rId27" Type="http://schemas.openxmlformats.org/officeDocument/2006/relationships/control" Target="../activeX/activeX61.xml"/><Relationship Id="rId30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control" Target="../activeX/activeX72.xml"/><Relationship Id="rId18" Type="http://schemas.openxmlformats.org/officeDocument/2006/relationships/image" Target="../media/image65.emf"/><Relationship Id="rId26" Type="http://schemas.openxmlformats.org/officeDocument/2006/relationships/image" Target="../media/image69.emf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76.xml"/><Relationship Id="rId7" Type="http://schemas.openxmlformats.org/officeDocument/2006/relationships/control" Target="../activeX/activeX68.xml"/><Relationship Id="rId12" Type="http://schemas.openxmlformats.org/officeDocument/2006/relationships/image" Target="../media/image62.emf"/><Relationship Id="rId17" Type="http://schemas.openxmlformats.org/officeDocument/2006/relationships/control" Target="../activeX/activeX74.xml"/><Relationship Id="rId25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6" Type="http://schemas.openxmlformats.org/officeDocument/2006/relationships/image" Target="../media/image64.emf"/><Relationship Id="rId20" Type="http://schemas.openxmlformats.org/officeDocument/2006/relationships/image" Target="../media/image66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7.xml"/><Relationship Id="rId11" Type="http://schemas.openxmlformats.org/officeDocument/2006/relationships/control" Target="../activeX/activeX71.xml"/><Relationship Id="rId24" Type="http://schemas.openxmlformats.org/officeDocument/2006/relationships/image" Target="../media/image68.emf"/><Relationship Id="rId5" Type="http://schemas.openxmlformats.org/officeDocument/2006/relationships/image" Target="../media/image60.emf"/><Relationship Id="rId15" Type="http://schemas.openxmlformats.org/officeDocument/2006/relationships/control" Target="../activeX/activeX73.xml"/><Relationship Id="rId23" Type="http://schemas.openxmlformats.org/officeDocument/2006/relationships/control" Target="../activeX/activeX77.xml"/><Relationship Id="rId28" Type="http://schemas.openxmlformats.org/officeDocument/2006/relationships/image" Target="../media/image70.emf"/><Relationship Id="rId10" Type="http://schemas.openxmlformats.org/officeDocument/2006/relationships/control" Target="../activeX/activeX70.xml"/><Relationship Id="rId19" Type="http://schemas.openxmlformats.org/officeDocument/2006/relationships/control" Target="../activeX/activeX75.xml"/><Relationship Id="rId4" Type="http://schemas.openxmlformats.org/officeDocument/2006/relationships/control" Target="../activeX/activeX66.xml"/><Relationship Id="rId9" Type="http://schemas.openxmlformats.org/officeDocument/2006/relationships/image" Target="../media/image61.emf"/><Relationship Id="rId14" Type="http://schemas.openxmlformats.org/officeDocument/2006/relationships/image" Target="../media/image63.emf"/><Relationship Id="rId22" Type="http://schemas.openxmlformats.org/officeDocument/2006/relationships/image" Target="../media/image67.emf"/><Relationship Id="rId27" Type="http://schemas.openxmlformats.org/officeDocument/2006/relationships/control" Target="../activeX/activeX7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1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workbookViewId="0">
      <selection activeCell="G18" sqref="G18"/>
    </sheetView>
  </sheetViews>
  <sheetFormatPr defaultRowHeight="15" x14ac:dyDescent="0.25"/>
  <cols>
    <col min="2" max="2" width="4.140625" customWidth="1"/>
  </cols>
  <sheetData>
    <row r="3" spans="2:11" x14ac:dyDescent="0.25">
      <c r="B3" s="84"/>
      <c r="C3" s="85"/>
      <c r="D3" s="85"/>
      <c r="E3" s="85"/>
      <c r="F3" s="85"/>
      <c r="G3" s="85"/>
      <c r="H3" s="85"/>
      <c r="I3" s="85"/>
      <c r="J3" s="85"/>
      <c r="K3" s="86"/>
    </row>
    <row r="4" spans="2:11" x14ac:dyDescent="0.25">
      <c r="B4" s="87"/>
      <c r="C4" s="88"/>
      <c r="D4" s="88"/>
      <c r="E4" s="88"/>
      <c r="F4" s="88"/>
      <c r="G4" s="88"/>
      <c r="H4" s="88"/>
      <c r="I4" s="88"/>
      <c r="J4" s="88"/>
      <c r="K4" s="89"/>
    </row>
    <row r="5" spans="2:11" x14ac:dyDescent="0.25">
      <c r="B5" s="87"/>
      <c r="C5" s="88"/>
      <c r="D5" s="88"/>
      <c r="E5" s="88"/>
      <c r="F5" s="88"/>
      <c r="G5" s="88"/>
      <c r="H5" s="88"/>
      <c r="I5" s="88"/>
      <c r="J5" s="88"/>
      <c r="K5" s="89"/>
    </row>
    <row r="6" spans="2:11" x14ac:dyDescent="0.25">
      <c r="B6" s="87"/>
      <c r="C6" s="88"/>
      <c r="D6" s="88"/>
      <c r="E6" s="88"/>
      <c r="F6" s="88"/>
      <c r="G6" s="88"/>
      <c r="H6" s="88"/>
      <c r="I6" s="88"/>
      <c r="J6" s="88"/>
      <c r="K6" s="89"/>
    </row>
    <row r="7" spans="2:11" x14ac:dyDescent="0.25">
      <c r="B7" s="87"/>
      <c r="C7" s="88"/>
      <c r="D7" s="88"/>
      <c r="E7" s="88"/>
      <c r="F7" s="88"/>
      <c r="G7" s="88"/>
      <c r="H7" s="88"/>
      <c r="I7" s="88"/>
      <c r="J7" s="88"/>
      <c r="K7" s="89"/>
    </row>
    <row r="8" spans="2:11" x14ac:dyDescent="0.25">
      <c r="B8" s="87"/>
      <c r="C8" s="88"/>
      <c r="D8" s="88"/>
      <c r="E8" s="88"/>
      <c r="F8" s="88"/>
      <c r="G8" s="88"/>
      <c r="H8" s="88"/>
      <c r="I8" s="88"/>
      <c r="J8" s="88"/>
      <c r="K8" s="89"/>
    </row>
    <row r="9" spans="2:11" x14ac:dyDescent="0.25">
      <c r="B9" s="87"/>
      <c r="C9" s="88"/>
      <c r="D9" s="88"/>
      <c r="E9" s="88"/>
      <c r="F9" s="88"/>
      <c r="G9" s="88"/>
      <c r="H9" s="88"/>
      <c r="I9" s="88"/>
      <c r="J9" s="88"/>
      <c r="K9" s="89"/>
    </row>
    <row r="10" spans="2:11" x14ac:dyDescent="0.25">
      <c r="B10" s="87"/>
      <c r="C10" s="88"/>
      <c r="D10" s="88"/>
      <c r="E10" s="88"/>
      <c r="F10" s="88"/>
      <c r="G10" s="88"/>
      <c r="H10" s="88"/>
      <c r="I10" s="88"/>
      <c r="J10" s="88"/>
      <c r="K10" s="89"/>
    </row>
    <row r="11" spans="2:11" x14ac:dyDescent="0.25">
      <c r="B11" s="87"/>
      <c r="C11" s="88"/>
      <c r="D11" s="88"/>
      <c r="E11" s="88"/>
      <c r="F11" s="88"/>
      <c r="G11" s="88"/>
      <c r="H11" s="88"/>
      <c r="I11" s="88"/>
      <c r="J11" s="88"/>
      <c r="K11" s="89"/>
    </row>
    <row r="12" spans="2:11" x14ac:dyDescent="0.25">
      <c r="B12" s="87"/>
      <c r="C12" s="88"/>
      <c r="D12" s="88"/>
      <c r="E12" s="88"/>
      <c r="F12" s="88"/>
      <c r="G12" s="88"/>
      <c r="H12" s="88"/>
      <c r="I12" s="88"/>
      <c r="J12" s="88"/>
      <c r="K12" s="89"/>
    </row>
    <row r="13" spans="2:11" x14ac:dyDescent="0.25">
      <c r="B13" s="87"/>
      <c r="C13" s="88"/>
      <c r="D13" s="88"/>
      <c r="E13" s="88"/>
      <c r="F13" s="88"/>
      <c r="G13" s="88"/>
      <c r="H13" s="88"/>
      <c r="I13" s="88"/>
      <c r="J13" s="88"/>
      <c r="K13" s="89"/>
    </row>
    <row r="14" spans="2:11" x14ac:dyDescent="0.25">
      <c r="B14" s="90"/>
      <c r="C14" s="91"/>
      <c r="D14" s="91"/>
      <c r="E14" s="91"/>
      <c r="F14" s="91"/>
      <c r="G14" s="91"/>
      <c r="H14" s="91"/>
      <c r="I14" s="91"/>
      <c r="J14" s="91"/>
      <c r="K14" s="9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18" name="cmdContacts"/>
      </mc:Fallback>
    </mc:AlternateContent>
    <mc:AlternateContent xmlns:mc="http://schemas.openxmlformats.org/markup-compatibility/2006">
      <mc:Choice Requires="x14">
        <control shapeId="7178" r:id="rId20" name="cmdQuality">
          <controlPr defaultSize="0" autoLine="0" r:id="rId21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0" name="cmdQuality"/>
      </mc:Fallback>
    </mc:AlternateContent>
    <mc:AlternateContent xmlns:mc="http://schemas.openxmlformats.org/markup-compatibility/2006">
      <mc:Choice Requires="x14">
        <control shapeId="7179" r:id="rId22" name="cmdQAProcess">
          <controlPr defaultSize="0" autoLine="0" r:id="rId23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2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5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2" t="s">
        <v>92</v>
      </c>
      <c r="C3" s="26">
        <v>18</v>
      </c>
      <c r="F3" s="93"/>
    </row>
    <row r="4" spans="1:6" ht="30" customHeight="1" x14ac:dyDescent="0.25">
      <c r="B4" s="20" t="s">
        <v>93</v>
      </c>
      <c r="C4" s="24" t="s">
        <v>169</v>
      </c>
      <c r="F4" s="94" t="s">
        <v>170</v>
      </c>
    </row>
    <row r="5" spans="1:6" ht="30" customHeight="1" x14ac:dyDescent="0.25">
      <c r="B5" s="20" t="s">
        <v>94</v>
      </c>
      <c r="C5" s="24" t="s">
        <v>166</v>
      </c>
    </row>
    <row r="6" spans="1:6" ht="30" customHeight="1" x14ac:dyDescent="0.25">
      <c r="B6" s="20" t="s">
        <v>95</v>
      </c>
      <c r="C6" s="24"/>
    </row>
    <row r="7" spans="1:6" ht="30" customHeight="1" x14ac:dyDescent="0.25">
      <c r="B7" s="20" t="s">
        <v>96</v>
      </c>
      <c r="C7" s="24" t="s">
        <v>167</v>
      </c>
    </row>
    <row r="8" spans="1:6" ht="30" customHeight="1" x14ac:dyDescent="0.25">
      <c r="B8" s="20" t="s">
        <v>97</v>
      </c>
      <c r="C8" s="24"/>
    </row>
    <row r="9" spans="1:6" ht="30" customHeight="1" x14ac:dyDescent="0.25">
      <c r="B9" s="20" t="s">
        <v>98</v>
      </c>
      <c r="C9" s="24" t="s">
        <v>168</v>
      </c>
    </row>
    <row r="10" spans="1:6" ht="30" customHeight="1" x14ac:dyDescent="0.25">
      <c r="B10" s="20" t="s">
        <v>99</v>
      </c>
      <c r="C10" s="24"/>
    </row>
    <row r="11" spans="1:6" ht="30" customHeight="1" x14ac:dyDescent="0.25">
      <c r="B11" s="20" t="s">
        <v>100</v>
      </c>
      <c r="C11" s="24"/>
    </row>
  </sheetData>
  <sheetProtection sheet="1" selectLockedCells="1"/>
  <protectedRanges>
    <protectedRange sqref="F4" name="CompanyMsgLock"/>
    <protectedRange sqref="B2:C11" name="CompanyOpe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3000375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E12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5" max="5" width="20.5703125" customWidth="1"/>
  </cols>
  <sheetData>
    <row r="2" spans="1:5" ht="30" customHeight="1" x14ac:dyDescent="0.25">
      <c r="A2" s="5" t="s">
        <v>78</v>
      </c>
      <c r="B2" s="21"/>
    </row>
    <row r="3" spans="1:5" ht="30" customHeight="1" x14ac:dyDescent="0.25">
      <c r="A3" s="5" t="s">
        <v>70</v>
      </c>
      <c r="B3" s="26">
        <v>28</v>
      </c>
    </row>
    <row r="4" spans="1:5" ht="30" customHeight="1" x14ac:dyDescent="0.25">
      <c r="A4" s="5" t="s">
        <v>72</v>
      </c>
      <c r="B4" s="23"/>
      <c r="E4" s="94"/>
    </row>
    <row r="5" spans="1:5" ht="30" customHeight="1" x14ac:dyDescent="0.25">
      <c r="A5" s="7" t="s">
        <v>71</v>
      </c>
      <c r="B5" s="24"/>
    </row>
    <row r="6" spans="1:5" ht="30" customHeight="1" x14ac:dyDescent="0.25">
      <c r="A6" s="7" t="s">
        <v>6</v>
      </c>
      <c r="B6" s="24"/>
    </row>
    <row r="7" spans="1:5" ht="30" customHeight="1" x14ac:dyDescent="0.25">
      <c r="A7" s="7" t="s">
        <v>69</v>
      </c>
      <c r="B7" s="24"/>
    </row>
    <row r="8" spans="1:5" ht="30" customHeight="1" x14ac:dyDescent="0.25">
      <c r="A8" s="7" t="s">
        <v>7</v>
      </c>
      <c r="B8" s="24"/>
    </row>
    <row r="9" spans="1:5" ht="30" customHeight="1" x14ac:dyDescent="0.25">
      <c r="A9" s="7" t="s">
        <v>8</v>
      </c>
      <c r="B9" s="24"/>
    </row>
    <row r="10" spans="1:5" ht="30" customHeight="1" x14ac:dyDescent="0.25">
      <c r="A10" s="7" t="s">
        <v>9</v>
      </c>
      <c r="B10" s="24"/>
    </row>
    <row r="11" spans="1:5" ht="30" customHeight="1" x14ac:dyDescent="0.25">
      <c r="A11" s="7"/>
      <c r="B11" s="17"/>
    </row>
    <row r="12" spans="1:5" ht="30" customHeight="1" x14ac:dyDescent="0.25">
      <c r="A12" s="7"/>
      <c r="B12" s="17"/>
    </row>
  </sheetData>
  <sheetProtection sheet="1" selectLockedCells="1"/>
  <protectedRanges>
    <protectedRange sqref="E4" name="CompanyLocationNoteLock"/>
    <protectedRange sqref="B2:B10" name="CompanyLocaitonLock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4</xdr:col>
                <xdr:colOff>38100</xdr:colOff>
                <xdr:row>2</xdr:row>
                <xdr:rowOff>19050</xdr:rowOff>
              </from>
              <to>
                <xdr:col>5</xdr:col>
                <xdr:colOff>38100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4</xdr:col>
                <xdr:colOff>38100</xdr:colOff>
                <xdr:row>4</xdr:row>
                <xdr:rowOff>85725</xdr:rowOff>
              </from>
              <to>
                <xdr:col>5</xdr:col>
                <xdr:colOff>38100</xdr:colOff>
                <xdr:row>5</xdr:row>
                <xdr:rowOff>28575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E7" sqref="E7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570312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25">
      <c r="A4" s="5" t="s">
        <v>90</v>
      </c>
      <c r="B4" s="23"/>
    </row>
    <row r="5" spans="1:8" ht="30" customHeight="1" x14ac:dyDescent="0.25">
      <c r="A5" s="7" t="s">
        <v>11</v>
      </c>
      <c r="B5" s="24"/>
    </row>
    <row r="6" spans="1:8" ht="30" customHeight="1" x14ac:dyDescent="0.25">
      <c r="A6" s="7" t="s">
        <v>12</v>
      </c>
      <c r="B6" s="24"/>
    </row>
    <row r="7" spans="1:8" ht="30" customHeight="1" x14ac:dyDescent="0.25">
      <c r="A7" s="7" t="s">
        <v>6</v>
      </c>
      <c r="B7" s="24"/>
    </row>
    <row r="8" spans="1:8" ht="30" customHeight="1" x14ac:dyDescent="0.25">
      <c r="A8" s="7" t="s">
        <v>69</v>
      </c>
      <c r="B8" s="24"/>
    </row>
    <row r="9" spans="1:8" ht="30" customHeight="1" x14ac:dyDescent="0.25">
      <c r="A9" s="7" t="s">
        <v>7</v>
      </c>
      <c r="B9" s="24"/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/>
    </row>
    <row r="12" spans="1:8" ht="30" customHeight="1" x14ac:dyDescent="0.25">
      <c r="A12" s="7" t="s">
        <v>87</v>
      </c>
      <c r="B12" s="29"/>
    </row>
    <row r="13" spans="1:8" ht="30" customHeight="1" x14ac:dyDescent="0.25">
      <c r="A13" s="7" t="s">
        <v>88</v>
      </c>
      <c r="B13" s="24"/>
    </row>
    <row r="14" spans="1:8" ht="30" customHeight="1" x14ac:dyDescent="0.25">
      <c r="A14" s="7" t="s">
        <v>68</v>
      </c>
      <c r="B14" s="24"/>
    </row>
  </sheetData>
  <sheetProtection selectLockedCells="1"/>
  <dataConsolidate/>
  <dataValidations count="1">
    <dataValidation type="textLength" errorStyle="information" operator="equal" allowBlank="1" showErrorMessage="1" errorTitle="Locked " error="Locked cell" sqref="E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200025</xdr:colOff>
                <xdr:row>1</xdr:row>
                <xdr:rowOff>28575</xdr:rowOff>
              </from>
              <to>
                <xdr:col>4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4</xdr:col>
                <xdr:colOff>200025</xdr:colOff>
                <xdr:row>3</xdr:row>
                <xdr:rowOff>66675</xdr:rowOff>
              </from>
              <to>
                <xdr:col>4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workbookViewId="0">
      <selection activeCell="E4" sqref="E4"/>
    </sheetView>
  </sheetViews>
  <sheetFormatPr defaultRowHeight="30" customHeight="1" x14ac:dyDescent="0.25"/>
  <cols>
    <col min="1" max="1" width="30.85546875" bestFit="1" customWidth="1"/>
    <col min="2" max="2" width="46" style="18" customWidth="1"/>
  </cols>
  <sheetData>
    <row r="1" spans="1:2" ht="30" customHeight="1" x14ac:dyDescent="0.25"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75</v>
      </c>
      <c r="B7" s="24"/>
    </row>
    <row r="8" spans="1:2" ht="30" customHeight="1" x14ac:dyDescent="0.25">
      <c r="A8" s="7" t="s">
        <v>28</v>
      </c>
      <c r="B8" s="24"/>
    </row>
    <row r="9" spans="1:2" ht="30" customHeight="1" x14ac:dyDescent="0.25">
      <c r="A9" s="7" t="s">
        <v>29</v>
      </c>
      <c r="B9" s="24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581025</xdr:colOff>
                <xdr:row>2</xdr:row>
                <xdr:rowOff>133350</xdr:rowOff>
              </from>
              <to>
                <xdr:col>6</xdr:col>
                <xdr:colOff>142875</xdr:colOff>
                <xdr:row>3</xdr:row>
                <xdr:rowOff>47625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A1" t="s">
        <v>135</v>
      </c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28</v>
      </c>
      <c r="B7" s="24"/>
    </row>
    <row r="8" spans="1:2" ht="30" customHeight="1" x14ac:dyDescent="0.25">
      <c r="A8" s="7" t="s">
        <v>29</v>
      </c>
      <c r="B8" s="28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104775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3"/>
      <c r="C24" s="33"/>
      <c r="D24" s="33"/>
      <c r="E24" s="34" t="s">
        <v>102</v>
      </c>
      <c r="F24" s="34" t="s">
        <v>103</v>
      </c>
      <c r="G24" s="8" t="s">
        <v>103</v>
      </c>
      <c r="H24" s="35"/>
      <c r="I24" s="35"/>
    </row>
    <row r="25" spans="2:9" x14ac:dyDescent="0.25">
      <c r="B25" s="36"/>
      <c r="C25" s="36"/>
      <c r="D25" s="36"/>
      <c r="E25" s="37" t="s">
        <v>104</v>
      </c>
      <c r="F25" s="37" t="s">
        <v>105</v>
      </c>
      <c r="G25" s="8" t="s">
        <v>106</v>
      </c>
      <c r="H25" s="38"/>
      <c r="I25" s="38"/>
    </row>
    <row r="26" spans="2:9" x14ac:dyDescent="0.25">
      <c r="B26" s="36" t="s">
        <v>107</v>
      </c>
      <c r="C26" s="2"/>
      <c r="D26" s="34" t="s">
        <v>108</v>
      </c>
      <c r="E26" s="39"/>
      <c r="F26" s="40"/>
      <c r="G26" s="41"/>
      <c r="H26" s="42"/>
      <c r="I26" s="43"/>
    </row>
    <row r="27" spans="2:9" x14ac:dyDescent="0.25">
      <c r="B27" s="6"/>
      <c r="C27" s="2"/>
      <c r="D27" s="44"/>
      <c r="E27" s="45"/>
      <c r="F27" s="45"/>
      <c r="G27" s="45"/>
      <c r="H27" s="45"/>
      <c r="I27" s="45"/>
    </row>
    <row r="28" spans="2:9" x14ac:dyDescent="0.25">
      <c r="B28" s="6" t="s">
        <v>109</v>
      </c>
      <c r="C28" s="2"/>
      <c r="D28" s="45"/>
      <c r="E28" s="45"/>
      <c r="F28" s="45"/>
      <c r="G28" s="45"/>
    </row>
    <row r="29" spans="2:9" x14ac:dyDescent="0.25">
      <c r="B29" s="6"/>
      <c r="C29" s="2"/>
      <c r="D29" s="45"/>
      <c r="E29" s="45"/>
      <c r="F29" s="45"/>
      <c r="G29" s="45"/>
    </row>
    <row r="30" spans="2:9" x14ac:dyDescent="0.25">
      <c r="B30" s="6" t="s">
        <v>110</v>
      </c>
      <c r="C30" s="2"/>
      <c r="D30" s="46"/>
      <c r="E30" s="45"/>
      <c r="F30" s="45"/>
      <c r="G30" s="45"/>
    </row>
    <row r="31" spans="2:9" x14ac:dyDescent="0.25">
      <c r="B31" s="6" t="s">
        <v>111</v>
      </c>
      <c r="C31" s="2"/>
      <c r="D31" s="44"/>
      <c r="E31" s="46"/>
      <c r="F31" s="46"/>
      <c r="G31" s="46"/>
    </row>
    <row r="32" spans="2:9" x14ac:dyDescent="0.25">
      <c r="B32" s="6"/>
      <c r="C32" s="2"/>
      <c r="D32" s="44"/>
      <c r="E32" s="46"/>
      <c r="F32" s="46"/>
      <c r="G32" s="46"/>
    </row>
    <row r="33" spans="2:8" x14ac:dyDescent="0.25">
      <c r="B33" s="47" t="s">
        <v>112</v>
      </c>
      <c r="C33" s="2"/>
      <c r="D33" s="44" t="s">
        <v>113</v>
      </c>
      <c r="E33" s="44" t="s">
        <v>114</v>
      </c>
      <c r="F33" s="46"/>
      <c r="G33" s="46"/>
    </row>
    <row r="34" spans="2:8" x14ac:dyDescent="0.25">
      <c r="B34" s="47"/>
      <c r="C34" s="2" t="s">
        <v>115</v>
      </c>
      <c r="D34" s="48"/>
      <c r="E34" s="48"/>
      <c r="F34" s="44"/>
      <c r="G34" s="46"/>
    </row>
    <row r="35" spans="2:8" x14ac:dyDescent="0.25">
      <c r="B35" s="2"/>
      <c r="C35" s="2" t="s">
        <v>116</v>
      </c>
      <c r="D35" s="48"/>
      <c r="E35" s="48"/>
      <c r="F35" s="44"/>
      <c r="G35" s="46"/>
    </row>
    <row r="36" spans="2:8" x14ac:dyDescent="0.25">
      <c r="B36" s="2"/>
      <c r="C36" s="2" t="s">
        <v>117</v>
      </c>
      <c r="D36" s="48"/>
      <c r="E36" s="48"/>
      <c r="F36" s="44"/>
      <c r="G36" s="46"/>
    </row>
    <row r="37" spans="2:8" x14ac:dyDescent="0.25">
      <c r="B37" s="2"/>
      <c r="C37" s="2" t="s">
        <v>118</v>
      </c>
      <c r="D37" s="48"/>
      <c r="E37" s="48"/>
      <c r="F37" s="44"/>
      <c r="G37" s="46"/>
    </row>
    <row r="38" spans="2:8" x14ac:dyDescent="0.25">
      <c r="B38" s="2"/>
      <c r="C38" s="2" t="s">
        <v>119</v>
      </c>
      <c r="D38" s="48"/>
      <c r="E38" s="48"/>
      <c r="F38" s="44"/>
      <c r="G38" s="46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9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50" t="s">
        <v>122</v>
      </c>
      <c r="C42" s="2" t="s">
        <v>18</v>
      </c>
      <c r="D42" s="8" t="s">
        <v>18</v>
      </c>
      <c r="E42" s="47"/>
      <c r="F42" s="47"/>
      <c r="G42" s="2"/>
    </row>
    <row r="43" spans="2:8" x14ac:dyDescent="0.25">
      <c r="B43" s="2"/>
      <c r="C43" s="2" t="s">
        <v>123</v>
      </c>
      <c r="D43" s="47"/>
      <c r="E43" s="47"/>
      <c r="F43" s="2"/>
    </row>
    <row r="44" spans="2:8" x14ac:dyDescent="0.25">
      <c r="B44" s="2"/>
      <c r="C44" s="2"/>
      <c r="D44" s="47"/>
      <c r="E44" s="47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7"/>
      <c r="E46" s="47"/>
      <c r="F46" s="2"/>
    </row>
    <row r="47" spans="2:8" x14ac:dyDescent="0.25">
      <c r="B47" s="2"/>
      <c r="C47" s="2"/>
      <c r="D47" s="47"/>
      <c r="E47" s="47"/>
      <c r="F47" s="2"/>
    </row>
    <row r="48" spans="2:8" x14ac:dyDescent="0.25">
      <c r="B48" s="50" t="s">
        <v>126</v>
      </c>
      <c r="C48" s="2"/>
      <c r="D48" s="47"/>
      <c r="E48" s="47"/>
      <c r="F48" s="2"/>
    </row>
    <row r="49" spans="2:9" x14ac:dyDescent="0.25">
      <c r="B49" s="2"/>
      <c r="C49" s="2" t="s">
        <v>134</v>
      </c>
      <c r="D49" s="47"/>
      <c r="E49" s="47"/>
      <c r="F49" s="2"/>
    </row>
    <row r="50" spans="2:9" x14ac:dyDescent="0.25">
      <c r="B50" s="2"/>
      <c r="C50" s="2" t="s">
        <v>125</v>
      </c>
      <c r="D50" s="47"/>
      <c r="E50" s="47"/>
      <c r="F50" s="2"/>
    </row>
    <row r="51" spans="2:9" x14ac:dyDescent="0.25">
      <c r="B51" s="2"/>
      <c r="C51" s="51" t="s">
        <v>18</v>
      </c>
      <c r="D51" s="47"/>
      <c r="E51" s="47"/>
      <c r="F51" s="2"/>
    </row>
    <row r="52" spans="2:9" x14ac:dyDescent="0.25">
      <c r="B52" s="2" t="s">
        <v>127</v>
      </c>
      <c r="C52" s="2" t="s">
        <v>18</v>
      </c>
      <c r="D52" s="47"/>
      <c r="E52" s="47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52"/>
      <c r="D54" s="2"/>
      <c r="E54" s="2"/>
      <c r="F54" s="2"/>
      <c r="G54" s="47"/>
    </row>
    <row r="55" spans="2:9" x14ac:dyDescent="0.25">
      <c r="B55" s="2"/>
      <c r="C55" s="52" t="s">
        <v>129</v>
      </c>
      <c r="D55" s="2"/>
      <c r="E55" s="2"/>
      <c r="F55" s="2"/>
      <c r="G55" s="47"/>
    </row>
    <row r="56" spans="2:9" x14ac:dyDescent="0.25">
      <c r="B56" s="2"/>
      <c r="C56" s="52"/>
      <c r="D56" s="8"/>
      <c r="E56" s="2"/>
      <c r="F56" s="2"/>
      <c r="G56" s="2"/>
      <c r="H56" s="47"/>
    </row>
    <row r="57" spans="2:9" x14ac:dyDescent="0.25">
      <c r="B57" s="2" t="s">
        <v>130</v>
      </c>
      <c r="C57" s="52"/>
      <c r="D57" s="8"/>
      <c r="E57" s="2"/>
      <c r="F57" s="2"/>
      <c r="G57" s="2"/>
      <c r="H57" s="47"/>
    </row>
    <row r="58" spans="2:9" x14ac:dyDescent="0.25">
      <c r="B58" s="2"/>
      <c r="C58" s="52" t="s">
        <v>133</v>
      </c>
      <c r="D58" s="2"/>
      <c r="E58" s="2"/>
      <c r="F58" s="2"/>
      <c r="G58" s="47"/>
    </row>
    <row r="59" spans="2:9" x14ac:dyDescent="0.25">
      <c r="B59" s="2"/>
      <c r="C59" s="52"/>
      <c r="D59" s="2"/>
      <c r="E59" s="2"/>
      <c r="F59" s="2"/>
      <c r="G59" s="47"/>
    </row>
    <row r="60" spans="2:9" x14ac:dyDescent="0.25">
      <c r="B60" s="2"/>
      <c r="C60" s="52" t="s">
        <v>131</v>
      </c>
      <c r="D60" s="2"/>
      <c r="E60" s="2"/>
      <c r="F60" s="2"/>
      <c r="G60" s="47"/>
    </row>
    <row r="61" spans="2:9" x14ac:dyDescent="0.2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25" name="cbCracking"/>
      </mc:Fallback>
    </mc:AlternateContent>
    <mc:AlternateContent xmlns:mc="http://schemas.openxmlformats.org/markup-compatibility/2006">
      <mc:Choice Requires="x14">
        <control shapeId="23576" r:id="rId27" name="cmdMenu">
          <controlPr autoLine="0" autoPict="0" r:id="rId28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27" name="cmdMenu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81"/>
    </row>
    <row r="10" spans="2:9" x14ac:dyDescent="0.25">
      <c r="B10" s="7" t="s">
        <v>47</v>
      </c>
      <c r="C10" s="81"/>
    </row>
    <row r="11" spans="2:9" x14ac:dyDescent="0.25">
      <c r="B11" t="s">
        <v>159</v>
      </c>
      <c r="C11" s="48"/>
      <c r="D11" s="75" t="s">
        <v>160</v>
      </c>
      <c r="G11" s="75" t="s">
        <v>158</v>
      </c>
      <c r="H11" s="81">
        <f>(3.14*(SubDiameter/2)^2)*(SubLength)*(1/12)^3</f>
        <v>0</v>
      </c>
      <c r="I11" s="83" t="s">
        <v>153</v>
      </c>
    </row>
    <row r="12" spans="2:9" x14ac:dyDescent="0.25">
      <c r="B12" t="s">
        <v>163</v>
      </c>
      <c r="C12" s="48"/>
      <c r="D12" t="s">
        <v>162</v>
      </c>
      <c r="G12" s="75"/>
      <c r="H12" s="81">
        <f>Volume*28.317</f>
        <v>0</v>
      </c>
      <c r="I12" s="83" t="s">
        <v>165</v>
      </c>
    </row>
    <row r="13" spans="2:9" x14ac:dyDescent="0.25">
      <c r="B13" s="7"/>
      <c r="C13" s="8"/>
      <c r="G13" t="s">
        <v>161</v>
      </c>
      <c r="H13" s="81">
        <f>(Volume*MaxSpaceVelocity)*(1/60)*(61.7)/(2350*0.395)</f>
        <v>0</v>
      </c>
      <c r="I13" t="s">
        <v>162</v>
      </c>
    </row>
    <row r="14" spans="2:9" x14ac:dyDescent="0.25">
      <c r="G14" t="s">
        <v>164</v>
      </c>
      <c r="H14" s="82">
        <f>IF(H13&gt;MaxHertz,"60",H13)</f>
        <v>0</v>
      </c>
      <c r="I14" t="s">
        <v>162</v>
      </c>
    </row>
    <row r="15" spans="2:9" x14ac:dyDescent="0.25">
      <c r="B15" s="53" t="s">
        <v>136</v>
      </c>
      <c r="C15" s="54"/>
      <c r="D15" s="55" t="str">
        <f>B7</f>
        <v>DPF Information</v>
      </c>
      <c r="E15" s="56"/>
      <c r="F15" s="56"/>
    </row>
    <row r="16" spans="2:9" x14ac:dyDescent="0.25">
      <c r="B16" s="57"/>
      <c r="C16" s="57"/>
      <c r="D16" s="57"/>
      <c r="E16" s="57"/>
      <c r="F16" s="57"/>
    </row>
    <row r="17" spans="2:9" x14ac:dyDescent="0.25">
      <c r="B17" s="58" t="s">
        <v>137</v>
      </c>
      <c r="D17" s="41"/>
      <c r="E17" t="s">
        <v>138</v>
      </c>
    </row>
    <row r="18" spans="2:9" x14ac:dyDescent="0.25">
      <c r="B18" s="58" t="s">
        <v>139</v>
      </c>
      <c r="D18" s="41"/>
      <c r="E18" t="s">
        <v>140</v>
      </c>
    </row>
    <row r="19" spans="2:9" x14ac:dyDescent="0.25">
      <c r="B19" s="58" t="s">
        <v>141</v>
      </c>
      <c r="D19" s="48"/>
    </row>
    <row r="20" spans="2:9" x14ac:dyDescent="0.25">
      <c r="B20" s="59" t="s">
        <v>142</v>
      </c>
      <c r="C20" s="60" t="s">
        <v>143</v>
      </c>
      <c r="D20" s="61" t="s">
        <v>144</v>
      </c>
      <c r="E20" s="61" t="s">
        <v>145</v>
      </c>
      <c r="G20" s="62" t="s">
        <v>146</v>
      </c>
      <c r="H20" s="61"/>
      <c r="I20" s="61"/>
    </row>
    <row r="21" spans="2:9" x14ac:dyDescent="0.25">
      <c r="B21" s="63" t="s">
        <v>147</v>
      </c>
      <c r="C21" s="63" t="s">
        <v>148</v>
      </c>
      <c r="D21" s="63" t="s">
        <v>149</v>
      </c>
      <c r="E21" s="63" t="s">
        <v>148</v>
      </c>
      <c r="F21" s="63" t="s">
        <v>150</v>
      </c>
      <c r="G21" s="62" t="s">
        <v>151</v>
      </c>
      <c r="H21" s="61" t="s">
        <v>148</v>
      </c>
      <c r="I21" s="61" t="s">
        <v>152</v>
      </c>
    </row>
    <row r="22" spans="2:9" x14ac:dyDescent="0.2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2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2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2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2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2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2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2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2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2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2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25">
      <c r="B33" s="57"/>
      <c r="D33" s="57"/>
      <c r="E33" s="57"/>
      <c r="F33" s="57"/>
      <c r="G33" s="73" t="s">
        <v>154</v>
      </c>
    </row>
    <row r="34" spans="2:9" x14ac:dyDescent="0.25">
      <c r="C34" s="70"/>
      <c r="G34" s="73" t="s">
        <v>155</v>
      </c>
      <c r="H34" s="74"/>
    </row>
    <row r="35" spans="2:9" x14ac:dyDescent="0.25">
      <c r="B35" s="71"/>
      <c r="C35" s="71"/>
      <c r="D35" s="71"/>
      <c r="E35" s="71"/>
      <c r="F35" s="71"/>
      <c r="G35" s="73" t="s">
        <v>156</v>
      </c>
      <c r="H35" s="74"/>
    </row>
    <row r="36" spans="2:9" x14ac:dyDescent="0.25">
      <c r="B36" s="72"/>
      <c r="C36" s="72"/>
      <c r="D36" s="72"/>
      <c r="E36" s="72"/>
      <c r="F36" s="72"/>
      <c r="G36" s="73" t="s">
        <v>157</v>
      </c>
      <c r="H36" s="41"/>
    </row>
    <row r="37" spans="2:9" x14ac:dyDescent="0.25">
      <c r="B37" s="72"/>
      <c r="C37" s="72"/>
      <c r="D37" s="72"/>
      <c r="E37" s="72"/>
      <c r="F37" s="72"/>
      <c r="I37" t="s">
        <v>18</v>
      </c>
    </row>
    <row r="39" spans="2:9" x14ac:dyDescent="0.25">
      <c r="B39" s="58" t="s">
        <v>136</v>
      </c>
      <c r="D39" s="55" t="str">
        <f>B8</f>
        <v>DPF ID</v>
      </c>
    </row>
    <row r="41" spans="2:9" x14ac:dyDescent="0.25">
      <c r="B41" s="58" t="s">
        <v>137</v>
      </c>
      <c r="D41" s="41"/>
      <c r="E41" t="s">
        <v>138</v>
      </c>
    </row>
    <row r="42" spans="2:9" x14ac:dyDescent="0.25">
      <c r="B42" s="58" t="s">
        <v>139</v>
      </c>
      <c r="D42" s="41"/>
      <c r="E42" t="s">
        <v>140</v>
      </c>
      <c r="I42" s="70"/>
    </row>
    <row r="43" spans="2:9" x14ac:dyDescent="0.25">
      <c r="B43" s="58" t="s">
        <v>141</v>
      </c>
      <c r="D43" s="48"/>
    </row>
    <row r="44" spans="2:9" x14ac:dyDescent="0.25">
      <c r="B44" s="59" t="s">
        <v>142</v>
      </c>
      <c r="C44" s="60" t="s">
        <v>143</v>
      </c>
      <c r="D44" s="61" t="s">
        <v>144</v>
      </c>
      <c r="E44" s="61" t="s">
        <v>145</v>
      </c>
      <c r="F44" s="75"/>
      <c r="G44" s="62" t="s">
        <v>146</v>
      </c>
      <c r="H44" s="61"/>
      <c r="I44" s="61"/>
    </row>
    <row r="45" spans="2:9" x14ac:dyDescent="0.25">
      <c r="B45" s="61" t="s">
        <v>147</v>
      </c>
      <c r="C45" s="61" t="s">
        <v>148</v>
      </c>
      <c r="D45" s="61" t="s">
        <v>149</v>
      </c>
      <c r="E45" s="61" t="s">
        <v>148</v>
      </c>
      <c r="F45" s="61" t="s">
        <v>150</v>
      </c>
      <c r="G45" s="62" t="s">
        <v>151</v>
      </c>
      <c r="H45" s="61" t="s">
        <v>148</v>
      </c>
      <c r="I45" s="61" t="s">
        <v>152</v>
      </c>
    </row>
    <row r="46" spans="2:9" x14ac:dyDescent="0.2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2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2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2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2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2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2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2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2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2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2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25">
      <c r="G57" s="73" t="s">
        <v>154</v>
      </c>
    </row>
    <row r="58" spans="2:9" x14ac:dyDescent="0.25">
      <c r="B58" s="76"/>
      <c r="C58" s="76"/>
      <c r="D58" s="76"/>
      <c r="G58" s="73" t="s">
        <v>155</v>
      </c>
      <c r="H58" s="74"/>
    </row>
    <row r="59" spans="2:9" x14ac:dyDescent="0.25">
      <c r="B59" s="2"/>
      <c r="C59" s="76"/>
      <c r="D59" s="76"/>
      <c r="E59" s="75"/>
      <c r="F59" s="75"/>
      <c r="G59" s="73" t="s">
        <v>156</v>
      </c>
      <c r="H59" s="74"/>
    </row>
    <row r="60" spans="2:9" x14ac:dyDescent="0.25">
      <c r="B60" s="77"/>
      <c r="C60" s="76"/>
      <c r="D60" s="76"/>
      <c r="E60" s="75"/>
      <c r="F60" s="75"/>
      <c r="G60" s="73" t="s">
        <v>157</v>
      </c>
      <c r="H60" s="74"/>
    </row>
    <row r="61" spans="2:9" x14ac:dyDescent="0.25">
      <c r="B61" s="77"/>
      <c r="C61" s="76"/>
      <c r="D61" s="76"/>
      <c r="E61" s="76"/>
      <c r="F61" s="76"/>
    </row>
    <row r="62" spans="2:9" x14ac:dyDescent="0.25">
      <c r="B62" s="2"/>
      <c r="C62" s="76"/>
      <c r="D62" s="76"/>
      <c r="E62" s="76"/>
      <c r="F62" s="76"/>
    </row>
    <row r="64" spans="2:9" x14ac:dyDescent="0.25">
      <c r="B64" s="58" t="s">
        <v>136</v>
      </c>
      <c r="D64" s="55" t="str">
        <f>B9</f>
        <v>Substrate Diameter(inch)</v>
      </c>
    </row>
    <row r="66" spans="2:9" x14ac:dyDescent="0.25">
      <c r="B66" s="58" t="s">
        <v>137</v>
      </c>
      <c r="D66" s="41"/>
      <c r="E66" t="s">
        <v>138</v>
      </c>
      <c r="H66" s="57"/>
      <c r="I66" s="57"/>
    </row>
    <row r="67" spans="2:9" x14ac:dyDescent="0.25">
      <c r="B67" s="58" t="s">
        <v>139</v>
      </c>
      <c r="D67" s="41">
        <v>14.696</v>
      </c>
      <c r="E67" t="s">
        <v>140</v>
      </c>
      <c r="H67" s="57"/>
      <c r="I67" s="57"/>
    </row>
    <row r="68" spans="2:9" x14ac:dyDescent="0.25">
      <c r="B68" s="58" t="s">
        <v>141</v>
      </c>
      <c r="D68" s="48"/>
      <c r="H68" s="78"/>
      <c r="I68" s="78"/>
    </row>
    <row r="69" spans="2:9" x14ac:dyDescent="0.25">
      <c r="B69" s="59" t="s">
        <v>142</v>
      </c>
      <c r="C69" s="60" t="s">
        <v>143</v>
      </c>
      <c r="D69" s="61" t="s">
        <v>144</v>
      </c>
      <c r="E69" s="61" t="s">
        <v>145</v>
      </c>
      <c r="F69" s="75"/>
      <c r="G69" s="62" t="s">
        <v>146</v>
      </c>
      <c r="H69" s="61"/>
      <c r="I69" s="61"/>
    </row>
    <row r="70" spans="2:9" x14ac:dyDescent="0.25">
      <c r="B70" s="61" t="s">
        <v>147</v>
      </c>
      <c r="C70" s="61" t="s">
        <v>148</v>
      </c>
      <c r="D70" s="61" t="s">
        <v>149</v>
      </c>
      <c r="E70" s="61" t="s">
        <v>148</v>
      </c>
      <c r="F70" s="61" t="s">
        <v>150</v>
      </c>
      <c r="G70" s="62" t="s">
        <v>151</v>
      </c>
      <c r="H70" s="61" t="s">
        <v>148</v>
      </c>
      <c r="I70" s="61" t="s">
        <v>152</v>
      </c>
    </row>
    <row r="71" spans="2:9" x14ac:dyDescent="0.2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2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2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2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2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2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2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2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2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2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2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25">
      <c r="G82" s="73" t="s">
        <v>154</v>
      </c>
    </row>
    <row r="83" spans="2:9" x14ac:dyDescent="0.25">
      <c r="F83" s="79"/>
      <c r="G83" s="73" t="s">
        <v>155</v>
      </c>
      <c r="H83" s="74"/>
    </row>
    <row r="84" spans="2:9" x14ac:dyDescent="0.25">
      <c r="B84" s="77"/>
      <c r="C84" s="75"/>
      <c r="D84" s="75"/>
      <c r="F84" s="69"/>
      <c r="G84" s="73" t="s">
        <v>156</v>
      </c>
      <c r="H84" s="74"/>
    </row>
    <row r="85" spans="2:9" x14ac:dyDescent="0.25">
      <c r="B85" s="77"/>
      <c r="C85" s="75"/>
      <c r="D85" s="75"/>
      <c r="E85" s="70"/>
      <c r="F85" s="69"/>
      <c r="G85" s="73" t="s">
        <v>157</v>
      </c>
      <c r="H85" s="41"/>
    </row>
    <row r="86" spans="2:9" x14ac:dyDescent="0.2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8" name="cbECD"/>
      </mc:Fallback>
    </mc:AlternateContent>
    <mc:AlternateContent xmlns:mc="http://schemas.openxmlformats.org/markup-compatibility/2006">
      <mc:Choice Requires="x14">
        <control shapeId="24584" r:id="rId10" name="cmdMenu">
          <controlPr autoLine="0" r:id="rId11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10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Engine!Note</vt:lpstr>
      <vt:lpstr>Manufacturer!Note</vt:lpstr>
      <vt:lpstr>Vehicle!Note</vt:lpstr>
      <vt:lpstr>NoteCompany</vt:lpstr>
      <vt:lpstr>NoteCompanyLocation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2019-01-28T13:12:44Z</dcterms:modified>
</cp:coreProperties>
</file>