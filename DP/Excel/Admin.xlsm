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062DF7D-6C54-41AC-957C-CF563F9E18D5}" xr6:coauthVersionLast="43" xr6:coauthVersionMax="43" xr10:uidLastSave="{00000000-0000-0000-0000-000000000000}"/>
  <bookViews>
    <workbookView xWindow="-120" yWindow="-120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<sst xmlns="http://schemas.openxmlformats.org/spreadsheetml/2006/main" count="432" uniqueCount="248">
  <si>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</si>
  <si>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</si>
  <si>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</si>
  <si>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</si>
  <si>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</si>
  <si>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</si>
  <si>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</si>
  <si>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</si>
  <si>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</si>
  <si>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</si>
  <si>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</si>
  <si>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</si>
  <si>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</si>
  <si>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</si>
  <si>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</si>
  <si>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</si>
  <si>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</si>
  <si>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</si>
  <si>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</si>
  <si>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</si>
  <si>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</si>
  <si>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</si>
  <si>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</si>
  <si>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</si>
  <si>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</si>
  <si>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</si>
  <si>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</si>
  <si>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</si>
  <si>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</si>
  <si>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</si>
  <si>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</si>
  <si>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</si>
  <si>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</si>
  <si>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</si>
  <si>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</si>
  <si>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</si>
  <si>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</si>
  <si>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</si>
  <si>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</si>
  <si>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</si>
  <si>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</si>
  <si>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</si>
  <si>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</si>
  <si>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</si>
  <si>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</si>
  <si>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</si>
  <si>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</si>
  <si>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</si>
  <si>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</si>
  <si>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</si>
  <si>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</si>
  <si>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</si>
  <si>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</si>
  <si>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</si>
  <si>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</si>
  <si>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</si>
  <si>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</si>
  <si>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</si>
  <si>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</si>
  <si>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</si>
  <si>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</si>
  <si>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</si>
  <si>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</si>
  <si>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</si>
  <si>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</si>
  <si>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</si>
  <si>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</si>
  <si>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</si>
  <si>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</si>
  <si>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</si>
  <si>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</si>
  <si>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</si>
  <si>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</si>
  <si>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</si>
  <si>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</si>
  <si>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</si>
  <si>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</si>
  <si>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</si>
  <si>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</si>
  <si>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</si>
  <si>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</si>
  <si>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</si>
  <si>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</si>
  <si>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</si>
  <si>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</si>
  <si>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</si>
  <si>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</si>
  <si>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</si>
  <si>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</si>
  <si>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</si>
  <si>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</si>
  <si>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</si>
  <si>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</si>
  <si>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</si>
  <si>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</si>
  <si>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</si>
  <si>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</si>
  <si>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</si>
  <si>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</si>
  <si>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</si>
  <si>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</si>
  <si>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</si>
  <si>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</si>
  <si>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</si>
  <si>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</si>
  <si>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</si>
  <si>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</si>
  <si>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</si>
  <si>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</si>
  <si>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</si>
  <si>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</si>
  <si>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</si>
  <si>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</si>
  <si>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</si>
  <si>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</si>
  <si>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</si>
  <si>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</si>
  <si>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</si>
  <si>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</si>
  <si>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</si>
  <si>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</si>
  <si>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</si>
  <si>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</si>
  <si>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</si>
  <si>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</si>
  <si>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</si>
  <si>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</si>
  <si>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</si>
  <si>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</si>
  <si>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</si>
  <si>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</si>
  <si>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</si>
  <si>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</si>
  <si>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</si>
  <si>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</si>
  <si>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</si>
  <si>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</si>
  <si>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</si>
  <si>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</si>
  <si>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</si>
  <si>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</si>
  <si>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</si>
  <si>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</si>
  <si>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</si>
  <si>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</si>
  <si>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</si>
  <si>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</si>
  <si>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</si>
  <si>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</si>
  <si>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</si>
  <si>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</si>
  <si>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</si>
  <si>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</si>
  <si>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</si>
  <si>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</si>
  <si>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</si>
  <si>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</si>
  <si>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</si>
  <si>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</si>
  <si>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</si>
  <si>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</si>
  <si>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</si>
  <si>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</si>
  <si>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</si>
  <si>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</si>
  <si>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</si>
  <si>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</si>
  <si>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</si>
  <si>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</si>
  <si>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</si>
  <si>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</si>
  <si>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</si>
  <si>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</si>
  <si>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</si>
  <si>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</si>
  <si>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</si>
  <si>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</si>
  <si>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</si>
  <si>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</si>
  <si>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</si>
  <si>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</si>
  <si>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</si>
  <si>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</si>
  <si>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</si>
  <si>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</si>
  <si>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</si>
  <si>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</si>
  <si>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</si>
  <si>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</si>
  <si>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</si>
  <si>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</si>
  <si>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</si>
  <si>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</si>
  <si>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</si>
  <si>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</si>
  <si>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</si>
  <si>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</si>
  <si>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</si>
  <si>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</si>
  <si>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</si>
  <si>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</si>
  <si>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</si>
  <si>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</si>
  <si>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</si>
  <si>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</si>
  <si>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</si>
  <si>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</si>
  <si>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</si>
  <si>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</si>
  <si>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</si>
  <si>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</si>
  <si>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</si>
  <si>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</si>
  <si>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</si>
  <si>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</si>
  <si>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</si>
  <si>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</si>
  <si>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</si>
  <si>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</si>
  <si>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</si>
  <si>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</si>
  <si>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</si>
  <si>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</si>
  <si>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</si>
  <si>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</si>
  <si>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</si>
  <si>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</si>
  <si>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</si>
  <si>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</si>
  <si>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</si>
  <si>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</si>
  <si>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</si>
  <si>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</si>
  <si>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</si>
  <si>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</si>
  <si>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</si>
  <si>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</si>
  <si>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</si>
  <si>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</si>
  <si>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</si>
  <si>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</si>
  <si>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</si>
  <si>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part # test</t>
  </si>
  <si>
    <t>bs123456-b / part # test</t>
  </si>
  <si>
    <t>Max Hz Allowed</t>
  </si>
  <si>
    <t>Target Max Space Vl</t>
  </si>
  <si>
    <t>Hz @ Target Max Space Vl</t>
  </si>
  <si>
    <t>Max Hz Set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</si>
</sst>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78.emf"/><Relationship Id="rId6" Type="http://schemas.openxmlformats.org/officeDocument/2006/relationships/image" Target="../media/image82.emf"/><Relationship Id="rId11" Type="http://schemas.openxmlformats.org/officeDocument/2006/relationships/image" Target="../media/image76.emf"/><Relationship Id="rId5" Type="http://schemas.openxmlformats.org/officeDocument/2006/relationships/image" Target="../media/image83.emf"/><Relationship Id="rId10" Type="http://schemas.openxmlformats.org/officeDocument/2006/relationships/image" Target="../media/image77.emf"/><Relationship Id="rId4" Type="http://schemas.openxmlformats.org/officeDocument/2006/relationships/image" Target="../media/image84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5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4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210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214</v>
      </c>
      <c r="E3" s="37"/>
    </row>
    <row r="4" spans="2:5" ht="30" customHeight="1" x14ac:dyDescent="0.25">
      <c r="B4" s="11" t="s">
        <v>204</v>
      </c>
      <c r="C4" s="14" t="s">
        <v>218</v>
      </c>
      <c r="E4" s="34"/>
    </row>
    <row r="5" spans="2:5" ht="30" customHeight="1" x14ac:dyDescent="0.25">
      <c r="B5" s="11" t="s">
        <v>46</v>
      </c>
      <c r="C5" s="14" t="s">
        <v>215</v>
      </c>
      <c r="E5" s="37"/>
    </row>
    <row r="6" spans="2:5" ht="30" customHeight="1" x14ac:dyDescent="0.25">
      <c r="B6" s="11" t="s">
        <v>47</v>
      </c>
      <c r="C6" s="14" t="s">
        <v>211</v>
      </c>
    </row>
    <row r="7" spans="2:5" ht="30" customHeight="1" x14ac:dyDescent="0.25">
      <c r="B7" s="11" t="s">
        <v>48</v>
      </c>
      <c r="C7" s="14" t="s">
        <v>216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217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221</v>
      </c>
      <c r="B3" s="57"/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237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238</v>
      </c>
    </row>
    <row r="6" spans="1:4" ht="30" customHeight="1" x14ac:dyDescent="0.25">
      <c r="A6" s="5" t="s">
        <v>12</v>
      </c>
      <c r="B6" s="35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219</v>
      </c>
      <c r="B3" s="14" t="s">
        <v>220</v>
      </c>
      <c r="E3" t="s">
        <v>212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239</v>
      </c>
      <c r="E3" s="37"/>
    </row>
    <row r="4" spans="1:5" ht="30" customHeight="1" x14ac:dyDescent="0.25">
      <c r="A4" s="5" t="s">
        <v>39</v>
      </c>
      <c r="B4" s="58" t="s">
        <v>242</v>
      </c>
    </row>
    <row r="5" spans="1:5" ht="30" customHeight="1" x14ac:dyDescent="0.25">
      <c r="A5" s="5" t="s">
        <v>14</v>
      </c>
      <c r="B5" s="14" t="s">
        <v>211</v>
      </c>
    </row>
    <row r="6" spans="1:5" ht="30" customHeight="1" x14ac:dyDescent="0.25">
      <c r="A6" s="5" t="s">
        <v>37</v>
      </c>
      <c r="B6" s="14" t="s">
        <v>129</v>
      </c>
    </row>
    <row r="7" spans="1:5" ht="30" customHeight="1" x14ac:dyDescent="0.25">
      <c r="A7" s="5" t="s">
        <v>15</v>
      </c>
      <c r="B7" s="14" t="s">
        <v>130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213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224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225</v>
      </c>
      <c r="AX1" t="s">
        <v>226</v>
      </c>
      <c r="AY1" t="s">
        <v>192</v>
      </c>
      <c r="AZ1" t="s">
        <v>189</v>
      </c>
      <c r="BA1" t="s">
        <v>227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227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228</v>
      </c>
      <c r="CE1" t="s">
        <v>229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230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236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214</v>
      </c>
      <c r="BA2" t="s">
        <v>218</v>
      </c>
      <c r="BB2" t="s">
        <v>215</v>
      </c>
      <c r="BD2" t="s">
        <v>216</v>
      </c>
      <c r="BE2" t="s">
        <v>217</v>
      </c>
      <c r="BF2">
        <v>1</v>
      </c>
      <c r="BG2" t="s">
        <v>231</v>
      </c>
      <c r="BH2" t="s">
        <v>214</v>
      </c>
      <c r="BI2" t="s">
        <v>218</v>
      </c>
      <c r="BJ2" t="s">
        <v>215</v>
      </c>
      <c r="BL2" t="s">
        <v>216</v>
      </c>
      <c r="BM2" t="s">
        <v>217</v>
      </c>
      <c r="BN2">
        <v>1</v>
      </c>
      <c r="BO2" t="s">
        <v>231</v>
      </c>
      <c r="BP2" t="s">
        <v>215</v>
      </c>
      <c r="BQ2" t="s">
        <v>215</v>
      </c>
      <c r="BS2" t="s">
        <v>216</v>
      </c>
      <c r="BT2" t="s">
        <v>232</v>
      </c>
      <c r="BU2">
        <v>1</v>
      </c>
      <c r="BV2" t="s">
        <v>231</v>
      </c>
      <c r="BW2">
        <v>15</v>
      </c>
      <c r="BX2">
        <v>18</v>
      </c>
      <c r="BY2" t="s">
        <v>233</v>
      </c>
      <c r="BZ2" t="s">
        <v>234</v>
      </c>
      <c r="CA2" t="s">
        <v>129</v>
      </c>
      <c r="CB2" t="s">
        <v>235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237</v>
      </c>
      <c r="CI2" t="s">
        <v>238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222</v>
      </c>
      <c r="CT2" t="s">
        <v>239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236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214</v>
      </c>
      <c r="BA3" t="s">
        <v>218</v>
      </c>
      <c r="BB3" t="s">
        <v>215</v>
      </c>
      <c r="BD3" t="s">
        <v>216</v>
      </c>
      <c r="BE3" t="s">
        <v>217</v>
      </c>
      <c r="BF3">
        <v>1</v>
      </c>
      <c r="BG3" t="s">
        <v>231</v>
      </c>
      <c r="BH3" t="s">
        <v>214</v>
      </c>
      <c r="BI3" t="s">
        <v>218</v>
      </c>
      <c r="BJ3" t="s">
        <v>215</v>
      </c>
      <c r="BL3" t="s">
        <v>216</v>
      </c>
      <c r="BM3" t="s">
        <v>217</v>
      </c>
      <c r="BN3">
        <v>1</v>
      </c>
      <c r="BO3" t="s">
        <v>231</v>
      </c>
      <c r="BP3" t="s">
        <v>215</v>
      </c>
      <c r="BQ3" t="s">
        <v>215</v>
      </c>
      <c r="BS3" t="s">
        <v>216</v>
      </c>
      <c r="BT3" t="s">
        <v>232</v>
      </c>
      <c r="BU3">
        <v>1</v>
      </c>
      <c r="BV3" t="s">
        <v>231</v>
      </c>
      <c r="BW3">
        <v>15</v>
      </c>
      <c r="BX3">
        <v>18</v>
      </c>
      <c r="BY3" t="s">
        <v>233</v>
      </c>
      <c r="BZ3" t="s">
        <v>234</v>
      </c>
      <c r="CA3" t="s">
        <v>129</v>
      </c>
      <c r="CB3" t="s">
        <v>235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237</v>
      </c>
      <c r="CI3" t="s">
        <v>238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222</v>
      </c>
      <c r="CT3" t="s">
        <v>239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236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214</v>
      </c>
      <c r="BA4" t="s">
        <v>218</v>
      </c>
      <c r="BB4" t="s">
        <v>215</v>
      </c>
      <c r="BD4" t="s">
        <v>216</v>
      </c>
      <c r="BE4" t="s">
        <v>217</v>
      </c>
      <c r="BF4">
        <v>1</v>
      </c>
      <c r="BG4" t="s">
        <v>231</v>
      </c>
      <c r="BH4" t="s">
        <v>214</v>
      </c>
      <c r="BI4" t="s">
        <v>218</v>
      </c>
      <c r="BJ4" t="s">
        <v>215</v>
      </c>
      <c r="BL4" t="s">
        <v>216</v>
      </c>
      <c r="BM4" t="s">
        <v>217</v>
      </c>
      <c r="BN4">
        <v>1</v>
      </c>
      <c r="BO4" t="s">
        <v>231</v>
      </c>
      <c r="BP4" t="s">
        <v>215</v>
      </c>
      <c r="BQ4" t="s">
        <v>215</v>
      </c>
      <c r="BS4" t="s">
        <v>216</v>
      </c>
      <c r="BT4" t="s">
        <v>232</v>
      </c>
      <c r="BU4">
        <v>1</v>
      </c>
      <c r="BV4" t="s">
        <v>231</v>
      </c>
      <c r="BW4">
        <v>15</v>
      </c>
      <c r="BX4">
        <v>18</v>
      </c>
      <c r="BY4" t="s">
        <v>233</v>
      </c>
      <c r="BZ4" t="s">
        <v>234</v>
      </c>
      <c r="CA4" t="s">
        <v>129</v>
      </c>
      <c r="CB4" t="s">
        <v>235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237</v>
      </c>
      <c r="CI4" t="s">
        <v>238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222</v>
      </c>
      <c r="CT4" t="s">
        <v>239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tabSelected="1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243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244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240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223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30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30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241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245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244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246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247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>C16-(34.4764881*D16-4.325744048*D16^2+0.369475446*D16^3-0.01733631*D16^4+0.000339472*D16^5)</f>
        <v>59.965277777777779</v>
      </c>
      <c r="F16" s="76">
        <f t="shared" ref="F16:F26" si="0">(E16*60)/Volume</f>
        <v>27500</v>
      </c>
      <c r="G16" s="89">
        <v>0</v>
      </c>
      <c r="H16" s="77">
        <f t="shared" ref="H16:H26" si="1">G16*Volume/60</f>
        <v>0</v>
      </c>
      <c r="I16" s="78">
        <f t="shared" ref="I16:I26" si="2">G16^2*P0a+G16*P0b+P0c</f>
        <v>0</v>
      </c>
    </row>
    <row r="17" spans="2:9" x14ac:dyDescent="0.25">
      <c r="B17" s="74">
        <f>0.4*$F$8</f>
        <v>6.377346859382949</v>
      </c>
      <c r="C17" s="75">
        <f t="shared" ref="C17:C26" si="3">(2350/61.7)*B17*0.395</f>
        <v>95.944444444444443</v>
      </c>
      <c r="D17" s="68">
        <v>0</v>
      </c>
      <c r="E17" s="75">
        <f>C17-(34.4764881*D17-4.325744048*D17^2+0.369475446*D17^3-0.01733631*D17^4+0.000339472*D17^5)</f>
        <v>95.944444444444443</v>
      </c>
      <c r="F17" s="76">
        <f t="shared" si="0"/>
        <v>44000.000000000007</v>
      </c>
      <c r="G17" s="89">
        <v>0</v>
      </c>
      <c r="H17" s="77">
        <f t="shared" si="1"/>
        <v>0</v>
      </c>
      <c r="I17" s="78">
        <f t="shared" si="2"/>
        <v>0</v>
      </c>
    </row>
    <row r="18" spans="2:9" x14ac:dyDescent="0.25">
      <c r="B18" s="74">
        <f>0.5*$F$8</f>
        <v>7.9716835742286856</v>
      </c>
      <c r="C18" s="75">
        <f t="shared" si="3"/>
        <v>119.93055555555556</v>
      </c>
      <c r="D18" s="68">
        <v>0</v>
      </c>
      <c r="E18" s="75">
        <f>C18-(34.4764881*D18-4.325744048*D18^2+0.369475446*D18^3-0.01733631*D18^4+0.000339472*D18^5)</f>
        <v>119.93055555555556</v>
      </c>
      <c r="F18" s="76">
        <f t="shared" si="0"/>
        <v>55000</v>
      </c>
      <c r="G18" s="89">
        <v>0</v>
      </c>
      <c r="H18" s="77">
        <f t="shared" si="1"/>
        <v>0</v>
      </c>
      <c r="I18" s="78">
        <f t="shared" si="2"/>
        <v>0</v>
      </c>
    </row>
    <row r="19" spans="2:9" x14ac:dyDescent="0.25">
      <c r="B19" s="74">
        <f>0.6*$F$8</f>
        <v>9.566020289074423</v>
      </c>
      <c r="C19" s="75">
        <f t="shared" si="3"/>
        <v>143.91666666666666</v>
      </c>
      <c r="D19" s="68">
        <v>0</v>
      </c>
      <c r="E19" s="75">
        <f>C19-(34.4764881*D19-4.325744048*D19^2+0.369475446*D19^3-0.01733631*D19^4+0.000339472*D19^5)</f>
        <v>143.91666666666666</v>
      </c>
      <c r="F19" s="76">
        <f t="shared" si="0"/>
        <v>66000</v>
      </c>
      <c r="G19" s="89">
        <v>0</v>
      </c>
      <c r="H19" s="77">
        <f t="shared" si="1"/>
        <v>0</v>
      </c>
      <c r="I19" s="78">
        <f t="shared" si="2"/>
        <v>0</v>
      </c>
    </row>
    <row r="20" spans="2:9" x14ac:dyDescent="0.25">
      <c r="B20" s="74">
        <f>0.7*$F$8</f>
        <v>11.16035700392016</v>
      </c>
      <c r="C20" s="75">
        <f t="shared" si="3"/>
        <v>167.90277777777777</v>
      </c>
      <c r="D20" s="68">
        <v>0</v>
      </c>
      <c r="E20" s="75">
        <f>C20-(34.4764881*D20-4.325744048*D20^2+0.369475446*D20^3-0.01733631*D20^4+0.000339472*D20^5)</f>
        <v>167.90277777777777</v>
      </c>
      <c r="F20" s="76">
        <f t="shared" si="0"/>
        <v>77000</v>
      </c>
      <c r="G20" s="89">
        <v>0</v>
      </c>
      <c r="H20" s="77">
        <f t="shared" si="1"/>
        <v>0</v>
      </c>
      <c r="I20" s="78">
        <f t="shared" si="2"/>
        <v>0</v>
      </c>
    </row>
    <row r="21" spans="2:9" x14ac:dyDescent="0.25">
      <c r="B21" s="74">
        <f>0.75*$F$8</f>
        <v>11.957525361343029</v>
      </c>
      <c r="C21" s="75">
        <f t="shared" si="3"/>
        <v>179.89583333333331</v>
      </c>
      <c r="D21" s="68">
        <v>0</v>
      </c>
      <c r="E21" s="75">
        <f>C21-(34.4764881*D21-4.325744048*D21^2+0.369475446*D21^3-0.01733631*D21^4+0.000339472*D21^5)</f>
        <v>179.89583333333331</v>
      </c>
      <c r="F21" s="76">
        <f t="shared" si="0"/>
        <v>82499.999999999985</v>
      </c>
      <c r="G21" s="89">
        <v>0</v>
      </c>
      <c r="H21" s="77">
        <f t="shared" si="1"/>
        <v>0</v>
      </c>
      <c r="I21" s="78">
        <f t="shared" si="2"/>
        <v>0</v>
      </c>
    </row>
    <row r="22" spans="2:9" x14ac:dyDescent="0.25">
      <c r="B22" s="74">
        <f>0.8*$F$8</f>
        <v>12.754693718765898</v>
      </c>
      <c r="C22" s="75">
        <f t="shared" si="3"/>
        <v>191.88888888888889</v>
      </c>
      <c r="D22" s="68">
        <v>0</v>
      </c>
      <c r="E22" s="75">
        <f>C22-(34.4764881*D22-4.325744048*D22^2+0.369475446*D22^3-0.01733631*D22^4+0.000339472*D22^5)</f>
        <v>191.88888888888889</v>
      </c>
      <c r="F22" s="76">
        <f t="shared" si="0"/>
        <v>88000.000000000015</v>
      </c>
      <c r="G22" s="89">
        <v>0</v>
      </c>
      <c r="H22" s="77">
        <f t="shared" si="1"/>
        <v>0</v>
      </c>
      <c r="I22" s="78">
        <f t="shared" si="2"/>
        <v>0</v>
      </c>
    </row>
    <row r="23" spans="2:9" x14ac:dyDescent="0.25">
      <c r="B23" s="74">
        <f>0.85*$F$8</f>
        <v>13.551862076188765</v>
      </c>
      <c r="C23" s="75">
        <f t="shared" si="3"/>
        <v>203.88194444444443</v>
      </c>
      <c r="D23" s="68">
        <v>0</v>
      </c>
      <c r="E23" s="75">
        <f>C23-(34.4764881*D23-4.325744048*D23^2+0.369475446*D23^3-0.01733631*D23^4+0.000339472*D23^5)</f>
        <v>203.88194444444443</v>
      </c>
      <c r="F23" s="76">
        <f t="shared" si="0"/>
        <v>93500</v>
      </c>
      <c r="G23" s="89">
        <v>0</v>
      </c>
      <c r="H23" s="77">
        <f t="shared" si="1"/>
        <v>0</v>
      </c>
      <c r="I23" s="78">
        <f t="shared" si="2"/>
        <v>0</v>
      </c>
    </row>
    <row r="24" spans="2:9" x14ac:dyDescent="0.25">
      <c r="B24" s="74">
        <f>0.9*$F$8</f>
        <v>14.349030433611635</v>
      </c>
      <c r="C24" s="75">
        <f t="shared" si="3"/>
        <v>215.875</v>
      </c>
      <c r="D24" s="68">
        <v>0</v>
      </c>
      <c r="E24" s="75">
        <f>C24-(34.4764881*D24-4.325744048*D24^2+0.369475446*D24^3-0.01733631*D24^4+0.000339472*D24^5)</f>
        <v>215.875</v>
      </c>
      <c r="F24" s="76">
        <f t="shared" si="0"/>
        <v>99000</v>
      </c>
      <c r="G24" s="89">
        <v>0</v>
      </c>
      <c r="H24" s="77">
        <f t="shared" si="1"/>
        <v>0</v>
      </c>
      <c r="I24" s="78">
        <f t="shared" si="2"/>
        <v>0</v>
      </c>
    </row>
    <row r="25" spans="2:9" x14ac:dyDescent="0.25">
      <c r="B25" s="74">
        <f>0.95*$F$8</f>
        <v>15.146198791034502</v>
      </c>
      <c r="C25" s="75">
        <f t="shared" si="3"/>
        <v>227.86805555555551</v>
      </c>
      <c r="D25" s="68">
        <v>0</v>
      </c>
      <c r="E25" s="75">
        <f>C25-(34.4764881*D25-4.325744048*D25^2+0.369475446*D25^3-0.01733631*D25^4+0.000339472*D25^5)</f>
        <v>227.86805555555551</v>
      </c>
      <c r="F25" s="76">
        <f t="shared" si="0"/>
        <v>104499.99999999999</v>
      </c>
      <c r="G25" s="89">
        <v>0</v>
      </c>
      <c r="H25" s="77">
        <f t="shared" si="1"/>
        <v>0</v>
      </c>
      <c r="I25" s="78">
        <f t="shared" si="2"/>
        <v>0</v>
      </c>
    </row>
    <row r="26" spans="2:9" x14ac:dyDescent="0.25">
      <c r="B26" s="79">
        <f>1*$F$8</f>
        <v>15.943367148457371</v>
      </c>
      <c r="C26" s="80">
        <f t="shared" si="3"/>
        <v>239.86111111111111</v>
      </c>
      <c r="D26" s="81">
        <v>0</v>
      </c>
      <c r="E26" s="80">
        <f>C26-(34.4764881*D26-4.325744048*D26^2+0.369475446*D26^3-0.01733631*D26^4+0.000339472*D26^5)</f>
        <v>239.86111111111111</v>
      </c>
      <c r="F26" s="82">
        <f t="shared" si="0"/>
        <v>110000</v>
      </c>
      <c r="G26" s="90">
        <v>0</v>
      </c>
      <c r="H26" s="83">
        <f t="shared" si="1"/>
        <v>0</v>
      </c>
      <c r="I26" s="84">
        <f t="shared" si="2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>C33-(34.4764881*D33-4.325744048*D33^2+0.369475446*D33^3-0.01733631*D33^4+0.000339472*D33^5)</f>
        <v>59.965277777777779</v>
      </c>
      <c r="F33" s="76">
        <f t="shared" ref="F33:F43" si="4">(E33*60)/Volume</f>
        <v>27500</v>
      </c>
      <c r="G33" s="68">
        <v>0</v>
      </c>
      <c r="H33" s="77">
        <f t="shared" ref="H33:H43" si="5">G33*Volume/60</f>
        <v>0</v>
      </c>
      <c r="I33" s="78">
        <f t="shared" ref="I33:I43" si="6">G33^2*P1a+G33*P1b+P1c</f>
        <v>0</v>
      </c>
    </row>
    <row r="34" spans="2:9" x14ac:dyDescent="0.25">
      <c r="B34" s="74">
        <f>0.4*$F$8</f>
        <v>6.377346859382949</v>
      </c>
      <c r="C34" s="75">
        <f t="shared" ref="C34:C42" si="7">(2350/61.7)*B34*0.395</f>
        <v>95.944444444444443</v>
      </c>
      <c r="D34" s="68">
        <v>0</v>
      </c>
      <c r="E34" s="75">
        <f>C34-(34.4764881*D34-4.325744048*D34^2+0.369475446*D34^3-0.01733631*D34^4+0.000339472*D34^5)</f>
        <v>95.944444444444443</v>
      </c>
      <c r="F34" s="76">
        <f t="shared" si="4"/>
        <v>44000.000000000007</v>
      </c>
      <c r="G34" s="68">
        <v>0</v>
      </c>
      <c r="H34" s="77">
        <f t="shared" si="5"/>
        <v>0</v>
      </c>
      <c r="I34" s="78">
        <f t="shared" si="6"/>
        <v>0</v>
      </c>
    </row>
    <row r="35" spans="2:9" x14ac:dyDescent="0.25">
      <c r="B35" s="74">
        <f>0.5*$F$8</f>
        <v>7.9716835742286856</v>
      </c>
      <c r="C35" s="75">
        <f t="shared" si="7"/>
        <v>119.93055555555556</v>
      </c>
      <c r="D35" s="68">
        <v>0</v>
      </c>
      <c r="E35" s="75">
        <f>C35-(34.4764881*D35-4.325744048*D35^2+0.369475446*D35^3-0.01733631*D35^4+0.000339472*D35^5)</f>
        <v>119.93055555555556</v>
      </c>
      <c r="F35" s="76">
        <f t="shared" si="4"/>
        <v>55000</v>
      </c>
      <c r="G35" s="68">
        <v>0</v>
      </c>
      <c r="H35" s="77">
        <f t="shared" si="5"/>
        <v>0</v>
      </c>
      <c r="I35" s="78">
        <f t="shared" si="6"/>
        <v>0</v>
      </c>
    </row>
    <row r="36" spans="2:9" x14ac:dyDescent="0.25">
      <c r="B36" s="74">
        <f>0.6*$F$8</f>
        <v>9.566020289074423</v>
      </c>
      <c r="C36" s="75">
        <f t="shared" si="7"/>
        <v>143.91666666666666</v>
      </c>
      <c r="D36" s="68">
        <v>0</v>
      </c>
      <c r="E36" s="75">
        <f>C36-(34.4764881*D36-4.325744048*D36^2+0.369475446*D36^3-0.01733631*D36^4+0.000339472*D36^5)</f>
        <v>143.91666666666666</v>
      </c>
      <c r="F36" s="76">
        <f t="shared" si="4"/>
        <v>66000</v>
      </c>
      <c r="G36" s="68">
        <v>0</v>
      </c>
      <c r="H36" s="77">
        <f t="shared" si="5"/>
        <v>0</v>
      </c>
      <c r="I36" s="78">
        <f t="shared" si="6"/>
        <v>0</v>
      </c>
    </row>
    <row r="37" spans="2:9" x14ac:dyDescent="0.25">
      <c r="B37" s="74">
        <f>0.7*$F$8</f>
        <v>11.16035700392016</v>
      </c>
      <c r="C37" s="75">
        <f t="shared" si="7"/>
        <v>167.90277777777777</v>
      </c>
      <c r="D37" s="68">
        <v>0</v>
      </c>
      <c r="E37" s="75">
        <f>C37-(34.4764881*D37-4.325744048*D37^2+0.369475446*D37^3-0.01733631*D37^4+0.000339472*D37^5)</f>
        <v>167.90277777777777</v>
      </c>
      <c r="F37" s="76">
        <f t="shared" si="4"/>
        <v>77000</v>
      </c>
      <c r="G37" s="68">
        <v>0</v>
      </c>
      <c r="H37" s="77">
        <f t="shared" si="5"/>
        <v>0</v>
      </c>
      <c r="I37" s="78">
        <f t="shared" si="6"/>
        <v>0</v>
      </c>
    </row>
    <row r="38" spans="2:9" x14ac:dyDescent="0.25">
      <c r="B38" s="74">
        <f>0.75*$F$8</f>
        <v>11.957525361343029</v>
      </c>
      <c r="C38" s="75">
        <f t="shared" si="7"/>
        <v>179.89583333333331</v>
      </c>
      <c r="D38" s="68">
        <v>0</v>
      </c>
      <c r="E38" s="75">
        <f>C38-(34.4764881*D38-4.325744048*D38^2+0.369475446*D38^3-0.01733631*D38^4+0.000339472*D38^5)</f>
        <v>179.89583333333331</v>
      </c>
      <c r="F38" s="76">
        <f t="shared" si="4"/>
        <v>82499.999999999985</v>
      </c>
      <c r="G38" s="68">
        <v>0</v>
      </c>
      <c r="H38" s="77">
        <f t="shared" si="5"/>
        <v>0</v>
      </c>
      <c r="I38" s="78">
        <f t="shared" si="6"/>
        <v>0</v>
      </c>
    </row>
    <row r="39" spans="2:9" x14ac:dyDescent="0.25">
      <c r="B39" s="74">
        <f>0.8*$F$8</f>
        <v>12.754693718765898</v>
      </c>
      <c r="C39" s="75">
        <f t="shared" si="7"/>
        <v>191.88888888888889</v>
      </c>
      <c r="D39" s="68">
        <v>0</v>
      </c>
      <c r="E39" s="75">
        <f>C39-(34.4764881*D39-4.325744048*D39^2+0.369475446*D39^3-0.01733631*D39^4+0.000339472*D39^5)</f>
        <v>191.88888888888889</v>
      </c>
      <c r="F39" s="76">
        <f t="shared" si="4"/>
        <v>88000.000000000015</v>
      </c>
      <c r="G39" s="68">
        <v>0</v>
      </c>
      <c r="H39" s="77">
        <f t="shared" si="5"/>
        <v>0</v>
      </c>
      <c r="I39" s="78">
        <f t="shared" si="6"/>
        <v>0</v>
      </c>
    </row>
    <row r="40" spans="2:9" x14ac:dyDescent="0.25">
      <c r="B40" s="74">
        <f>0.85*$F$8</f>
        <v>13.551862076188765</v>
      </c>
      <c r="C40" s="75">
        <f t="shared" si="7"/>
        <v>203.88194444444443</v>
      </c>
      <c r="D40" s="68">
        <v>0</v>
      </c>
      <c r="E40" s="75">
        <f>C40-(34.4764881*D40-4.325744048*D40^2+0.369475446*D40^3-0.01733631*D40^4+0.000339472*D40^5)</f>
        <v>203.88194444444443</v>
      </c>
      <c r="F40" s="76">
        <f t="shared" si="4"/>
        <v>93500</v>
      </c>
      <c r="G40" s="68">
        <v>0</v>
      </c>
      <c r="H40" s="77">
        <f t="shared" si="5"/>
        <v>0</v>
      </c>
      <c r="I40" s="78">
        <f t="shared" si="6"/>
        <v>0</v>
      </c>
    </row>
    <row r="41" spans="2:9" x14ac:dyDescent="0.25">
      <c r="B41" s="74">
        <f>0.9*$F$8</f>
        <v>14.349030433611635</v>
      </c>
      <c r="C41" s="75">
        <f t="shared" si="7"/>
        <v>215.875</v>
      </c>
      <c r="D41" s="68">
        <v>0</v>
      </c>
      <c r="E41" s="75">
        <f>C41-(34.4764881*D41-4.325744048*D41^2+0.369475446*D41^3-0.01733631*D41^4+0.000339472*D41^5)</f>
        <v>215.875</v>
      </c>
      <c r="F41" s="76">
        <f t="shared" si="4"/>
        <v>99000</v>
      </c>
      <c r="G41" s="68">
        <v>0</v>
      </c>
      <c r="H41" s="77">
        <f t="shared" si="5"/>
        <v>0</v>
      </c>
      <c r="I41" s="78">
        <f t="shared" si="6"/>
        <v>0</v>
      </c>
    </row>
    <row r="42" spans="2:9" x14ac:dyDescent="0.25">
      <c r="B42" s="74">
        <f>0.95*$F$8</f>
        <v>15.146198791034502</v>
      </c>
      <c r="C42" s="75">
        <f t="shared" si="7"/>
        <v>227.86805555555551</v>
      </c>
      <c r="D42" s="68">
        <v>0</v>
      </c>
      <c r="E42" s="75">
        <f>C42-(34.4764881*D42-4.325744048*D42^2+0.369475446*D42^3-0.01733631*D42^4+0.000339472*D42^5)</f>
        <v>227.86805555555551</v>
      </c>
      <c r="F42" s="76">
        <f t="shared" si="4"/>
        <v>104499.99999999999</v>
      </c>
      <c r="G42" s="68">
        <v>0</v>
      </c>
      <c r="H42" s="77">
        <f t="shared" si="5"/>
        <v>0</v>
      </c>
      <c r="I42" s="78">
        <f t="shared" si="6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>C43-(34.4764881*D43-4.325744048*D43^2+0.369475446*D43^3-0.01733631*D43^4+0.000339472*D43^5)</f>
        <v>239.86111111111111</v>
      </c>
      <c r="F43" s="82">
        <f t="shared" si="4"/>
        <v>110000</v>
      </c>
      <c r="G43" s="81">
        <v>0</v>
      </c>
      <c r="H43" s="83">
        <f t="shared" si="5"/>
        <v>0</v>
      </c>
      <c r="I43" s="84">
        <f t="shared" si="6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>C50-(34.4764881*D50-4.325744048*D50^2+0.369475446*D50^3-0.01733631*D50^4+0.000339472*D50^5)</f>
        <v>59.965277777777779</v>
      </c>
      <c r="F50" s="75">
        <f t="shared" ref="F50:F60" si="8">(E50*60)/Volume</f>
        <v>27500</v>
      </c>
      <c r="G50" s="68">
        <v>0</v>
      </c>
      <c r="H50" s="77">
        <f t="shared" ref="H50:H60" si="9">G50*Volume/60</f>
        <v>0</v>
      </c>
      <c r="I50" s="78">
        <f t="shared" ref="I50:I60" si="10">G50^2*P2a+G50*P2b+P2c</f>
        <v>0</v>
      </c>
    </row>
    <row r="51" spans="2:9" x14ac:dyDescent="0.25">
      <c r="B51" s="74">
        <f>0.4*$F$8</f>
        <v>6.377346859382949</v>
      </c>
      <c r="C51" s="75">
        <f t="shared" ref="C51:C60" si="11">(2350/61.7)*B51*0.395</f>
        <v>95.944444444444443</v>
      </c>
      <c r="D51" s="68">
        <v>0</v>
      </c>
      <c r="E51" s="75">
        <f>C51-(34.4764881*D51-4.325744048*D51^2+0.369475446*D51^3-0.01733631*D51^4+0.000339472*D51^5)</f>
        <v>95.944444444444443</v>
      </c>
      <c r="F51" s="75">
        <f t="shared" si="8"/>
        <v>44000.000000000007</v>
      </c>
      <c r="G51" s="68">
        <v>0</v>
      </c>
      <c r="H51" s="77">
        <f t="shared" si="9"/>
        <v>0</v>
      </c>
      <c r="I51" s="78">
        <f t="shared" si="10"/>
        <v>0</v>
      </c>
    </row>
    <row r="52" spans="2:9" x14ac:dyDescent="0.25">
      <c r="B52" s="74">
        <f>0.5*$F$8</f>
        <v>7.9716835742286856</v>
      </c>
      <c r="C52" s="75">
        <f t="shared" si="11"/>
        <v>119.93055555555556</v>
      </c>
      <c r="D52" s="68">
        <v>0</v>
      </c>
      <c r="E52" s="75">
        <f>C52-(34.4764881*D52-4.325744048*D52^2+0.369475446*D52^3-0.01733631*D52^4+0.000339472*D52^5)</f>
        <v>119.93055555555556</v>
      </c>
      <c r="F52" s="75">
        <f t="shared" si="8"/>
        <v>55000</v>
      </c>
      <c r="G52" s="68">
        <v>0</v>
      </c>
      <c r="H52" s="77">
        <f t="shared" si="9"/>
        <v>0</v>
      </c>
      <c r="I52" s="78">
        <f t="shared" si="10"/>
        <v>0</v>
      </c>
    </row>
    <row r="53" spans="2:9" x14ac:dyDescent="0.25">
      <c r="B53" s="74">
        <f>0.6*$F$8</f>
        <v>9.566020289074423</v>
      </c>
      <c r="C53" s="75">
        <f t="shared" si="11"/>
        <v>143.91666666666666</v>
      </c>
      <c r="D53" s="68">
        <v>0</v>
      </c>
      <c r="E53" s="75">
        <f>C53-(34.4764881*D53-4.325744048*D53^2+0.369475446*D53^3-0.01733631*D53^4+0.000339472*D53^5)</f>
        <v>143.91666666666666</v>
      </c>
      <c r="F53" s="75">
        <f t="shared" si="8"/>
        <v>66000</v>
      </c>
      <c r="G53" s="68">
        <v>0</v>
      </c>
      <c r="H53" s="77">
        <f t="shared" si="9"/>
        <v>0</v>
      </c>
      <c r="I53" s="78">
        <f t="shared" si="10"/>
        <v>0</v>
      </c>
    </row>
    <row r="54" spans="2:9" x14ac:dyDescent="0.25">
      <c r="B54" s="74">
        <f>0.7*$F$8</f>
        <v>11.16035700392016</v>
      </c>
      <c r="C54" s="75">
        <f t="shared" si="11"/>
        <v>167.90277777777777</v>
      </c>
      <c r="D54" s="68">
        <v>0</v>
      </c>
      <c r="E54" s="75">
        <f>C54-(34.4764881*D54-4.325744048*D54^2+0.369475446*D54^3-0.01733631*D54^4+0.000339472*D54^5)</f>
        <v>167.90277777777777</v>
      </c>
      <c r="F54" s="75">
        <f t="shared" si="8"/>
        <v>77000</v>
      </c>
      <c r="G54" s="68">
        <v>0</v>
      </c>
      <c r="H54" s="77">
        <f t="shared" si="9"/>
        <v>0</v>
      </c>
      <c r="I54" s="78">
        <f t="shared" si="10"/>
        <v>0</v>
      </c>
    </row>
    <row r="55" spans="2:9" x14ac:dyDescent="0.25">
      <c r="B55" s="74">
        <f>0.75*$F$8</f>
        <v>11.957525361343029</v>
      </c>
      <c r="C55" s="75">
        <f t="shared" si="11"/>
        <v>179.89583333333331</v>
      </c>
      <c r="D55" s="68">
        <v>0</v>
      </c>
      <c r="E55" s="75">
        <f>C55-(34.4764881*D55-4.325744048*D55^2+0.369475446*D55^3-0.01733631*D55^4+0.000339472*D55^5)</f>
        <v>179.89583333333331</v>
      </c>
      <c r="F55" s="75">
        <f t="shared" si="8"/>
        <v>82499.999999999985</v>
      </c>
      <c r="G55" s="68">
        <v>0</v>
      </c>
      <c r="H55" s="77">
        <f t="shared" si="9"/>
        <v>0</v>
      </c>
      <c r="I55" s="78">
        <f t="shared" si="10"/>
        <v>0</v>
      </c>
    </row>
    <row r="56" spans="2:9" x14ac:dyDescent="0.25">
      <c r="B56" s="74">
        <f>0.8*$F$8</f>
        <v>12.754693718765898</v>
      </c>
      <c r="C56" s="75">
        <f t="shared" si="11"/>
        <v>191.88888888888889</v>
      </c>
      <c r="D56" s="68">
        <v>0</v>
      </c>
      <c r="E56" s="75">
        <f>C56-(34.4764881*D56-4.325744048*D56^2+0.369475446*D56^3-0.01733631*D56^4+0.000339472*D56^5)</f>
        <v>191.88888888888889</v>
      </c>
      <c r="F56" s="75">
        <f t="shared" si="8"/>
        <v>88000.000000000015</v>
      </c>
      <c r="G56" s="68">
        <v>0</v>
      </c>
      <c r="H56" s="77">
        <f t="shared" si="9"/>
        <v>0</v>
      </c>
      <c r="I56" s="78">
        <f t="shared" si="10"/>
        <v>0</v>
      </c>
    </row>
    <row r="57" spans="2:9" x14ac:dyDescent="0.25">
      <c r="B57" s="74">
        <f>0.85*$F$8</f>
        <v>13.551862076188765</v>
      </c>
      <c r="C57" s="75">
        <f t="shared" si="11"/>
        <v>203.88194444444443</v>
      </c>
      <c r="D57" s="68">
        <v>0</v>
      </c>
      <c r="E57" s="75">
        <f>C57-(34.4764881*D57-4.325744048*D57^2+0.369475446*D57^3-0.01733631*D57^4+0.000339472*D57^5)</f>
        <v>203.88194444444443</v>
      </c>
      <c r="F57" s="75">
        <f t="shared" si="8"/>
        <v>93500</v>
      </c>
      <c r="G57" s="68">
        <v>0</v>
      </c>
      <c r="H57" s="77">
        <f t="shared" si="9"/>
        <v>0</v>
      </c>
      <c r="I57" s="78">
        <f t="shared" si="10"/>
        <v>0</v>
      </c>
    </row>
    <row r="58" spans="2:9" x14ac:dyDescent="0.25">
      <c r="B58" s="74">
        <f>0.9*$F$8</f>
        <v>14.349030433611635</v>
      </c>
      <c r="C58" s="75">
        <f t="shared" si="11"/>
        <v>215.875</v>
      </c>
      <c r="D58" s="68">
        <v>0</v>
      </c>
      <c r="E58" s="75">
        <f>C58-(34.4764881*D58-4.325744048*D58^2+0.369475446*D58^3-0.01733631*D58^4+0.000339472*D58^5)</f>
        <v>215.875</v>
      </c>
      <c r="F58" s="75">
        <f t="shared" si="8"/>
        <v>99000</v>
      </c>
      <c r="G58" s="68">
        <v>0</v>
      </c>
      <c r="H58" s="77">
        <f t="shared" si="9"/>
        <v>0</v>
      </c>
      <c r="I58" s="78">
        <f t="shared" si="10"/>
        <v>0</v>
      </c>
    </row>
    <row r="59" spans="2:9" x14ac:dyDescent="0.25">
      <c r="B59" s="74">
        <f>0.95*$F$8</f>
        <v>15.146198791034502</v>
      </c>
      <c r="C59" s="75">
        <f t="shared" si="11"/>
        <v>227.86805555555551</v>
      </c>
      <c r="D59" s="68">
        <v>0</v>
      </c>
      <c r="E59" s="75">
        <f>C59-(34.4764881*D59-4.325744048*D59^2+0.369475446*D59^3-0.01733631*D59^4+0.000339472*D59^5)</f>
        <v>227.86805555555551</v>
      </c>
      <c r="F59" s="75">
        <f t="shared" si="8"/>
        <v>104499.99999999999</v>
      </c>
      <c r="G59" s="68">
        <v>0</v>
      </c>
      <c r="H59" s="77">
        <f t="shared" si="9"/>
        <v>0</v>
      </c>
      <c r="I59" s="78">
        <f t="shared" si="10"/>
        <v>0</v>
      </c>
    </row>
    <row r="60" spans="2:9" x14ac:dyDescent="0.25">
      <c r="B60" s="79">
        <f>1*$F$8</f>
        <v>15.943367148457371</v>
      </c>
      <c r="C60" s="80">
        <f t="shared" si="11"/>
        <v>239.86111111111111</v>
      </c>
      <c r="D60" s="81">
        <v>0</v>
      </c>
      <c r="E60" s="80">
        <f>C60-(34.4764881*D60-4.325744048*D60^2+0.369475446*D60^3-0.01733631*D60^4+0.000339472*D60^5)</f>
        <v>239.86111111111111</v>
      </c>
      <c r="F60" s="80">
        <f t="shared" si="8"/>
        <v>110000</v>
      </c>
      <c r="G60" s="81">
        <v>0</v>
      </c>
      <c r="H60" s="83">
        <f t="shared" si="9"/>
        <v>0</v>
      </c>
      <c r="I60" s="84">
        <f t="shared" si="10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2019-05-12T20:05:17Z</dcterms:modified>
</cp:coreProperties>
</file>