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0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32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state="hidden" r:id="rId9"/>
    <sheet name="Quality" sheetId="18" state="hidden" r:id="rId10"/>
    <sheet name="QAProcess" sheetId="19" state="hidden" r:id="rId11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<sst xmlns="http://schemas.openxmlformats.org/spreadsheetml/2006/main" count="285" uniqueCount="166">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</sst>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5" Type="http://schemas.openxmlformats.org/officeDocument/2006/relationships/image" Target="../media/image16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14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7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50.emf"/><Relationship Id="rId7" Type="http://schemas.openxmlformats.org/officeDocument/2006/relationships/image" Target="../media/image54.emf"/><Relationship Id="rId12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53.emf"/><Relationship Id="rId11" Type="http://schemas.openxmlformats.org/officeDocument/2006/relationships/image" Target="../media/image58.emf"/><Relationship Id="rId5" Type="http://schemas.openxmlformats.org/officeDocument/2006/relationships/image" Target="../media/image52.emf"/><Relationship Id="rId10" Type="http://schemas.openxmlformats.org/officeDocument/2006/relationships/image" Target="../media/image57.emf"/><Relationship Id="rId4" Type="http://schemas.openxmlformats.org/officeDocument/2006/relationships/image" Target="../media/image51.emf"/><Relationship Id="rId9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67.emf"/><Relationship Id="rId7" Type="http://schemas.openxmlformats.org/officeDocument/2006/relationships/image" Target="../media/image63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64.emf"/><Relationship Id="rId11" Type="http://schemas.openxmlformats.org/officeDocument/2006/relationships/image" Target="../media/image59.emf"/><Relationship Id="rId5" Type="http://schemas.openxmlformats.org/officeDocument/2006/relationships/image" Target="../media/image65.emf"/><Relationship Id="rId10" Type="http://schemas.openxmlformats.org/officeDocument/2006/relationships/image" Target="../media/image60.emf"/><Relationship Id="rId4" Type="http://schemas.openxmlformats.org/officeDocument/2006/relationships/image" Target="../media/image66.emf"/><Relationship Id="rId9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31750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12700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146050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165100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31750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1695450</xdr:colOff>
          <xdr:row>2</xdr:row>
          <xdr:rowOff>190500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1898650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2927350</xdr:colOff>
          <xdr:row>10</xdr:row>
          <xdr:rowOff>304800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323850</xdr:rowOff>
        </xdr:from>
        <xdr:to>
          <xdr:col>5</xdr:col>
          <xdr:colOff>1390650</xdr:colOff>
          <xdr:row>3</xdr:row>
          <xdr:rowOff>234950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2</xdr:col>
          <xdr:colOff>50800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190500</xdr:rowOff>
        </xdr:from>
        <xdr:to>
          <xdr:col>6</xdr:col>
          <xdr:colOff>165100</xdr:colOff>
          <xdr:row>3</xdr:row>
          <xdr:rowOff>101600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298450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</xdr:row>
          <xdr:rowOff>247650</xdr:rowOff>
        </xdr:from>
        <xdr:to>
          <xdr:col>4</xdr:col>
          <xdr:colOff>1600200</xdr:colOff>
          <xdr:row>3</xdr:row>
          <xdr:rowOff>158750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133350</xdr:rowOff>
        </xdr:from>
        <xdr:to>
          <xdr:col>6</xdr:col>
          <xdr:colOff>146050</xdr:colOff>
          <xdr:row>3</xdr:row>
          <xdr:rowOff>44450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63500</xdr:colOff>
          <xdr:row>3</xdr:row>
          <xdr:rowOff>101600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158750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139700</xdr:colOff>
          <xdr:row>3</xdr:row>
          <xdr:rowOff>63500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81</xdr:row>
          <xdr:rowOff>184150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241300</xdr:colOff>
          <xdr:row>8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241300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241300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241300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241300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241300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241300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241300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82550</xdr:rowOff>
        </xdr:from>
        <xdr:to>
          <xdr:col>12</xdr:col>
          <xdr:colOff>165100</xdr:colOff>
          <xdr:row>6</xdr:row>
          <xdr:rowOff>6350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31750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12700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7</xdr:col>
          <xdr:colOff>38100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7</xdr:col>
          <xdr:colOff>38100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342900</xdr:colOff>
          <xdr:row>7</xdr:row>
          <xdr:rowOff>50800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558800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1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2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7.emf"/><Relationship Id="rId4" Type="http://schemas.openxmlformats.org/officeDocument/2006/relationships/control" Target="../activeX/activeX38.xml"/><Relationship Id="rId9" Type="http://schemas.openxmlformats.org/officeDocument/2006/relationships/image" Target="../media/image39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12" Type="http://schemas.openxmlformats.org/officeDocument/2006/relationships/control" Target="../activeX/activeX45.xml"/><Relationship Id="rId17" Type="http://schemas.openxmlformats.org/officeDocument/2006/relationships/image" Target="../media/image46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2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2.emf"/><Relationship Id="rId7" Type="http://schemas.openxmlformats.org/officeDocument/2006/relationships/image" Target="../media/image48.emf"/><Relationship Id="rId12" Type="http://schemas.openxmlformats.org/officeDocument/2006/relationships/control" Target="../activeX/activeX53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33" Type="http://schemas.openxmlformats.org/officeDocument/2006/relationships/image" Target="../media/image5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2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5" Type="http://schemas.openxmlformats.org/officeDocument/2006/relationships/image" Target="../media/image47.emf"/><Relationship Id="rId15" Type="http://schemas.openxmlformats.org/officeDocument/2006/relationships/control" Target="../activeX/activeX56.xml"/><Relationship Id="rId23" Type="http://schemas.openxmlformats.org/officeDocument/2006/relationships/image" Target="../media/image53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1.xml"/><Relationship Id="rId19" Type="http://schemas.openxmlformats.org/officeDocument/2006/relationships/image" Target="../media/image51.emf"/><Relationship Id="rId31" Type="http://schemas.openxmlformats.org/officeDocument/2006/relationships/image" Target="../media/image57.emf"/><Relationship Id="rId4" Type="http://schemas.openxmlformats.org/officeDocument/2006/relationships/control" Target="../activeX/activeX48.xml"/><Relationship Id="rId9" Type="http://schemas.openxmlformats.org/officeDocument/2006/relationships/image" Target="../media/image49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5.emf"/><Relationship Id="rId30" Type="http://schemas.openxmlformats.org/officeDocument/2006/relationships/control" Target="../activeX/activeX6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63.emf"/><Relationship Id="rId18" Type="http://schemas.openxmlformats.org/officeDocument/2006/relationships/control" Target="../activeX/activeX73.xml"/><Relationship Id="rId26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67.emf"/><Relationship Id="rId7" Type="http://schemas.openxmlformats.org/officeDocument/2006/relationships/image" Target="../media/image60.emf"/><Relationship Id="rId12" Type="http://schemas.openxmlformats.org/officeDocument/2006/relationships/control" Target="../activeX/activeX70.xml"/><Relationship Id="rId17" Type="http://schemas.openxmlformats.org/officeDocument/2006/relationships/image" Target="../media/image65.emf"/><Relationship Id="rId25" Type="http://schemas.openxmlformats.org/officeDocument/2006/relationships/image" Target="../media/image69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2.xml"/><Relationship Id="rId20" Type="http://schemas.openxmlformats.org/officeDocument/2006/relationships/control" Target="../activeX/activeX7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7.xml"/><Relationship Id="rId11" Type="http://schemas.openxmlformats.org/officeDocument/2006/relationships/image" Target="../media/image62.emf"/><Relationship Id="rId24" Type="http://schemas.openxmlformats.org/officeDocument/2006/relationships/control" Target="../activeX/activeX76.xml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23" Type="http://schemas.openxmlformats.org/officeDocument/2006/relationships/image" Target="../media/image68.emf"/><Relationship Id="rId28" Type="http://schemas.openxmlformats.org/officeDocument/2006/relationships/control" Target="../activeX/activeX79.xml"/><Relationship Id="rId10" Type="http://schemas.openxmlformats.org/officeDocument/2006/relationships/control" Target="../activeX/activeX69.xml"/><Relationship Id="rId19" Type="http://schemas.openxmlformats.org/officeDocument/2006/relationships/image" Target="../media/image66.emf"/><Relationship Id="rId4" Type="http://schemas.openxmlformats.org/officeDocument/2006/relationships/control" Target="../activeX/activeX66.xml"/><Relationship Id="rId9" Type="http://schemas.openxmlformats.org/officeDocument/2006/relationships/image" Target="../media/image61.emf"/><Relationship Id="rId14" Type="http://schemas.openxmlformats.org/officeDocument/2006/relationships/control" Target="../activeX/activeX71.xml"/><Relationship Id="rId22" Type="http://schemas.openxmlformats.org/officeDocument/2006/relationships/control" Target="../activeX/activeX75.xml"/><Relationship Id="rId27" Type="http://schemas.openxmlformats.org/officeDocument/2006/relationships/control" Target="../activeX/activeX7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1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workbookViewId="0">
      <selection activeCell="D21" sqref="D21"/>
    </sheetView>
  </sheetViews>
  <sheetFormatPr defaultRowHeight="14.5" x14ac:dyDescent="0.35"/>
  <cols>
    <col min="2" max="2" width="4.1796875" customWidth="1"/>
  </cols>
  <sheetData>
    <row r="3" spans="2:11" x14ac:dyDescent="0.3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3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3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3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3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3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3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3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3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3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3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3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22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/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/>
    </row>
    <row r="4" spans="1:3" ht="30" customHeight="1" x14ac:dyDescent="0.35">
      <c r="B4" s="20" t="s">
        <v>93</v>
      </c>
      <c r="C4" s="24"/>
    </row>
    <row r="5" spans="1:3" ht="30" customHeight="1" x14ac:dyDescent="0.35">
      <c r="B5" s="20" t="s">
        <v>94</v>
      </c>
      <c r="C5" s="24"/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/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/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0</xdr:colOff>
                <xdr:row>2</xdr:row>
                <xdr:rowOff>323850</xdr:rowOff>
              </from>
              <to>
                <xdr:col>5</xdr:col>
                <xdr:colOff>1390650</xdr:colOff>
                <xdr:row>3</xdr:row>
                <xdr:rowOff>234950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r:id="rId1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/>
    </row>
    <row r="5" spans="1:2" ht="30" customHeight="1" x14ac:dyDescent="0.35">
      <c r="A5" s="7" t="s">
        <v>71</v>
      </c>
      <c r="B5" s="24"/>
    </row>
    <row r="6" spans="1:2" ht="30" customHeight="1" x14ac:dyDescent="0.35">
      <c r="A6" s="7" t="s">
        <v>6</v>
      </c>
      <c r="B6" s="24"/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/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190500</xdr:rowOff>
              </from>
              <to>
                <xdr:col>6</xdr:col>
                <xdr:colOff>165100</xdr:colOff>
                <xdr:row>3</xdr:row>
                <xdr:rowOff>101600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6" sqref="E6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5429687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/>
    </row>
    <row r="5" spans="1:8" ht="30" customHeight="1" x14ac:dyDescent="0.35">
      <c r="A5" s="7" t="s">
        <v>11</v>
      </c>
      <c r="B5" s="24"/>
    </row>
    <row r="6" spans="1:8" ht="30" customHeight="1" x14ac:dyDescent="0.35">
      <c r="A6" s="7" t="s">
        <v>12</v>
      </c>
      <c r="B6" s="24"/>
    </row>
    <row r="7" spans="1:8" ht="30" customHeight="1" x14ac:dyDescent="0.35">
      <c r="A7" s="7" t="s">
        <v>6</v>
      </c>
      <c r="B7" s="24"/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/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/>
    </row>
    <row r="12" spans="1:8" ht="30" customHeight="1" x14ac:dyDescent="0.35">
      <c r="A12" s="7" t="s">
        <v>87</v>
      </c>
      <c r="B12" s="29"/>
    </row>
    <row r="13" spans="1:8" ht="30" customHeight="1" x14ac:dyDescent="0.35">
      <c r="A13" s="7" t="s">
        <v>88</v>
      </c>
      <c r="B13" s="24"/>
    </row>
    <row r="14" spans="1:8" ht="30" customHeight="1" x14ac:dyDescent="0.35">
      <c r="A14" s="7" t="s">
        <v>68</v>
      </c>
      <c r="B14" s="24"/>
    </row>
  </sheetData>
  <sheetProtection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r:id="rId5">
            <anchor moveWithCells="1">
              <from>
                <xdr:col>4</xdr:col>
                <xdr:colOff>209550</xdr:colOff>
                <xdr:row>2</xdr:row>
                <xdr:rowOff>247650</xdr:rowOff>
              </from>
              <to>
                <xdr:col>4</xdr:col>
                <xdr:colOff>1600200</xdr:colOff>
                <xdr:row>3</xdr:row>
                <xdr:rowOff>158750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E4" sqref="E4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4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584200</xdr:colOff>
                <xdr:row>2</xdr:row>
                <xdr:rowOff>133350</xdr:rowOff>
              </from>
              <to>
                <xdr:col>6</xdr:col>
                <xdr:colOff>146050</xdr:colOff>
                <xdr:row>3</xdr:row>
                <xdr:rowOff>44450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A1" t="s">
        <v>135</v>
      </c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63500</xdr:colOff>
                <xdr:row>3</xdr:row>
                <xdr:rowOff>101600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158750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139700</xdr:colOff>
                <xdr:row>3</xdr:row>
                <xdr:rowOff>63500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82550</xdr:rowOff>
              </from>
              <to>
                <xdr:col>12</xdr:col>
                <xdr:colOff>165100</xdr:colOff>
                <xdr:row>6</xdr:row>
                <xdr:rowOff>6350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workbookViewId="0">
      <selection activeCell="L6" sqref="L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132</v>
      </c>
    </row>
    <row r="3" spans="2:3" ht="18" x14ac:dyDescent="0.4">
      <c r="B3" s="1" t="s">
        <v>101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102</v>
      </c>
      <c r="F24" s="34" t="s">
        <v>103</v>
      </c>
      <c r="G24" s="8" t="s">
        <v>103</v>
      </c>
      <c r="H24" s="35"/>
      <c r="I24" s="35"/>
    </row>
    <row r="25" spans="2:9" x14ac:dyDescent="0.35">
      <c r="B25" s="36"/>
      <c r="C25" s="36"/>
      <c r="D25" s="36"/>
      <c r="E25" s="37" t="s">
        <v>104</v>
      </c>
      <c r="F25" s="37" t="s">
        <v>105</v>
      </c>
      <c r="G25" s="8" t="s">
        <v>106</v>
      </c>
      <c r="H25" s="38"/>
      <c r="I25" s="38"/>
    </row>
    <row r="26" spans="2:9" x14ac:dyDescent="0.35">
      <c r="B26" s="36" t="s">
        <v>107</v>
      </c>
      <c r="C26" s="2"/>
      <c r="D26" s="34" t="s">
        <v>108</v>
      </c>
      <c r="E26" s="39"/>
      <c r="F26" s="40"/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109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110</v>
      </c>
      <c r="C30" s="2"/>
      <c r="D30" s="46"/>
      <c r="E30" s="45"/>
      <c r="F30" s="45"/>
      <c r="G30" s="45"/>
    </row>
    <row r="31" spans="2:9" x14ac:dyDescent="0.35">
      <c r="B31" s="6" t="s">
        <v>111</v>
      </c>
      <c r="C31" s="2"/>
      <c r="D31" s="44"/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112</v>
      </c>
      <c r="C33" s="2"/>
      <c r="D33" s="44" t="s">
        <v>113</v>
      </c>
      <c r="E33" s="44" t="s">
        <v>114</v>
      </c>
      <c r="F33" s="46"/>
      <c r="G33" s="46"/>
    </row>
    <row r="34" spans="2:8" x14ac:dyDescent="0.35">
      <c r="B34" s="47"/>
      <c r="C34" s="2" t="s">
        <v>115</v>
      </c>
      <c r="D34" s="48"/>
      <c r="E34" s="48"/>
      <c r="F34" s="44"/>
      <c r="G34" s="46"/>
    </row>
    <row r="35" spans="2:8" x14ac:dyDescent="0.35">
      <c r="B35" s="2"/>
      <c r="C35" s="2" t="s">
        <v>116</v>
      </c>
      <c r="D35" s="48"/>
      <c r="E35" s="48"/>
      <c r="F35" s="44"/>
      <c r="G35" s="46"/>
    </row>
    <row r="36" spans="2:8" x14ac:dyDescent="0.35">
      <c r="B36" s="2"/>
      <c r="C36" s="2" t="s">
        <v>117</v>
      </c>
      <c r="D36" s="48"/>
      <c r="E36" s="48"/>
      <c r="F36" s="44"/>
      <c r="G36" s="46"/>
    </row>
    <row r="37" spans="2:8" x14ac:dyDescent="0.35">
      <c r="B37" s="2"/>
      <c r="C37" s="2" t="s">
        <v>118</v>
      </c>
      <c r="D37" s="48"/>
      <c r="E37" s="48"/>
      <c r="F37" s="44"/>
      <c r="G37" s="46"/>
    </row>
    <row r="38" spans="2:8" x14ac:dyDescent="0.35">
      <c r="B38" s="2"/>
      <c r="C38" s="2" t="s">
        <v>119</v>
      </c>
      <c r="D38" s="48"/>
      <c r="E38" s="48"/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120</v>
      </c>
      <c r="C40" s="2"/>
      <c r="D40" s="49"/>
      <c r="E40" s="2"/>
      <c r="F40" s="2"/>
      <c r="G40" s="2"/>
      <c r="H40" s="2"/>
    </row>
    <row r="41" spans="2:8" x14ac:dyDescent="0.35">
      <c r="B41" s="8" t="s">
        <v>121</v>
      </c>
      <c r="C41" s="2"/>
      <c r="D41" s="8"/>
      <c r="E41" s="2"/>
      <c r="F41" s="2"/>
      <c r="G41" s="2"/>
      <c r="H41" s="8"/>
    </row>
    <row r="42" spans="2:8" x14ac:dyDescent="0.35">
      <c r="B42" s="50" t="s">
        <v>122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123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124</v>
      </c>
      <c r="D45" s="2"/>
      <c r="E45" s="2"/>
      <c r="F45" s="2"/>
    </row>
    <row r="46" spans="2:8" x14ac:dyDescent="0.35">
      <c r="B46" s="2"/>
      <c r="C46" s="2" t="s">
        <v>125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126</v>
      </c>
      <c r="C48" s="2"/>
      <c r="D48" s="47"/>
      <c r="E48" s="47"/>
      <c r="F48" s="2"/>
    </row>
    <row r="49" spans="2:9" x14ac:dyDescent="0.35">
      <c r="B49" s="2"/>
      <c r="C49" s="2" t="s">
        <v>134</v>
      </c>
      <c r="D49" s="47"/>
      <c r="E49" s="47"/>
      <c r="F49" s="2"/>
    </row>
    <row r="50" spans="2:9" x14ac:dyDescent="0.35">
      <c r="B50" s="2"/>
      <c r="C50" s="2" t="s">
        <v>125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127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128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129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130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133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131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workbookViewId="0">
      <selection activeCell="G16" sqref="G1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81"/>
    </row>
    <row r="10" spans="2:9" x14ac:dyDescent="0.35">
      <c r="B10" s="7" t="s">
        <v>47</v>
      </c>
      <c r="C10" s="81"/>
    </row>
    <row r="11" spans="2:9" x14ac:dyDescent="0.35">
      <c r="B11" t="s">
        <v>159</v>
      </c>
      <c r="C11" s="48"/>
      <c r="D11" s="75" t="s">
        <v>160</v>
      </c>
      <c r="G11" s="75" t="s">
        <v>158</v>
      </c>
      <c r="H11" s="81">
        <f>(3.14*(SubDiameter/2)^2)*(SubLength)*(1/12)^3</f>
        <v>0</v>
      </c>
      <c r="I11" s="83" t="s">
        <v>153</v>
      </c>
    </row>
    <row r="12" spans="2:9" x14ac:dyDescent="0.35">
      <c r="B12" t="s">
        <v>163</v>
      </c>
      <c r="C12" s="48"/>
      <c r="D12" t="s">
        <v>162</v>
      </c>
      <c r="G12" s="75"/>
      <c r="H12" s="81">
        <f>Volume*28.317</f>
        <v>0</v>
      </c>
      <c r="I12" s="83" t="s">
        <v>165</v>
      </c>
    </row>
    <row r="13" spans="2:9" x14ac:dyDescent="0.35">
      <c r="B13" s="7"/>
      <c r="C13" s="8"/>
      <c r="G13" t="s">
        <v>161</v>
      </c>
      <c r="H13" s="81">
        <f>(Volume*MaxSpaceVelocity)*(1/60)*(61.7)/(2350*0.395)</f>
        <v>0</v>
      </c>
      <c r="I13" t="s">
        <v>162</v>
      </c>
    </row>
    <row r="14" spans="2:9" x14ac:dyDescent="0.35">
      <c r="G14" t="s">
        <v>164</v>
      </c>
      <c r="H14" s="82">
        <f>IF(H13&gt;MaxHertz,"60",H13)</f>
        <v>0</v>
      </c>
      <c r="I14" t="s">
        <v>162</v>
      </c>
    </row>
    <row r="15" spans="2:9" x14ac:dyDescent="0.35">
      <c r="B15" s="53" t="s">
        <v>136</v>
      </c>
      <c r="C15" s="54"/>
      <c r="D15" s="55" t="str">
        <f>B7</f>
        <v>DPF Information</v>
      </c>
      <c r="E15" s="56"/>
      <c r="F15" s="56"/>
    </row>
    <row r="16" spans="2:9" x14ac:dyDescent="0.35">
      <c r="B16" s="57"/>
      <c r="C16" s="57"/>
      <c r="D16" s="57"/>
      <c r="E16" s="57"/>
      <c r="F16" s="57"/>
    </row>
    <row r="17" spans="2:9" x14ac:dyDescent="0.35">
      <c r="B17" s="58" t="s">
        <v>137</v>
      </c>
      <c r="D17" s="41"/>
      <c r="E17" t="s">
        <v>138</v>
      </c>
    </row>
    <row r="18" spans="2:9" x14ac:dyDescent="0.35">
      <c r="B18" s="58" t="s">
        <v>139</v>
      </c>
      <c r="D18" s="41"/>
      <c r="E18" t="s">
        <v>140</v>
      </c>
    </row>
    <row r="19" spans="2:9" x14ac:dyDescent="0.35">
      <c r="B19" s="58" t="s">
        <v>141</v>
      </c>
      <c r="D19" s="48"/>
    </row>
    <row r="20" spans="2:9" x14ac:dyDescent="0.35">
      <c r="B20" s="59" t="s">
        <v>142</v>
      </c>
      <c r="C20" s="60" t="s">
        <v>143</v>
      </c>
      <c r="D20" s="61" t="s">
        <v>144</v>
      </c>
      <c r="E20" s="61" t="s">
        <v>145</v>
      </c>
      <c r="G20" s="62" t="s">
        <v>146</v>
      </c>
      <c r="H20" s="61"/>
      <c r="I20" s="61"/>
    </row>
    <row r="21" spans="2:9" x14ac:dyDescent="0.35">
      <c r="B21" s="63" t="s">
        <v>147</v>
      </c>
      <c r="C21" s="63" t="s">
        <v>148</v>
      </c>
      <c r="D21" s="63" t="s">
        <v>149</v>
      </c>
      <c r="E21" s="63" t="s">
        <v>148</v>
      </c>
      <c r="F21" s="63" t="s">
        <v>150</v>
      </c>
      <c r="G21" s="62" t="s">
        <v>151</v>
      </c>
      <c r="H21" s="61" t="s">
        <v>148</v>
      </c>
      <c r="I21" s="61" t="s">
        <v>152</v>
      </c>
    </row>
    <row r="22" spans="2:9" x14ac:dyDescent="0.3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3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3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3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3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3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3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3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3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3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3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35">
      <c r="B33" s="57"/>
      <c r="D33" s="57"/>
      <c r="E33" s="57"/>
      <c r="F33" s="57"/>
      <c r="G33" s="73" t="s">
        <v>154</v>
      </c>
    </row>
    <row r="34" spans="2:9" x14ac:dyDescent="0.35">
      <c r="C34" s="70"/>
      <c r="G34" s="73" t="s">
        <v>155</v>
      </c>
      <c r="H34" s="74"/>
    </row>
    <row r="35" spans="2:9" x14ac:dyDescent="0.35">
      <c r="B35" s="71"/>
      <c r="C35" s="71"/>
      <c r="D35" s="71"/>
      <c r="E35" s="71"/>
      <c r="F35" s="71"/>
      <c r="G35" s="73" t="s">
        <v>156</v>
      </c>
      <c r="H35" s="74"/>
    </row>
    <row r="36" spans="2:9" x14ac:dyDescent="0.35">
      <c r="B36" s="72"/>
      <c r="C36" s="72"/>
      <c r="D36" s="72"/>
      <c r="E36" s="72"/>
      <c r="F36" s="72"/>
      <c r="G36" s="73" t="s">
        <v>157</v>
      </c>
      <c r="H36" s="41"/>
    </row>
    <row r="37" spans="2:9" x14ac:dyDescent="0.35">
      <c r="B37" s="72"/>
      <c r="C37" s="72"/>
      <c r="D37" s="72"/>
      <c r="E37" s="72"/>
      <c r="F37" s="72"/>
      <c r="I37" t="s">
        <v>18</v>
      </c>
    </row>
    <row r="39" spans="2:9" x14ac:dyDescent="0.35">
      <c r="B39" s="58" t="s">
        <v>136</v>
      </c>
      <c r="D39" s="55" t="str">
        <f>B8</f>
        <v>DPF ID</v>
      </c>
    </row>
    <row r="41" spans="2:9" x14ac:dyDescent="0.35">
      <c r="B41" s="58" t="s">
        <v>137</v>
      </c>
      <c r="D41" s="41"/>
      <c r="E41" t="s">
        <v>138</v>
      </c>
    </row>
    <row r="42" spans="2:9" x14ac:dyDescent="0.35">
      <c r="B42" s="58" t="s">
        <v>139</v>
      </c>
      <c r="D42" s="41"/>
      <c r="E42" t="s">
        <v>140</v>
      </c>
      <c r="I42" s="70"/>
    </row>
    <row r="43" spans="2:9" x14ac:dyDescent="0.35">
      <c r="B43" s="58" t="s">
        <v>141</v>
      </c>
      <c r="D43" s="48"/>
    </row>
    <row r="44" spans="2:9" x14ac:dyDescent="0.35">
      <c r="B44" s="59" t="s">
        <v>142</v>
      </c>
      <c r="C44" s="60" t="s">
        <v>143</v>
      </c>
      <c r="D44" s="61" t="s">
        <v>144</v>
      </c>
      <c r="E44" s="61" t="s">
        <v>145</v>
      </c>
      <c r="F44" s="75"/>
      <c r="G44" s="62" t="s">
        <v>146</v>
      </c>
      <c r="H44" s="61"/>
      <c r="I44" s="61"/>
    </row>
    <row r="45" spans="2:9" x14ac:dyDescent="0.35">
      <c r="B45" s="61" t="s">
        <v>147</v>
      </c>
      <c r="C45" s="61" t="s">
        <v>148</v>
      </c>
      <c r="D45" s="61" t="s">
        <v>149</v>
      </c>
      <c r="E45" s="61" t="s">
        <v>148</v>
      </c>
      <c r="F45" s="61" t="s">
        <v>150</v>
      </c>
      <c r="G45" s="62" t="s">
        <v>151</v>
      </c>
      <c r="H45" s="61" t="s">
        <v>148</v>
      </c>
      <c r="I45" s="61" t="s">
        <v>152</v>
      </c>
    </row>
    <row r="46" spans="2:9" x14ac:dyDescent="0.3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3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3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3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3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3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3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3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3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3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3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35">
      <c r="G57" s="73" t="s">
        <v>154</v>
      </c>
    </row>
    <row r="58" spans="2:9" x14ac:dyDescent="0.35">
      <c r="B58" s="76"/>
      <c r="C58" s="76"/>
      <c r="D58" s="76"/>
      <c r="G58" s="73" t="s">
        <v>155</v>
      </c>
      <c r="H58" s="74"/>
    </row>
    <row r="59" spans="2:9" x14ac:dyDescent="0.35">
      <c r="B59" s="2"/>
      <c r="C59" s="76"/>
      <c r="D59" s="76"/>
      <c r="E59" s="75"/>
      <c r="F59" s="75"/>
      <c r="G59" s="73" t="s">
        <v>156</v>
      </c>
      <c r="H59" s="74"/>
    </row>
    <row r="60" spans="2:9" x14ac:dyDescent="0.35">
      <c r="B60" s="77"/>
      <c r="C60" s="76"/>
      <c r="D60" s="76"/>
      <c r="E60" s="75"/>
      <c r="F60" s="75"/>
      <c r="G60" s="73" t="s">
        <v>157</v>
      </c>
      <c r="H60" s="74"/>
    </row>
    <row r="61" spans="2:9" x14ac:dyDescent="0.35">
      <c r="B61" s="77"/>
      <c r="C61" s="76"/>
      <c r="D61" s="76"/>
      <c r="E61" s="76"/>
      <c r="F61" s="76"/>
    </row>
    <row r="62" spans="2:9" x14ac:dyDescent="0.35">
      <c r="B62" s="2"/>
      <c r="C62" s="76"/>
      <c r="D62" s="76"/>
      <c r="E62" s="76"/>
      <c r="F62" s="76"/>
    </row>
    <row r="64" spans="2:9" x14ac:dyDescent="0.35">
      <c r="B64" s="58" t="s">
        <v>136</v>
      </c>
      <c r="D64" s="55" t="str">
        <f>B9</f>
        <v>Substrate Diameter(inch)</v>
      </c>
    </row>
    <row r="66" spans="2:9" x14ac:dyDescent="0.35">
      <c r="B66" s="58" t="s">
        <v>137</v>
      </c>
      <c r="D66" s="41"/>
      <c r="E66" t="s">
        <v>138</v>
      </c>
      <c r="H66" s="57"/>
      <c r="I66" s="57"/>
    </row>
    <row r="67" spans="2:9" x14ac:dyDescent="0.35">
      <c r="B67" s="58" t="s">
        <v>139</v>
      </c>
      <c r="D67" s="41">
        <v>14.696</v>
      </c>
      <c r="E67" t="s">
        <v>140</v>
      </c>
      <c r="H67" s="57"/>
      <c r="I67" s="57"/>
    </row>
    <row r="68" spans="2:9" x14ac:dyDescent="0.35">
      <c r="B68" s="58" t="s">
        <v>141</v>
      </c>
      <c r="D68" s="48"/>
      <c r="H68" s="78"/>
      <c r="I68" s="78"/>
    </row>
    <row r="69" spans="2:9" x14ac:dyDescent="0.35">
      <c r="B69" s="59" t="s">
        <v>142</v>
      </c>
      <c r="C69" s="60" t="s">
        <v>143</v>
      </c>
      <c r="D69" s="61" t="s">
        <v>144</v>
      </c>
      <c r="E69" s="61" t="s">
        <v>145</v>
      </c>
      <c r="F69" s="75"/>
      <c r="G69" s="62" t="s">
        <v>146</v>
      </c>
      <c r="H69" s="61"/>
      <c r="I69" s="61"/>
    </row>
    <row r="70" spans="2:9" x14ac:dyDescent="0.35">
      <c r="B70" s="61" t="s">
        <v>147</v>
      </c>
      <c r="C70" s="61" t="s">
        <v>148</v>
      </c>
      <c r="D70" s="61" t="s">
        <v>149</v>
      </c>
      <c r="E70" s="61" t="s">
        <v>148</v>
      </c>
      <c r="F70" s="61" t="s">
        <v>150</v>
      </c>
      <c r="G70" s="62" t="s">
        <v>151</v>
      </c>
      <c r="H70" s="61" t="s">
        <v>148</v>
      </c>
      <c r="I70" s="61" t="s">
        <v>152</v>
      </c>
    </row>
    <row r="71" spans="2:9" x14ac:dyDescent="0.3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3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3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3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3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3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3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3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3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3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3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35">
      <c r="G82" s="73" t="s">
        <v>154</v>
      </c>
    </row>
    <row r="83" spans="2:9" x14ac:dyDescent="0.35">
      <c r="F83" s="79"/>
      <c r="G83" s="73" t="s">
        <v>155</v>
      </c>
      <c r="H83" s="74"/>
    </row>
    <row r="84" spans="2:9" x14ac:dyDescent="0.35">
      <c r="B84" s="77"/>
      <c r="C84" s="75"/>
      <c r="D84" s="75"/>
      <c r="F84" s="69"/>
      <c r="G84" s="73" t="s">
        <v>156</v>
      </c>
      <c r="H84" s="74"/>
    </row>
    <row r="85" spans="2:9" x14ac:dyDescent="0.35">
      <c r="B85" s="77"/>
      <c r="C85" s="75"/>
      <c r="D85" s="75"/>
      <c r="E85" s="70"/>
      <c r="F85" s="69"/>
      <c r="G85" s="73" t="s">
        <v>157</v>
      </c>
      <c r="H85" s="41"/>
    </row>
    <row r="86" spans="2:9" x14ac:dyDescent="0.3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558800</xdr:colOff>
                <xdr:row>6</xdr:row>
                <xdr:rowOff>19050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2019-01-23T23:59:08Z</dcterms:modified>
</cp:coreProperties>
</file>