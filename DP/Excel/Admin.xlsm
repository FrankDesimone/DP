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6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DPF!$C$15:$C$15</definedName>
    <definedName name="dpf" localSheetId="8">DPF!$C$12:$C$28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<sst xmlns="http://schemas.openxmlformats.org/spreadsheetml/2006/main" count="457" uniqueCount="276">
  <si>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</si>
  <si>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</si>
  <si>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</si>
  <si>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</si>
  <si>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</si>
  <si>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</si>
  <si>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</si>
  <si>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</si>
  <si>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</si>
  <si>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</si>
  <si>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</si>
  <si>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</si>
  <si>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</si>
  <si>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</si>
  <si>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</si>
  <si>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</si>
  <si>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</si>
  <si>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</si>
  <si>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</si>
  <si>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</si>
  <si>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</si>
  <si>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</si>
  <si>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</si>
  <si>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</si>
  <si>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</si>
  <si>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</si>
  <si>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</si>
  <si>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</si>
  <si>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</si>
  <si>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</si>
  <si>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</si>
  <si>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</si>
  <si>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</si>
  <si>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</si>
  <si>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</si>
  <si>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</si>
  <si>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</si>
  <si>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</si>
  <si>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</si>
  <si>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</si>
  <si>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</si>
  <si>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</si>
  <si>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</si>
  <si>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</si>
  <si>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</si>
  <si>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</si>
  <si>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</si>
  <si>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</si>
  <si>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</si>
  <si>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</si>
  <si>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</si>
  <si>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</si>
  <si>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</si>
  <si>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</si>
  <si>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</si>
  <si>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</si>
  <si>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</si>
  <si>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</si>
  <si>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</si>
  <si>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</si>
  <si>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</si>
  <si>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</si>
  <si>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</si>
  <si>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</si>
  <si>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</si>
  <si>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</si>
  <si>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</si>
  <si>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</si>
  <si>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</si>
  <si>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</si>
  <si>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</si>
  <si>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</si>
  <si>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</si>
  <si>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</si>
  <si>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</si>
  <si>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</si>
  <si>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</si>
  <si>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</si>
  <si>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</si>
  <si>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</si>
  <si>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</si>
  <si>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</si>
  <si>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</si>
  <si>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</si>
  <si>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</si>
  <si>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</si>
  <si>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</si>
  <si>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</si>
  <si>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</si>
  <si>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</si>
  <si>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</si>
  <si>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</si>
  <si>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</si>
  <si>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</si>
  <si>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</si>
  <si>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</si>
  <si>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</si>
  <si>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</si>
  <si>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</si>
  <si>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</si>
  <si>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</si>
  <si>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</si>
  <si>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</si>
  <si>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</si>
  <si>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</si>
  <si>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</si>
  <si>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</si>
  <si>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</si>
  <si>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</si>
  <si>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</si>
  <si>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</si>
  <si>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</si>
  <si>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</si>
  <si>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</si>
  <si>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</si>
  <si>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</si>
  <si>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</si>
  <si>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</si>
  <si>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</si>
  <si>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</si>
  <si>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</si>
  <si>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</si>
  <si>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</si>
  <si>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</si>
  <si>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</si>
  <si>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</si>
  <si>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</si>
  <si>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</si>
  <si>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</si>
  <si>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</si>
  <si>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</si>
  <si>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</si>
  <si>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</si>
  <si>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</si>
  <si>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</si>
  <si>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</si>
  <si>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</si>
  <si>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</si>
  <si>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</si>
  <si>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</si>
  <si>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</si>
  <si>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</si>
  <si>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</si>
  <si>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</si>
  <si>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</si>
  <si>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</si>
  <si>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</si>
  <si>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</si>
  <si>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</si>
  <si>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</si>
  <si>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</si>
  <si>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</si>
  <si>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</si>
  <si>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</si>
  <si>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</si>
  <si>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</si>
  <si>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</si>
  <si>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</si>
  <si>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</si>
  <si>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</si>
  <si>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</si>
  <si>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</si>
  <si>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</si>
  <si>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</si>
  <si>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</si>
  <si>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</si>
  <si>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</si>
  <si>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</si>
  <si>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</si>
  <si>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</si>
  <si>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</si>
  <si>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</si>
  <si>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</si>
  <si>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</si>
  <si>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</si>
  <si>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</si>
  <si>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</si>
  <si>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</si>
  <si>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</si>
  <si>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</si>
  <si>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</si>
  <si>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</si>
  <si>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</si>
  <si>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</si>
  <si>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</si>
  <si>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</si>
  <si>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</si>
  <si>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</si>
  <si>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</si>
  <si>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</si>
  <si>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</si>
  <si>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</si>
  <si>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</si>
  <si>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</si>
  <si>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</si>
  <si>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</si>
  <si>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</si>
  <si>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</si>
  <si>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</si>
  <si>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</si>
  <si>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</si>
  <si>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</si>
  <si>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</si>
  <si>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</si>
  <si>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</si>
  <si>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</si>
  <si>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</si>
  <si>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</si>
  <si>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</si>
  <si>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</si>
  <si>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</si>
  <si>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</si>
  <si>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</si>
  <si>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</si>
  <si>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</si>
  <si>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</si>
  <si>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</si>
  <si>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</si>
  <si>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</si>
  <si>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</si>
  <si>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</si>
  <si>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</si>
  <si>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</si>
  <si>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</si>
  <si>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</si>
  <si>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Current Mileage / Hours</t>
  </si>
  <si>
    <t>Gallons per (Hours / Miles)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</si>
  <si>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</si>
  <si>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</si>
  <si>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</si>
  <si>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</si>
  <si>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</si>
  <si>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</si>
  <si>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</si>
  <si>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</si>
  <si>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</si>
  <si>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</si>
  <si>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</si>
  <si>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</si>
  <si>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12345678901234567</t>
  </si>
  <si>
    <t>Model #2</t>
  </si>
  <si>
    <t>eng model 1</t>
  </si>
  <si>
    <t>seriakl #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</si>
  <si>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</si>
  <si>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</si>
  <si>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</si>
  <si>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</si>
  <si>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</si>
  <si>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</si>
  <si>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</si>
  <si>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</si>
  <si>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v 1.2.3</t>
  </si>
  <si>
    <t>Sales Status</t>
  </si>
  <si>
    <t>1944</t>
  </si>
  <si>
    <t>16 09 03 09 38 / 898155142</t>
  </si>
  <si>
    <t>FED-1944</t>
  </si>
  <si>
    <t>The DPF ceramic substrate is in good structural condition. Removed 0.17 lbs of soot and lube ash using the catalyst wash method. The DPF is clean and ready for re-use.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</si>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</sst>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5.emf"/><Relationship Id="rId18" Type="http://schemas.openxmlformats.org/officeDocument/2006/relationships/image" Target="../media/image70.emf"/><Relationship Id="rId3" Type="http://schemas.openxmlformats.org/officeDocument/2006/relationships/image" Target="../media/image55.emf"/><Relationship Id="rId21" Type="http://schemas.openxmlformats.org/officeDocument/2006/relationships/image" Target="../media/image73.emf"/><Relationship Id="rId7" Type="http://schemas.openxmlformats.org/officeDocument/2006/relationships/image" Target="../media/image59.emf"/><Relationship Id="rId12" Type="http://schemas.openxmlformats.org/officeDocument/2006/relationships/image" Target="../media/image64.emf"/><Relationship Id="rId17" Type="http://schemas.openxmlformats.org/officeDocument/2006/relationships/image" Target="../media/image69.emf"/><Relationship Id="rId2" Type="http://schemas.openxmlformats.org/officeDocument/2006/relationships/image" Target="../media/image54.emf"/><Relationship Id="rId16" Type="http://schemas.openxmlformats.org/officeDocument/2006/relationships/image" Target="../media/image68.emf"/><Relationship Id="rId20" Type="http://schemas.openxmlformats.org/officeDocument/2006/relationships/image" Target="../media/image72.emf"/><Relationship Id="rId1" Type="http://schemas.openxmlformats.org/officeDocument/2006/relationships/image" Target="../media/image53.emf"/><Relationship Id="rId6" Type="http://schemas.openxmlformats.org/officeDocument/2006/relationships/image" Target="../media/image58.emf"/><Relationship Id="rId11" Type="http://schemas.openxmlformats.org/officeDocument/2006/relationships/image" Target="../media/image63.emf"/><Relationship Id="rId24" Type="http://schemas.openxmlformats.org/officeDocument/2006/relationships/image" Target="../media/image51.emf"/><Relationship Id="rId5" Type="http://schemas.openxmlformats.org/officeDocument/2006/relationships/image" Target="../media/image57.emf"/><Relationship Id="rId15" Type="http://schemas.openxmlformats.org/officeDocument/2006/relationships/image" Target="../media/image67.emf"/><Relationship Id="rId23" Type="http://schemas.openxmlformats.org/officeDocument/2006/relationships/image" Target="../media/image52.emf"/><Relationship Id="rId10" Type="http://schemas.openxmlformats.org/officeDocument/2006/relationships/image" Target="../media/image62.emf"/><Relationship Id="rId19" Type="http://schemas.openxmlformats.org/officeDocument/2006/relationships/image" Target="../media/image71.emf"/><Relationship Id="rId4" Type="http://schemas.openxmlformats.org/officeDocument/2006/relationships/image" Target="../media/image56.emf"/><Relationship Id="rId9" Type="http://schemas.openxmlformats.org/officeDocument/2006/relationships/image" Target="../media/image61.emf"/><Relationship Id="rId14" Type="http://schemas.openxmlformats.org/officeDocument/2006/relationships/image" Target="../media/image66.emf"/><Relationship Id="rId22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5" Type="http://schemas.openxmlformats.org/officeDocument/2006/relationships/image" Target="../media/image78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3" Type="http://schemas.openxmlformats.org/officeDocument/2006/relationships/image" Target="../media/image85.emf"/><Relationship Id="rId7" Type="http://schemas.openxmlformats.org/officeDocument/2006/relationships/image" Target="../media/image89.emf"/><Relationship Id="rId12" Type="http://schemas.openxmlformats.org/officeDocument/2006/relationships/image" Target="../media/image94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8.emf"/><Relationship Id="rId11" Type="http://schemas.openxmlformats.org/officeDocument/2006/relationships/image" Target="../media/image93.emf"/><Relationship Id="rId5" Type="http://schemas.openxmlformats.org/officeDocument/2006/relationships/image" Target="../media/image87.emf"/><Relationship Id="rId10" Type="http://schemas.openxmlformats.org/officeDocument/2006/relationships/image" Target="../media/image92.emf"/><Relationship Id="rId4" Type="http://schemas.openxmlformats.org/officeDocument/2006/relationships/image" Target="../media/image86.emf"/><Relationship Id="rId9" Type="http://schemas.openxmlformats.org/officeDocument/2006/relationships/image" Target="../media/image9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472440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472440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83820</xdr:rowOff>
        </xdr:from>
        <xdr:to>
          <xdr:col>7</xdr:col>
          <xdr:colOff>472440</xdr:colOff>
          <xdr:row>10</xdr:row>
          <xdr:rowOff>129540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68580</xdr:rowOff>
        </xdr:from>
        <xdr:to>
          <xdr:col>7</xdr:col>
          <xdr:colOff>464820</xdr:colOff>
          <xdr:row>13</xdr:row>
          <xdr:rowOff>99060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68580</xdr:rowOff>
        </xdr:from>
        <xdr:to>
          <xdr:col>10</xdr:col>
          <xdr:colOff>365760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2</xdr:row>
          <xdr:rowOff>121920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175260</xdr:colOff>
          <xdr:row>7</xdr:row>
          <xdr:rowOff>99060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11</xdr:row>
          <xdr:rowOff>7620</xdr:rowOff>
        </xdr:from>
        <xdr:to>
          <xdr:col>4</xdr:col>
          <xdr:colOff>175260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=""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30480</xdr:rowOff>
        </xdr:from>
        <xdr:to>
          <xdr:col>2</xdr:col>
          <xdr:colOff>2766060</xdr:colOff>
          <xdr:row>1</xdr:row>
          <xdr:rowOff>358140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30480</xdr:rowOff>
        </xdr:from>
        <xdr:to>
          <xdr:col>2</xdr:col>
          <xdr:colOff>2766060</xdr:colOff>
          <xdr:row>7</xdr:row>
          <xdr:rowOff>358140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0</xdr:rowOff>
        </xdr:from>
        <xdr:to>
          <xdr:col>4</xdr:col>
          <xdr:colOff>1402080</xdr:colOff>
          <xdr:row>1</xdr:row>
          <xdr:rowOff>335280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</xdr:row>
          <xdr:rowOff>22860</xdr:rowOff>
        </xdr:from>
        <xdr:to>
          <xdr:col>4</xdr:col>
          <xdr:colOff>1417320</xdr:colOff>
          <xdr:row>3</xdr:row>
          <xdr:rowOff>358140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1</xdr:col>
          <xdr:colOff>3086100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350520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3086100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</xdr:row>
          <xdr:rowOff>30480</xdr:rowOff>
        </xdr:from>
        <xdr:to>
          <xdr:col>1</xdr:col>
          <xdr:colOff>3086100</xdr:colOff>
          <xdr:row>9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358140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12</xdr:row>
          <xdr:rowOff>99060</xdr:rowOff>
        </xdr:from>
        <xdr:to>
          <xdr:col>1</xdr:col>
          <xdr:colOff>419100</xdr:colOff>
          <xdr:row>12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373380</xdr:rowOff>
        </xdr:from>
        <xdr:to>
          <xdr:col>1</xdr:col>
          <xdr:colOff>3086100</xdr:colOff>
          <xdr:row>5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358140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45720</xdr:rowOff>
        </xdr:from>
        <xdr:to>
          <xdr:col>3</xdr:col>
          <xdr:colOff>1371600</xdr:colOff>
          <xdr:row>5</xdr:row>
          <xdr:rowOff>373380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365760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30480</xdr:rowOff>
        </xdr:from>
        <xdr:to>
          <xdr:col>3</xdr:col>
          <xdr:colOff>1371600</xdr:colOff>
          <xdr:row>3</xdr:row>
          <xdr:rowOff>358140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=""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22860</xdr:rowOff>
        </xdr:from>
        <xdr:to>
          <xdr:col>1</xdr:col>
          <xdr:colOff>3078480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=""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1</xdr:col>
          <xdr:colOff>1539240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22860</xdr:rowOff>
        </xdr:from>
        <xdr:to>
          <xdr:col>1</xdr:col>
          <xdr:colOff>1539240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662940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655320</xdr:colOff>
          <xdr:row>6</xdr:row>
          <xdr:rowOff>137160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4</xdr:row>
          <xdr:rowOff>137160</xdr:rowOff>
        </xdr:from>
        <xdr:to>
          <xdr:col>3</xdr:col>
          <xdr:colOff>662940</xdr:colOff>
          <xdr:row>5</xdr:row>
          <xdr:rowOff>83820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=""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3</xdr:row>
          <xdr:rowOff>83820</xdr:rowOff>
        </xdr:from>
        <xdr:to>
          <xdr:col>3</xdr:col>
          <xdr:colOff>662940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=""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1</xdr:col>
          <xdr:colOff>3215640</xdr:colOff>
          <xdr:row>1</xdr:row>
          <xdr:rowOff>365760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213360</xdr:rowOff>
        </xdr:from>
        <xdr:to>
          <xdr:col>4</xdr:col>
          <xdr:colOff>1371600</xdr:colOff>
          <xdr:row>4</xdr:row>
          <xdr:rowOff>129540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</xdr:row>
          <xdr:rowOff>22860</xdr:rowOff>
        </xdr:from>
        <xdr:to>
          <xdr:col>1</xdr:col>
          <xdr:colOff>3108960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1</xdr:row>
          <xdr:rowOff>30480</xdr:rowOff>
        </xdr:from>
        <xdr:to>
          <xdr:col>4</xdr:col>
          <xdr:colOff>1043940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7620</xdr:rowOff>
        </xdr:from>
        <xdr:to>
          <xdr:col>1</xdr:col>
          <xdr:colOff>3086100</xdr:colOff>
          <xdr:row>5</xdr:row>
          <xdr:rowOff>365760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</xdr:rowOff>
        </xdr:from>
        <xdr:to>
          <xdr:col>1</xdr:col>
          <xdr:colOff>3101340</xdr:colOff>
          <xdr:row>7</xdr:row>
          <xdr:rowOff>365760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3</xdr:row>
          <xdr:rowOff>0</xdr:rowOff>
        </xdr:from>
        <xdr:to>
          <xdr:col>4</xdr:col>
          <xdr:colOff>1043940</xdr:colOff>
          <xdr:row>3</xdr:row>
          <xdr:rowOff>297180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350520</xdr:rowOff>
        </xdr:from>
        <xdr:to>
          <xdr:col>4</xdr:col>
          <xdr:colOff>1028700</xdr:colOff>
          <xdr:row>4</xdr:row>
          <xdr:rowOff>297180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=""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198120</xdr:colOff>
          <xdr:row>18</xdr:row>
          <xdr:rowOff>167640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=""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30480</xdr:rowOff>
        </xdr:from>
        <xdr:to>
          <xdr:col>2</xdr:col>
          <xdr:colOff>198120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=""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30480</xdr:rowOff>
        </xdr:from>
        <xdr:to>
          <xdr:col>2</xdr:col>
          <xdr:colOff>198120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=""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7620</xdr:rowOff>
        </xdr:from>
        <xdr:to>
          <xdr:col>2</xdr:col>
          <xdr:colOff>198120</xdr:colOff>
          <xdr:row>23</xdr:row>
          <xdr:rowOff>167640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=""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7620</xdr:rowOff>
        </xdr:from>
        <xdr:to>
          <xdr:col>2</xdr:col>
          <xdr:colOff>198120</xdr:colOff>
          <xdr:row>24</xdr:row>
          <xdr:rowOff>167640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=""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22860</xdr:rowOff>
        </xdr:from>
        <xdr:to>
          <xdr:col>2</xdr:col>
          <xdr:colOff>198120</xdr:colOff>
          <xdr:row>25</xdr:row>
          <xdr:rowOff>182880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=""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213360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=""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0</xdr:rowOff>
        </xdr:from>
        <xdr:to>
          <xdr:col>2</xdr:col>
          <xdr:colOff>3078480</xdr:colOff>
          <xdr:row>12</xdr:row>
          <xdr:rowOff>7620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=""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2</xdr:col>
          <xdr:colOff>3078480</xdr:colOff>
          <xdr:row>5</xdr:row>
          <xdr:rowOff>15240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=""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30480</xdr:rowOff>
        </xdr:from>
        <xdr:to>
          <xdr:col>2</xdr:col>
          <xdr:colOff>3078480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=""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7620</xdr:rowOff>
        </xdr:from>
        <xdr:to>
          <xdr:col>2</xdr:col>
          <xdr:colOff>3078480</xdr:colOff>
          <xdr:row>13</xdr:row>
          <xdr:rowOff>15240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=""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13</xdr:row>
          <xdr:rowOff>7620</xdr:rowOff>
        </xdr:from>
        <xdr:to>
          <xdr:col>2</xdr:col>
          <xdr:colOff>3078480</xdr:colOff>
          <xdr:row>14</xdr:row>
          <xdr:rowOff>15240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=""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14</xdr:row>
          <xdr:rowOff>7620</xdr:rowOff>
        </xdr:from>
        <xdr:to>
          <xdr:col>2</xdr:col>
          <xdr:colOff>3078480</xdr:colOff>
          <xdr:row>15</xdr:row>
          <xdr:rowOff>15240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=""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21</xdr:row>
          <xdr:rowOff>7620</xdr:rowOff>
        </xdr:from>
        <xdr:to>
          <xdr:col>2</xdr:col>
          <xdr:colOff>3078480</xdr:colOff>
          <xdr:row>22</xdr:row>
          <xdr:rowOff>15240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=""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26</xdr:row>
          <xdr:rowOff>22860</xdr:rowOff>
        </xdr:from>
        <xdr:to>
          <xdr:col>2</xdr:col>
          <xdr:colOff>3078480</xdr:colOff>
          <xdr:row>27</xdr:row>
          <xdr:rowOff>15240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=""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213360</xdr:rowOff>
        </xdr:from>
        <xdr:to>
          <xdr:col>4</xdr:col>
          <xdr:colOff>1371600</xdr:colOff>
          <xdr:row>6</xdr:row>
          <xdr:rowOff>83820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=""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22860</xdr:rowOff>
        </xdr:from>
        <xdr:to>
          <xdr:col>3</xdr:col>
          <xdr:colOff>0</xdr:colOff>
          <xdr:row>4</xdr:row>
          <xdr:rowOff>30480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=""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2</xdr:col>
          <xdr:colOff>3078480</xdr:colOff>
          <xdr:row>3</xdr:row>
          <xdr:rowOff>7620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=""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30480</xdr:rowOff>
        </xdr:from>
        <xdr:to>
          <xdr:col>4</xdr:col>
          <xdr:colOff>1371600</xdr:colOff>
          <xdr:row>8</xdr:row>
          <xdr:rowOff>129540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=""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160020</xdr:rowOff>
        </xdr:from>
        <xdr:to>
          <xdr:col>4</xdr:col>
          <xdr:colOff>1371600</xdr:colOff>
          <xdr:row>10</xdr:row>
          <xdr:rowOff>30480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=""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68580</xdr:rowOff>
        </xdr:from>
        <xdr:to>
          <xdr:col>4</xdr:col>
          <xdr:colOff>1371600</xdr:colOff>
          <xdr:row>11</xdr:row>
          <xdr:rowOff>167640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=""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5</xdr:row>
          <xdr:rowOff>7620</xdr:rowOff>
        </xdr:from>
        <xdr:to>
          <xdr:col>8</xdr:col>
          <xdr:colOff>68580</xdr:colOff>
          <xdr:row>6</xdr:row>
          <xdr:rowOff>106680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=""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6</xdr:row>
          <xdr:rowOff>160020</xdr:rowOff>
        </xdr:from>
        <xdr:to>
          <xdr:col>8</xdr:col>
          <xdr:colOff>68580</xdr:colOff>
          <xdr:row>8</xdr:row>
          <xdr:rowOff>30480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=""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137160</xdr:rowOff>
        </xdr:from>
        <xdr:to>
          <xdr:col>8</xdr:col>
          <xdr:colOff>99060</xdr:colOff>
          <xdr:row>3</xdr:row>
          <xdr:rowOff>7620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=""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22860</xdr:rowOff>
        </xdr:from>
        <xdr:to>
          <xdr:col>2</xdr:col>
          <xdr:colOff>3093720</xdr:colOff>
          <xdr:row>6</xdr:row>
          <xdr:rowOff>22860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=""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7620</xdr:rowOff>
        </xdr:from>
        <xdr:to>
          <xdr:col>3</xdr:col>
          <xdr:colOff>22860</xdr:colOff>
          <xdr:row>8</xdr:row>
          <xdr:rowOff>7620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=""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</xdr:row>
          <xdr:rowOff>0</xdr:rowOff>
        </xdr:from>
        <xdr:to>
          <xdr:col>2</xdr:col>
          <xdr:colOff>3078480</xdr:colOff>
          <xdr:row>9</xdr:row>
          <xdr:rowOff>7620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=""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0</xdr:rowOff>
        </xdr:from>
        <xdr:to>
          <xdr:col>2</xdr:col>
          <xdr:colOff>3078480</xdr:colOff>
          <xdr:row>2</xdr:row>
          <xdr:rowOff>7620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60960</xdr:rowOff>
        </xdr:from>
        <xdr:to>
          <xdr:col>6</xdr:col>
          <xdr:colOff>60960</xdr:colOff>
          <xdr:row>3</xdr:row>
          <xdr:rowOff>152400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1242060</xdr:colOff>
          <xdr:row>6</xdr:row>
          <xdr:rowOff>7620</xdr:rowOff>
        </xdr:from>
        <xdr:to>
          <xdr:col>6</xdr:col>
          <xdr:colOff>83820</xdr:colOff>
          <xdr:row>7</xdr:row>
          <xdr:rowOff>121920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=""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2</xdr:row>
          <xdr:rowOff>68580</xdr:rowOff>
        </xdr:from>
        <xdr:to>
          <xdr:col>4</xdr:col>
          <xdr:colOff>899160</xdr:colOff>
          <xdr:row>3</xdr:row>
          <xdr:rowOff>144780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=""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160020</xdr:rowOff>
        </xdr:from>
        <xdr:to>
          <xdr:col>6</xdr:col>
          <xdr:colOff>502920</xdr:colOff>
          <xdr:row>3</xdr:row>
          <xdr:rowOff>68580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3</xdr:col>
          <xdr:colOff>655320</xdr:colOff>
          <xdr:row>3</xdr:row>
          <xdr:rowOff>60960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22860</xdr:rowOff>
        </xdr:from>
        <xdr:to>
          <xdr:col>6</xdr:col>
          <xdr:colOff>541020</xdr:colOff>
          <xdr:row>5</xdr:row>
          <xdr:rowOff>137160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22860</xdr:rowOff>
        </xdr:from>
        <xdr:to>
          <xdr:col>3</xdr:col>
          <xdr:colOff>655320</xdr:colOff>
          <xdr:row>7</xdr:row>
          <xdr:rowOff>99060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7620</xdr:rowOff>
        </xdr:from>
        <xdr:to>
          <xdr:col>3</xdr:col>
          <xdr:colOff>655320</xdr:colOff>
          <xdr:row>5</xdr:row>
          <xdr:rowOff>68580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=""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11</xdr:row>
          <xdr:rowOff>30480</xdr:rowOff>
        </xdr:from>
        <xdr:to>
          <xdr:col>8</xdr:col>
          <xdr:colOff>274320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=""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30480</xdr:rowOff>
        </xdr:from>
        <xdr:to>
          <xdr:col>2</xdr:col>
          <xdr:colOff>320040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=""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</xdr:row>
          <xdr:rowOff>60960</xdr:rowOff>
        </xdr:from>
        <xdr:to>
          <xdr:col>5</xdr:col>
          <xdr:colOff>1379220</xdr:colOff>
          <xdr:row>3</xdr:row>
          <xdr:rowOff>160020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=""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38100</xdr:rowOff>
        </xdr:from>
        <xdr:to>
          <xdr:col>8</xdr:col>
          <xdr:colOff>274320</xdr:colOff>
          <xdr:row>12</xdr:row>
          <xdr:rowOff>198120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=""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15</xdr:row>
          <xdr:rowOff>7620</xdr:rowOff>
        </xdr:from>
        <xdr:to>
          <xdr:col>3</xdr:col>
          <xdr:colOff>91440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=""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16</xdr:row>
          <xdr:rowOff>7620</xdr:rowOff>
        </xdr:from>
        <xdr:to>
          <xdr:col>3</xdr:col>
          <xdr:colOff>91440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=""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17</xdr:row>
          <xdr:rowOff>7620</xdr:rowOff>
        </xdr:from>
        <xdr:to>
          <xdr:col>3</xdr:col>
          <xdr:colOff>91440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=""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19</xdr:row>
          <xdr:rowOff>7620</xdr:rowOff>
        </xdr:from>
        <xdr:to>
          <xdr:col>3</xdr:col>
          <xdr:colOff>91440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=""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36</xdr:row>
          <xdr:rowOff>30480</xdr:rowOff>
        </xdr:from>
        <xdr:to>
          <xdr:col>1</xdr:col>
          <xdr:colOff>1165860</xdr:colOff>
          <xdr:row>37</xdr:row>
          <xdr:rowOff>22860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=""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37</xdr:row>
          <xdr:rowOff>45720</xdr:rowOff>
        </xdr:from>
        <xdr:to>
          <xdr:col>1</xdr:col>
          <xdr:colOff>1165860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=""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14</xdr:row>
          <xdr:rowOff>30480</xdr:rowOff>
        </xdr:from>
        <xdr:to>
          <xdr:col>8</xdr:col>
          <xdr:colOff>274320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=""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15</xdr:row>
          <xdr:rowOff>38100</xdr:rowOff>
        </xdr:from>
        <xdr:to>
          <xdr:col>8</xdr:col>
          <xdr:colOff>274320</xdr:colOff>
          <xdr:row>15</xdr:row>
          <xdr:rowOff>198120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=""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=""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373380</xdr:colOff>
          <xdr:row>17</xdr:row>
          <xdr:rowOff>220980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=""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21</xdr:row>
          <xdr:rowOff>0</xdr:rowOff>
        </xdr:from>
        <xdr:to>
          <xdr:col>8</xdr:col>
          <xdr:colOff>1150620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=""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99060</xdr:rowOff>
        </xdr:from>
        <xdr:to>
          <xdr:col>5</xdr:col>
          <xdr:colOff>1379220</xdr:colOff>
          <xdr:row>6</xdr:row>
          <xdr:rowOff>198120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=""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30480</xdr:rowOff>
        </xdr:from>
        <xdr:to>
          <xdr:col>2</xdr:col>
          <xdr:colOff>320040</xdr:colOff>
          <xdr:row>33</xdr:row>
          <xdr:rowOff>190500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=""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83820</xdr:rowOff>
        </xdr:from>
        <xdr:to>
          <xdr:col>8</xdr:col>
          <xdr:colOff>1325880</xdr:colOff>
          <xdr:row>2</xdr:row>
          <xdr:rowOff>175260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83820</xdr:rowOff>
        </xdr:from>
        <xdr:to>
          <xdr:col>8</xdr:col>
          <xdr:colOff>1379220</xdr:colOff>
          <xdr:row>9</xdr:row>
          <xdr:rowOff>15240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30480</xdr:rowOff>
        </xdr:from>
        <xdr:to>
          <xdr:col>8</xdr:col>
          <xdr:colOff>1371600</xdr:colOff>
          <xdr:row>5</xdr:row>
          <xdr:rowOff>175260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=""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6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66.emf"/><Relationship Id="rId21" Type="http://schemas.openxmlformats.org/officeDocument/2006/relationships/image" Target="../media/image57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image" Target="../media/image70.emf"/><Relationship Id="rId50" Type="http://schemas.openxmlformats.org/officeDocument/2006/relationships/control" Target="../activeX/activeX76.xml"/><Relationship Id="rId55" Type="http://schemas.openxmlformats.org/officeDocument/2006/relationships/image" Target="../media/image74.emf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54" Type="http://schemas.openxmlformats.org/officeDocument/2006/relationships/control" Target="../activeX/activeX7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5.emf"/><Relationship Id="rId40" Type="http://schemas.openxmlformats.org/officeDocument/2006/relationships/control" Target="../activeX/activeX71.xml"/><Relationship Id="rId45" Type="http://schemas.openxmlformats.org/officeDocument/2006/relationships/image" Target="../media/image69.emf"/><Relationship Id="rId53" Type="http://schemas.openxmlformats.org/officeDocument/2006/relationships/image" Target="../media/image73.emf"/><Relationship Id="rId5" Type="http://schemas.openxmlformats.org/officeDocument/2006/relationships/image" Target="../media/image51.emf"/><Relationship Id="rId15" Type="http://schemas.openxmlformats.org/officeDocument/2006/relationships/control" Target="../activeX/activeX58.xml"/><Relationship Id="rId23" Type="http://schemas.openxmlformats.org/officeDocument/2006/relationships/image" Target="../media/image58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49" Type="http://schemas.openxmlformats.org/officeDocument/2006/relationships/image" Target="../media/image71.emf"/><Relationship Id="rId10" Type="http://schemas.openxmlformats.org/officeDocument/2006/relationships/control" Target="../activeX/activeX54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3.xml"/><Relationship Id="rId52" Type="http://schemas.openxmlformats.org/officeDocument/2006/relationships/control" Target="../activeX/activeX77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2.xml"/><Relationship Id="rId27" Type="http://schemas.openxmlformats.org/officeDocument/2006/relationships/image" Target="../media/image60.emf"/><Relationship Id="rId30" Type="http://schemas.openxmlformats.org/officeDocument/2006/relationships/control" Target="../activeX/activeX66.xml"/><Relationship Id="rId35" Type="http://schemas.openxmlformats.org/officeDocument/2006/relationships/image" Target="../media/image64.emf"/><Relationship Id="rId43" Type="http://schemas.openxmlformats.org/officeDocument/2006/relationships/image" Target="../media/image68.emf"/><Relationship Id="rId48" Type="http://schemas.openxmlformats.org/officeDocument/2006/relationships/control" Target="../activeX/activeX75.xml"/><Relationship Id="rId8" Type="http://schemas.openxmlformats.org/officeDocument/2006/relationships/control" Target="../activeX/activeX53.xml"/><Relationship Id="rId51" Type="http://schemas.openxmlformats.org/officeDocument/2006/relationships/image" Target="../media/image72.emf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75.emf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8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9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8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13" Type="http://schemas.openxmlformats.org/officeDocument/2006/relationships/image" Target="../media/image86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100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90.emf"/><Relationship Id="rId7" Type="http://schemas.openxmlformats.org/officeDocument/2006/relationships/control" Target="../activeX/activeX89.xml"/><Relationship Id="rId12" Type="http://schemas.openxmlformats.org/officeDocument/2006/relationships/control" Target="../activeX/activeX92.xml"/><Relationship Id="rId17" Type="http://schemas.openxmlformats.org/officeDocument/2006/relationships/image" Target="../media/image88.emf"/><Relationship Id="rId25" Type="http://schemas.openxmlformats.org/officeDocument/2006/relationships/control" Target="../activeX/activeX99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image" Target="../media/image93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85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83.emf"/><Relationship Id="rId15" Type="http://schemas.openxmlformats.org/officeDocument/2006/relationships/image" Target="../media/image87.emf"/><Relationship Id="rId23" Type="http://schemas.openxmlformats.org/officeDocument/2006/relationships/image" Target="../media/image91.emf"/><Relationship Id="rId28" Type="http://schemas.openxmlformats.org/officeDocument/2006/relationships/control" Target="../activeX/activeX101.xml"/><Relationship Id="rId10" Type="http://schemas.openxmlformats.org/officeDocument/2006/relationships/control" Target="../activeX/activeX91.xml"/><Relationship Id="rId19" Type="http://schemas.openxmlformats.org/officeDocument/2006/relationships/image" Target="../media/image89.emf"/><Relationship Id="rId31" Type="http://schemas.openxmlformats.org/officeDocument/2006/relationships/image" Target="../media/image94.emf"/><Relationship Id="rId4" Type="http://schemas.openxmlformats.org/officeDocument/2006/relationships/control" Target="../activeX/activeX87.xml"/><Relationship Id="rId9" Type="http://schemas.openxmlformats.org/officeDocument/2006/relationships/control" Target="../activeX/activeX90.xml"/><Relationship Id="rId14" Type="http://schemas.openxmlformats.org/officeDocument/2006/relationships/control" Target="../activeX/activeX93.xml"/><Relationship Id="rId22" Type="http://schemas.openxmlformats.org/officeDocument/2006/relationships/control" Target="../activeX/activeX97.xml"/><Relationship Id="rId27" Type="http://schemas.openxmlformats.org/officeDocument/2006/relationships/image" Target="../media/image92.emf"/><Relationship Id="rId30" Type="http://schemas.openxmlformats.org/officeDocument/2006/relationships/control" Target="../activeX/activeX10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95.emf"/><Relationship Id="rId4" Type="http://schemas.openxmlformats.org/officeDocument/2006/relationships/control" Target="../activeX/activeX104.xml"/><Relationship Id="rId9" Type="http://schemas.openxmlformats.org/officeDocument/2006/relationships/image" Target="../media/image9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B15" sqref="B15"/>
    </sheetView>
  </sheetViews>
  <sheetFormatPr defaultRowHeight="15" customHeight="1" x14ac:dyDescent="0.3"/>
  <cols>
    <col min="2" max="2" width="4.109375" customWidth="1"/>
    <col min="11" max="11" width="7.5546875" customWidth="1"/>
  </cols>
  <sheetData>
    <row r="3" spans="2:11" ht="15" customHeight="1" x14ac:dyDescent="0.3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3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3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3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3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3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3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3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3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3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3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3">
      <c r="B14" s="54" t="s">
        <v>251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137160</xdr:colOff>
                <xdr:row>2</xdr:row>
                <xdr:rowOff>121920</xdr:rowOff>
              </from>
              <to>
                <xdr:col>10</xdr:col>
                <xdr:colOff>396240</xdr:colOff>
                <xdr:row>4</xdr:row>
                <xdr:rowOff>167640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213360</xdr:colOff>
                <xdr:row>8</xdr:row>
                <xdr:rowOff>83820</xdr:rowOff>
              </from>
              <to>
                <xdr:col>7</xdr:col>
                <xdr:colOff>472440</xdr:colOff>
                <xdr:row>10</xdr:row>
                <xdr:rowOff>129540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213360</xdr:colOff>
                <xdr:row>11</xdr:row>
                <xdr:rowOff>68580</xdr:rowOff>
              </from>
              <to>
                <xdr:col>7</xdr:col>
                <xdr:colOff>464820</xdr:colOff>
                <xdr:row>13</xdr:row>
                <xdr:rowOff>99060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106680</xdr:colOff>
                <xdr:row>5</xdr:row>
                <xdr:rowOff>68580</xdr:rowOff>
              </from>
              <to>
                <xdr:col>10</xdr:col>
                <xdr:colOff>365760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175260</xdr:colOff>
                <xdr:row>7</xdr:row>
                <xdr:rowOff>99060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198120</xdr:colOff>
                <xdr:row>11</xdr:row>
                <xdr:rowOff>7620</xdr:rowOff>
              </from>
              <to>
                <xdr:col>4</xdr:col>
                <xdr:colOff>175260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3"/>
  <cols>
    <col min="2" max="2" width="30.88671875" style="10" bestFit="1" customWidth="1"/>
    <col min="3" max="3" width="41.88671875" style="9" customWidth="1"/>
    <col min="5" max="5" width="32.5546875" customWidth="1"/>
  </cols>
  <sheetData>
    <row r="1" spans="2:5" ht="30" customHeight="1" x14ac:dyDescent="0.3">
      <c r="C1" s="8"/>
    </row>
    <row r="2" spans="2:5" ht="30" customHeight="1" x14ac:dyDescent="0.3">
      <c r="B2" s="11" t="s">
        <v>41</v>
      </c>
      <c r="C2" s="14"/>
    </row>
    <row r="3" spans="2:5" ht="30" customHeight="1" x14ac:dyDescent="0.3">
      <c r="B3" s="11" t="s">
        <v>41</v>
      </c>
      <c r="C3" s="13"/>
      <c r="E3" s="36"/>
    </row>
    <row r="4" spans="2:5" ht="30" customHeight="1" x14ac:dyDescent="0.3">
      <c r="B4" s="11" t="s">
        <v>158</v>
      </c>
      <c r="C4" s="13"/>
      <c r="E4" s="33"/>
    </row>
    <row r="5" spans="2:5" ht="30" customHeight="1" x14ac:dyDescent="0.3">
      <c r="B5" s="11" t="s">
        <v>42</v>
      </c>
      <c r="C5" s="13"/>
      <c r="E5" s="36"/>
    </row>
    <row r="6" spans="2:5" ht="30" customHeight="1" x14ac:dyDescent="0.3">
      <c r="B6" s="11" t="s">
        <v>43</v>
      </c>
      <c r="C6" s="13"/>
    </row>
    <row r="7" spans="2:5" ht="30" customHeight="1" x14ac:dyDescent="0.3">
      <c r="B7" s="11" t="s">
        <v>44</v>
      </c>
      <c r="C7" s="13"/>
    </row>
    <row r="8" spans="2:5" ht="30" customHeight="1" x14ac:dyDescent="0.3">
      <c r="B8" s="11" t="s">
        <v>45</v>
      </c>
      <c r="C8" s="13"/>
    </row>
    <row r="9" spans="2:5" ht="30" customHeight="1" x14ac:dyDescent="0.3">
      <c r="B9" s="11" t="s">
        <v>46</v>
      </c>
      <c r="C9" s="13"/>
    </row>
    <row r="10" spans="2:5" ht="30" customHeight="1" x14ac:dyDescent="0.3">
      <c r="B10" s="11" t="s">
        <v>47</v>
      </c>
      <c r="C10" s="13"/>
    </row>
    <row r="11" spans="2:5" ht="30" customHeight="1" x14ac:dyDescent="0.3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45720</xdr:colOff>
                <xdr:row>3</xdr:row>
                <xdr:rowOff>22860</xdr:rowOff>
              </from>
              <to>
                <xdr:col>4</xdr:col>
                <xdr:colOff>1417320</xdr:colOff>
                <xdr:row>3</xdr:row>
                <xdr:rowOff>358140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30480</xdr:colOff>
                <xdr:row>1</xdr:row>
                <xdr:rowOff>0</xdr:rowOff>
              </from>
              <to>
                <xdr:col>4</xdr:col>
                <xdr:colOff>1402080</xdr:colOff>
                <xdr:row>1</xdr:row>
                <xdr:rowOff>335280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22860</xdr:colOff>
                <xdr:row>7</xdr:row>
                <xdr:rowOff>30480</xdr:rowOff>
              </from>
              <to>
                <xdr:col>2</xdr:col>
                <xdr:colOff>2766060</xdr:colOff>
                <xdr:row>7</xdr:row>
                <xdr:rowOff>358140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22860</xdr:colOff>
                <xdr:row>1</xdr:row>
                <xdr:rowOff>30480</xdr:rowOff>
              </from>
              <to>
                <xdr:col>2</xdr:col>
                <xdr:colOff>2766060</xdr:colOff>
                <xdr:row>1</xdr:row>
                <xdr:rowOff>358140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3"/>
  <cols>
    <col min="1" max="1" width="30.88671875" bestFit="1" customWidth="1"/>
    <col min="2" max="2" width="45.5546875" style="9" customWidth="1"/>
    <col min="4" max="4" width="26.5546875" customWidth="1"/>
  </cols>
  <sheetData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29</v>
      </c>
      <c r="B3" s="14">
        <v>28</v>
      </c>
    </row>
    <row r="4" spans="1:4" ht="30" customHeight="1" x14ac:dyDescent="0.3">
      <c r="A4" s="5" t="s">
        <v>30</v>
      </c>
      <c r="B4" s="13" t="s">
        <v>250</v>
      </c>
      <c r="D4" s="36"/>
    </row>
    <row r="5" spans="1:4" ht="30" customHeight="1" x14ac:dyDescent="0.3">
      <c r="A5" s="5" t="s">
        <v>1</v>
      </c>
      <c r="B5" s="13" t="s">
        <v>247</v>
      </c>
    </row>
    <row r="6" spans="1:4" ht="30" customHeight="1" x14ac:dyDescent="0.3">
      <c r="A6" s="5" t="s">
        <v>28</v>
      </c>
      <c r="B6" s="13" t="s">
        <v>159</v>
      </c>
    </row>
    <row r="7" spans="1:4" ht="30" customHeight="1" x14ac:dyDescent="0.3">
      <c r="A7" s="5" t="s">
        <v>2</v>
      </c>
      <c r="B7" s="13" t="s">
        <v>248</v>
      </c>
    </row>
    <row r="8" spans="1:4" ht="30" customHeight="1" x14ac:dyDescent="0.3">
      <c r="A8" s="5" t="s">
        <v>3</v>
      </c>
      <c r="B8" s="13"/>
    </row>
    <row r="9" spans="1:4" ht="30" customHeight="1" x14ac:dyDescent="0.3">
      <c r="A9" s="5" t="s">
        <v>4</v>
      </c>
      <c r="B9" s="13" t="s">
        <v>249</v>
      </c>
    </row>
    <row r="10" spans="1:4" ht="30" customHeight="1" x14ac:dyDescent="0.3">
      <c r="A10" s="5" t="s">
        <v>139</v>
      </c>
      <c r="B10" s="13" t="s">
        <v>184</v>
      </c>
    </row>
    <row r="11" spans="1:4" ht="30" customHeight="1" x14ac:dyDescent="0.3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3"/>
  <cols>
    <col min="1" max="1" width="30.88671875" style="5" bestFit="1" customWidth="1"/>
    <col min="2" max="2" width="46" style="9" customWidth="1"/>
    <col min="4" max="4" width="35.5546875" customWidth="1"/>
  </cols>
  <sheetData>
    <row r="1" spans="1:7" ht="30" customHeight="1" x14ac:dyDescent="0.3">
      <c r="B1" s="8"/>
    </row>
    <row r="2" spans="1:7" ht="30" customHeight="1" x14ac:dyDescent="0.3">
      <c r="A2" s="5" t="s">
        <v>33</v>
      </c>
      <c r="B2" s="12"/>
    </row>
    <row r="3" spans="1:7" ht="30" customHeight="1" x14ac:dyDescent="0.3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3">
      <c r="A4" s="5" t="s">
        <v>5</v>
      </c>
      <c r="B4" s="13"/>
    </row>
    <row r="5" spans="1:7" ht="30" customHeight="1" x14ac:dyDescent="0.3">
      <c r="A5" s="5" t="s">
        <v>6</v>
      </c>
      <c r="B5" s="13"/>
    </row>
    <row r="6" spans="1:7" ht="30" customHeight="1" x14ac:dyDescent="0.3">
      <c r="A6" s="5" t="s">
        <v>1</v>
      </c>
      <c r="B6" s="13"/>
    </row>
    <row r="7" spans="1:7" ht="30" customHeight="1" x14ac:dyDescent="0.3">
      <c r="A7" s="5" t="s">
        <v>28</v>
      </c>
      <c r="B7" s="13"/>
    </row>
    <row r="8" spans="1:7" ht="30" customHeight="1" x14ac:dyDescent="0.3">
      <c r="A8" s="5" t="s">
        <v>2</v>
      </c>
      <c r="B8" s="13"/>
    </row>
    <row r="9" spans="1:7" ht="30" customHeight="1" x14ac:dyDescent="0.3">
      <c r="A9" s="5" t="s">
        <v>3</v>
      </c>
      <c r="B9" s="13"/>
    </row>
    <row r="10" spans="1:7" ht="30" customHeight="1" x14ac:dyDescent="0.3">
      <c r="A10" s="5" t="s">
        <v>4</v>
      </c>
      <c r="B10" s="13"/>
    </row>
    <row r="11" spans="1:7" ht="30" customHeight="1" x14ac:dyDescent="0.3">
      <c r="A11" s="5" t="s">
        <v>38</v>
      </c>
      <c r="B11" s="15"/>
    </row>
    <row r="12" spans="1:7" ht="30" customHeight="1" x14ac:dyDescent="0.3">
      <c r="A12" s="5" t="s">
        <v>39</v>
      </c>
      <c r="B12" s="13"/>
    </row>
    <row r="13" spans="1:7" ht="30" customHeight="1" x14ac:dyDescent="0.3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7620</xdr:colOff>
                <xdr:row>8</xdr:row>
                <xdr:rowOff>30480</xdr:rowOff>
              </from>
              <to>
                <xdr:col>1</xdr:col>
                <xdr:colOff>3086100</xdr:colOff>
                <xdr:row>9</xdr:row>
                <xdr:rowOff>7620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259080</xdr:colOff>
                <xdr:row>12</xdr:row>
                <xdr:rowOff>99060</xdr:rowOff>
              </from>
              <to>
                <xdr:col>1</xdr:col>
                <xdr:colOff>419100</xdr:colOff>
                <xdr:row>12</xdr:row>
                <xdr:rowOff>259080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3"/>
  <cols>
    <col min="1" max="1" width="37.5546875" customWidth="1"/>
    <col min="2" max="2" width="46" style="9" customWidth="1"/>
    <col min="4" max="4" width="23.4414062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223</v>
      </c>
      <c r="B3" s="12"/>
      <c r="D3" s="36"/>
    </row>
    <row r="4" spans="1:4" ht="30" customHeight="1" x14ac:dyDescent="0.3">
      <c r="A4" s="5" t="s">
        <v>163</v>
      </c>
      <c r="B4" s="137" t="s">
        <v>239</v>
      </c>
    </row>
    <row r="5" spans="1:4" ht="30" customHeight="1" x14ac:dyDescent="0.3">
      <c r="A5" s="5" t="s">
        <v>185</v>
      </c>
      <c r="B5" s="56"/>
    </row>
    <row r="6" spans="1:4" ht="30" customHeight="1" x14ac:dyDescent="0.3">
      <c r="A6" s="5" t="s">
        <v>9</v>
      </c>
      <c r="B6" s="13"/>
    </row>
    <row r="7" spans="1:4" ht="30" customHeight="1" x14ac:dyDescent="0.3">
      <c r="A7" s="5" t="s">
        <v>10</v>
      </c>
      <c r="B7" s="13" t="s">
        <v>240</v>
      </c>
    </row>
    <row r="8" spans="1:4" ht="30" customHeight="1" x14ac:dyDescent="0.3">
      <c r="A8" s="5" t="s">
        <v>11</v>
      </c>
      <c r="B8" s="13">
        <v>2019</v>
      </c>
    </row>
    <row r="9" spans="1:4" ht="30" customHeight="1" x14ac:dyDescent="0.3">
      <c r="A9" s="106" t="s">
        <v>224</v>
      </c>
      <c r="B9" s="13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30480</xdr:rowOff>
              </from>
              <to>
                <xdr:col>3</xdr:col>
                <xdr:colOff>1371600</xdr:colOff>
                <xdr:row>3</xdr:row>
                <xdr:rowOff>358140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45720</xdr:rowOff>
              </from>
              <to>
                <xdr:col>3</xdr:col>
                <xdr:colOff>1371600</xdr:colOff>
                <xdr:row>5</xdr:row>
                <xdr:rowOff>373380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7620</xdr:colOff>
                <xdr:row>4</xdr:row>
                <xdr:rowOff>373380</xdr:rowOff>
              </from>
              <to>
                <xdr:col>1</xdr:col>
                <xdr:colOff>3086100</xdr:colOff>
                <xdr:row>5</xdr:row>
                <xdr:rowOff>350520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365760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22860</xdr:rowOff>
              </from>
              <to>
                <xdr:col>1</xdr:col>
                <xdr:colOff>3078480</xdr:colOff>
                <xdr:row>3</xdr:row>
                <xdr:rowOff>0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3"/>
  <cols>
    <col min="1" max="1" width="13.33203125" customWidth="1"/>
    <col min="2" max="2" width="23.109375" style="9" customWidth="1"/>
    <col min="3" max="3" width="6.5546875" customWidth="1"/>
    <col min="4" max="4" width="20.554687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31</v>
      </c>
      <c r="B3" s="57"/>
      <c r="D3" s="55"/>
    </row>
    <row r="4" spans="1:4" ht="30" customHeight="1" x14ac:dyDescent="0.3">
      <c r="A4" s="5" t="s">
        <v>9</v>
      </c>
      <c r="B4" s="13"/>
    </row>
    <row r="5" spans="1:4" ht="30" customHeight="1" x14ac:dyDescent="0.3">
      <c r="A5" s="5" t="s">
        <v>10</v>
      </c>
      <c r="B5" s="13" t="s">
        <v>241</v>
      </c>
    </row>
    <row r="6" spans="1:4" ht="30" customHeight="1" x14ac:dyDescent="0.3">
      <c r="A6" s="5" t="s">
        <v>11</v>
      </c>
      <c r="B6" s="34">
        <v>2019</v>
      </c>
    </row>
    <row r="7" spans="1:4" ht="30" customHeight="1" x14ac:dyDescent="0.3">
      <c r="A7" s="5"/>
      <c r="B7" s="8"/>
    </row>
    <row r="8" spans="1:4" ht="30" customHeight="1" x14ac:dyDescent="0.3">
      <c r="A8" s="5"/>
      <c r="B8" s="8"/>
    </row>
    <row r="9" spans="1:4" ht="30" customHeight="1" x14ac:dyDescent="0.3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655320</xdr:colOff>
                <xdr:row>6</xdr:row>
                <xdr:rowOff>137160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7620</xdr:colOff>
                <xdr:row>3</xdr:row>
                <xdr:rowOff>22860</xdr:rowOff>
              </from>
              <to>
                <xdr:col>1</xdr:col>
                <xdr:colOff>1539240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426720</xdr:colOff>
                <xdr:row>4</xdr:row>
                <xdr:rowOff>137160</xdr:rowOff>
              </from>
              <to>
                <xdr:col>3</xdr:col>
                <xdr:colOff>662940</xdr:colOff>
                <xdr:row>5</xdr:row>
                <xdr:rowOff>83820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426720</xdr:colOff>
                <xdr:row>3</xdr:row>
                <xdr:rowOff>83820</xdr:rowOff>
              </from>
              <to>
                <xdr:col>3</xdr:col>
                <xdr:colOff>662940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3"/>
  <cols>
    <col min="1" max="1" width="30.88671875" bestFit="1" customWidth="1"/>
    <col min="2" max="2" width="47" style="9" customWidth="1"/>
    <col min="5" max="5" width="20.33203125" customWidth="1"/>
  </cols>
  <sheetData>
    <row r="1" spans="1:5" ht="30" customHeight="1" x14ac:dyDescent="0.3">
      <c r="B1" s="8"/>
    </row>
    <row r="2" spans="1:5" ht="30" customHeight="1" x14ac:dyDescent="0.3">
      <c r="A2" s="5" t="s">
        <v>32</v>
      </c>
      <c r="B2" s="12"/>
    </row>
    <row r="3" spans="1:5" ht="30" customHeight="1" x14ac:dyDescent="0.3">
      <c r="A3" s="5" t="s">
        <v>161</v>
      </c>
      <c r="B3" s="13" t="s">
        <v>162</v>
      </c>
      <c r="E3" t="s">
        <v>160</v>
      </c>
    </row>
    <row r="4" spans="1:5" ht="30" customHeight="1" x14ac:dyDescent="0.3">
      <c r="A4" s="5"/>
      <c r="B4" s="8"/>
    </row>
    <row r="5" spans="1:5" ht="30" customHeight="1" x14ac:dyDescent="0.3">
      <c r="A5" s="5"/>
      <c r="B5" s="8"/>
    </row>
    <row r="6" spans="1:5" ht="30" customHeight="1" x14ac:dyDescent="0.3">
      <c r="A6" s="5"/>
      <c r="B6" s="8"/>
    </row>
    <row r="7" spans="1:5" ht="30" customHeight="1" x14ac:dyDescent="0.3">
      <c r="A7" s="5"/>
      <c r="B7" s="8"/>
    </row>
    <row r="8" spans="1:5" ht="30" customHeight="1" x14ac:dyDescent="0.3">
      <c r="A8" s="5"/>
      <c r="B8" s="8"/>
    </row>
    <row r="9" spans="1:5" ht="30" customHeight="1" x14ac:dyDescent="0.3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601980</xdr:colOff>
                <xdr:row>3</xdr:row>
                <xdr:rowOff>213360</xdr:rowOff>
              </from>
              <to>
                <xdr:col>4</xdr:col>
                <xdr:colOff>1371600</xdr:colOff>
                <xdr:row>4</xdr:row>
                <xdr:rowOff>129540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3"/>
  <cols>
    <col min="1" max="1" width="30.88671875" bestFit="1" customWidth="1"/>
    <col min="2" max="2" width="46.5546875" style="9" customWidth="1"/>
    <col min="5" max="5" width="22" customWidth="1"/>
  </cols>
  <sheetData>
    <row r="1" spans="1:5" ht="30" customHeight="1" x14ac:dyDescent="0.3">
      <c r="B1" s="8"/>
    </row>
    <row r="2" spans="1:5" ht="30" customHeight="1" x14ac:dyDescent="0.3">
      <c r="A2" s="3" t="s">
        <v>33</v>
      </c>
      <c r="B2" s="12"/>
    </row>
    <row r="3" spans="1:5" ht="30" customHeight="1" x14ac:dyDescent="0.3">
      <c r="A3" s="5" t="s">
        <v>35</v>
      </c>
      <c r="B3" s="57" t="s">
        <v>242</v>
      </c>
      <c r="E3" s="36"/>
    </row>
    <row r="4" spans="1:5" ht="30" customHeight="1" x14ac:dyDescent="0.3">
      <c r="A4" s="5" t="s">
        <v>36</v>
      </c>
      <c r="B4" s="57"/>
    </row>
    <row r="5" spans="1:5" ht="30" customHeight="1" x14ac:dyDescent="0.3">
      <c r="A5" s="5" t="s">
        <v>13</v>
      </c>
      <c r="B5" s="13"/>
    </row>
    <row r="6" spans="1:5" ht="30" customHeight="1" x14ac:dyDescent="0.3">
      <c r="A6" s="5" t="s">
        <v>34</v>
      </c>
      <c r="B6" s="13"/>
    </row>
    <row r="7" spans="1:5" ht="30" customHeight="1" x14ac:dyDescent="0.3">
      <c r="A7" s="5" t="s">
        <v>14</v>
      </c>
      <c r="B7" s="13"/>
    </row>
    <row r="8" spans="1:5" ht="30" customHeight="1" x14ac:dyDescent="0.3">
      <c r="A8" s="5" t="s">
        <v>37</v>
      </c>
      <c r="B8" s="102"/>
    </row>
    <row r="9" spans="1:5" ht="30" customHeight="1" x14ac:dyDescent="0.3">
      <c r="A9" s="5" t="s">
        <v>15</v>
      </c>
      <c r="B9" s="13">
        <v>14</v>
      </c>
    </row>
    <row r="10" spans="1:5" ht="30" customHeight="1" x14ac:dyDescent="0.3">
      <c r="A10" s="5" t="s">
        <v>16</v>
      </c>
      <c r="B10" s="13">
        <v>12</v>
      </c>
    </row>
    <row r="11" spans="1:5" ht="30" customHeight="1" x14ac:dyDescent="0.3">
      <c r="A11" s="5" t="s">
        <v>17</v>
      </c>
      <c r="B11" s="13">
        <v>14</v>
      </c>
    </row>
    <row r="12" spans="1:5" ht="30" customHeight="1" x14ac:dyDescent="0.3">
      <c r="A12" s="5" t="s">
        <v>18</v>
      </c>
      <c r="B12" s="13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274320</xdr:colOff>
                <xdr:row>3</xdr:row>
                <xdr:rowOff>0</xdr:rowOff>
              </from>
              <to>
                <xdr:col>4</xdr:col>
                <xdr:colOff>1043940</xdr:colOff>
                <xdr:row>3</xdr:row>
                <xdr:rowOff>297180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30480</xdr:colOff>
                <xdr:row>6</xdr:row>
                <xdr:rowOff>22860</xdr:rowOff>
              </from>
              <to>
                <xdr:col>1</xdr:col>
                <xdr:colOff>3108960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259080</xdr:colOff>
                <xdr:row>1</xdr:row>
                <xdr:rowOff>30480</xdr:rowOff>
              </from>
              <to>
                <xdr:col>4</xdr:col>
                <xdr:colOff>1043940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7620</xdr:colOff>
                <xdr:row>5</xdr:row>
                <xdr:rowOff>7620</xdr:rowOff>
              </from>
              <to>
                <xdr:col>1</xdr:col>
                <xdr:colOff>3086100</xdr:colOff>
                <xdr:row>5</xdr:row>
                <xdr:rowOff>365760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22860</xdr:colOff>
                <xdr:row>7</xdr:row>
                <xdr:rowOff>7620</xdr:rowOff>
              </from>
              <to>
                <xdr:col>1</xdr:col>
                <xdr:colOff>3101340</xdr:colOff>
                <xdr:row>7</xdr:row>
                <xdr:rowOff>365760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350520</xdr:rowOff>
              </from>
              <to>
                <xdr:col>4</xdr:col>
                <xdr:colOff>1028700</xdr:colOff>
                <xdr:row>4</xdr:row>
                <xdr:rowOff>297180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29"/>
  <sheetViews>
    <sheetView showGridLines="0" workbookViewId="0">
      <selection activeCell="J24" sqref="H24:J24"/>
    </sheetView>
  </sheetViews>
  <sheetFormatPr defaultRowHeight="18" customHeight="1" x14ac:dyDescent="0.3"/>
  <cols>
    <col min="1" max="1" width="12.5546875" customWidth="1"/>
    <col min="2" max="2" width="38.44140625" style="5" bestFit="1" customWidth="1"/>
    <col min="3" max="3" width="45.5546875" customWidth="1"/>
    <col min="5" max="5" width="22.5546875" customWidth="1"/>
  </cols>
  <sheetData>
    <row r="1" spans="2:10" ht="21" customHeight="1" x14ac:dyDescent="0.3"/>
    <row r="2" spans="2:10" ht="18" customHeight="1" x14ac:dyDescent="0.3">
      <c r="B2" s="5" t="s">
        <v>252</v>
      </c>
    </row>
    <row r="3" spans="2:10" ht="18" customHeight="1" x14ac:dyDescent="0.3">
      <c r="B3" s="5" t="s">
        <v>0</v>
      </c>
    </row>
    <row r="4" spans="2:10" ht="18" customHeight="1" x14ac:dyDescent="0.35">
      <c r="B4" s="5" t="s">
        <v>146</v>
      </c>
      <c r="E4" s="44"/>
    </row>
    <row r="5" spans="2:10" ht="18" customHeight="1" x14ac:dyDescent="0.3">
      <c r="B5" s="133" t="s">
        <v>212</v>
      </c>
      <c r="C5" s="1"/>
      <c r="J5" s="5"/>
    </row>
    <row r="6" spans="2:10" ht="18" customHeight="1" x14ac:dyDescent="0.3">
      <c r="B6" s="5" t="s">
        <v>175</v>
      </c>
      <c r="C6" s="52"/>
      <c r="J6" s="5"/>
    </row>
    <row r="7" spans="2:10" ht="18" customHeight="1" x14ac:dyDescent="0.3">
      <c r="B7" s="5" t="s">
        <v>172</v>
      </c>
      <c r="C7" s="2"/>
    </row>
    <row r="8" spans="2:10" ht="18" customHeight="1" x14ac:dyDescent="0.3">
      <c r="B8" s="5" t="s">
        <v>173</v>
      </c>
      <c r="C8" s="52"/>
    </row>
    <row r="9" spans="2:10" ht="18" customHeight="1" x14ac:dyDescent="0.3">
      <c r="B9" s="5" t="s">
        <v>186</v>
      </c>
      <c r="C9" s="52"/>
    </row>
    <row r="10" spans="2:10" ht="18" customHeight="1" x14ac:dyDescent="0.3">
      <c r="B10" s="5" t="s">
        <v>227</v>
      </c>
      <c r="C10" s="136">
        <v>1944</v>
      </c>
    </row>
    <row r="11" spans="2:10" ht="18" customHeight="1" x14ac:dyDescent="0.3">
      <c r="C11" s="2"/>
    </row>
    <row r="12" spans="2:10" ht="18" customHeight="1" x14ac:dyDescent="0.3">
      <c r="B12" s="5" t="s">
        <v>147</v>
      </c>
      <c r="C12" s="4"/>
    </row>
    <row r="13" spans="2:10" ht="18" customHeight="1" x14ac:dyDescent="0.3">
      <c r="B13" s="5" t="s">
        <v>8</v>
      </c>
      <c r="C13" s="1"/>
    </row>
    <row r="14" spans="2:10" ht="18" customHeight="1" x14ac:dyDescent="0.3">
      <c r="B14" s="5" t="s">
        <v>12</v>
      </c>
      <c r="C14" s="1"/>
    </row>
    <row r="15" spans="2:10" ht="18" customHeight="1" x14ac:dyDescent="0.3">
      <c r="B15" s="5" t="s">
        <v>174</v>
      </c>
      <c r="C15" s="1"/>
    </row>
    <row r="16" spans="2:10" ht="18" customHeight="1" x14ac:dyDescent="0.3">
      <c r="B16" s="133" t="s">
        <v>225</v>
      </c>
      <c r="C16" s="53"/>
    </row>
    <row r="17" spans="2:5" ht="18" customHeight="1" x14ac:dyDescent="0.3">
      <c r="B17" s="133" t="s">
        <v>226</v>
      </c>
      <c r="C17" s="52"/>
    </row>
    <row r="18" spans="2:5" ht="18" customHeight="1" x14ac:dyDescent="0.3">
      <c r="C18" s="1"/>
    </row>
    <row r="19" spans="2:5" ht="18" customHeight="1" x14ac:dyDescent="0.3">
      <c r="B19" s="5" t="s">
        <v>19</v>
      </c>
      <c r="C19" s="51"/>
    </row>
    <row r="20" spans="2:5" ht="18" customHeight="1" x14ac:dyDescent="0.3">
      <c r="B20" s="5" t="s">
        <v>20</v>
      </c>
      <c r="C20" s="52"/>
    </row>
    <row r="21" spans="2:5" ht="18" customHeight="1" x14ac:dyDescent="0.3">
      <c r="B21" s="5" t="s">
        <v>21</v>
      </c>
      <c r="C21" s="52"/>
    </row>
    <row r="22" spans="2:5" ht="18" customHeight="1" x14ac:dyDescent="0.3">
      <c r="B22" s="5" t="s">
        <v>22</v>
      </c>
      <c r="C22" s="1"/>
    </row>
    <row r="23" spans="2:5" ht="18" customHeight="1" x14ac:dyDescent="0.3">
      <c r="C23" s="1"/>
    </row>
    <row r="24" spans="2:5" ht="18" customHeight="1" x14ac:dyDescent="0.3">
      <c r="B24" s="5" t="s">
        <v>23</v>
      </c>
      <c r="C24" s="51"/>
    </row>
    <row r="25" spans="2:5" ht="18" customHeight="1" x14ac:dyDescent="0.3">
      <c r="B25" s="5" t="s">
        <v>24</v>
      </c>
      <c r="C25" s="52"/>
    </row>
    <row r="26" spans="2:5" ht="18" customHeight="1" x14ac:dyDescent="0.3">
      <c r="B26" s="5" t="s">
        <v>25</v>
      </c>
      <c r="C26" s="52"/>
    </row>
    <row r="27" spans="2:5" ht="18" customHeight="1" x14ac:dyDescent="0.3">
      <c r="B27" s="5" t="s">
        <v>26</v>
      </c>
      <c r="C27" s="1"/>
      <c r="D27" s="115"/>
      <c r="E27" s="115"/>
    </row>
    <row r="28" spans="2:5" ht="18" customHeight="1" x14ac:dyDescent="0.3">
      <c r="B28" s="5" t="s">
        <v>7</v>
      </c>
      <c r="C28" s="1"/>
      <c r="D28" s="115"/>
      <c r="E28" s="115"/>
    </row>
    <row r="29" spans="2:5" ht="18" customHeight="1" x14ac:dyDescent="0.3">
      <c r="D29" s="115"/>
      <c r="E29" s="115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20" r:id="rId4" name="cbSalesStatusID">
          <controlPr defaultSize="0" autoFill="0" autoLine="0" r:id="rId5">
            <anchor moveWithCells="1">
              <from>
                <xdr:col>2</xdr:col>
                <xdr:colOff>22860</xdr:colOff>
                <xdr:row>1</xdr:row>
                <xdr:rowOff>0</xdr:rowOff>
              </from>
              <to>
                <xdr:col>2</xdr:col>
                <xdr:colOff>3078480</xdr:colOff>
                <xdr:row>2</xdr:row>
                <xdr:rowOff>7620</xdr:rowOff>
              </to>
            </anchor>
          </controlPr>
        </control>
      </mc:Choice>
      <mc:Fallback>
        <control shapeId="33820" r:id="rId4" name="cbSalesStatusID"/>
      </mc:Fallback>
    </mc:AlternateContent>
    <mc:AlternateContent xmlns:mc="http://schemas.openxmlformats.org/markup-compatibility/2006">
      <mc:Choice Requires="x14">
        <control shapeId="33819" r:id="rId6" name="cbCleaningLocation">
          <controlPr defaultSize="0" autoFill="0" autoLine="0" r:id="rId7">
            <anchor moveWithCells="1">
              <from>
                <xdr:col>2</xdr:col>
                <xdr:colOff>22860</xdr:colOff>
                <xdr:row>8</xdr:row>
                <xdr:rowOff>0</xdr:rowOff>
              </from>
              <to>
                <xdr:col>2</xdr:col>
                <xdr:colOff>3078480</xdr:colOff>
                <xdr:row>9</xdr:row>
                <xdr:rowOff>7620</xdr:rowOff>
              </to>
            </anchor>
          </controlPr>
        </control>
      </mc:Choice>
      <mc:Fallback>
        <control shapeId="33819" r:id="rId6" name="cbCleaningLocation"/>
      </mc:Fallback>
    </mc:AlternateContent>
    <mc:AlternateContent xmlns:mc="http://schemas.openxmlformats.org/markup-compatibility/2006">
      <mc:Choice Requires="x14">
        <control shapeId="33793" r:id="rId8" name="chkOvrRdHw">
          <controlPr autoLine="0" r:id="rId9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198120</xdr:colOff>
                <xdr:row>18</xdr:row>
                <xdr:rowOff>167640</xdr:rowOff>
              </to>
            </anchor>
          </controlPr>
        </control>
      </mc:Choice>
      <mc:Fallback>
        <control shapeId="33793" r:id="rId8" name="chkOvrRdHw"/>
      </mc:Fallback>
    </mc:AlternateContent>
    <mc:AlternateContent xmlns:mc="http://schemas.openxmlformats.org/markup-compatibility/2006">
      <mc:Choice Requires="x14">
        <control shapeId="33794" r:id="rId10" name="chkStartStop">
          <controlPr autoLine="0" r:id="rId11">
            <anchor moveWithCells="1">
              <from>
                <xdr:col>2</xdr:col>
                <xdr:colOff>76200</xdr:colOff>
                <xdr:row>19</xdr:row>
                <xdr:rowOff>30480</xdr:rowOff>
              </from>
              <to>
                <xdr:col>2</xdr:col>
                <xdr:colOff>198120</xdr:colOff>
                <xdr:row>19</xdr:row>
                <xdr:rowOff>190500</xdr:rowOff>
              </to>
            </anchor>
          </controlPr>
        </control>
      </mc:Choice>
      <mc:Fallback>
        <control shapeId="33794" r:id="rId10" name="chkStartStop"/>
      </mc:Fallback>
    </mc:AlternateContent>
    <mc:AlternateContent xmlns:mc="http://schemas.openxmlformats.org/markup-compatibility/2006">
      <mc:Choice Requires="x14">
        <control shapeId="33795" r:id="rId12" name="chkHighIdle">
          <controlPr autoLine="0" r:id="rId11">
            <anchor moveWithCells="1">
              <from>
                <xdr:col>2</xdr:col>
                <xdr:colOff>76200</xdr:colOff>
                <xdr:row>20</xdr:row>
                <xdr:rowOff>30480</xdr:rowOff>
              </from>
              <to>
                <xdr:col>2</xdr:col>
                <xdr:colOff>198120</xdr:colOff>
                <xdr:row>20</xdr:row>
                <xdr:rowOff>190500</xdr:rowOff>
              </to>
            </anchor>
          </controlPr>
        </control>
      </mc:Choice>
      <mc:Fallback>
        <control shapeId="33795" r:id="rId12" name="chkHighIdle"/>
      </mc:Fallback>
    </mc:AlternateContent>
    <mc:AlternateContent xmlns:mc="http://schemas.openxmlformats.org/markup-compatibility/2006">
      <mc:Choice Requires="x14">
        <control shapeId="33796" r:id="rId13" name="chkPreventMaint">
          <controlPr autoLine="0" r:id="rId11">
            <anchor moveWithCells="1">
              <from>
                <xdr:col>2</xdr:col>
                <xdr:colOff>76200</xdr:colOff>
                <xdr:row>23</xdr:row>
                <xdr:rowOff>7620</xdr:rowOff>
              </from>
              <to>
                <xdr:col>2</xdr:col>
                <xdr:colOff>198120</xdr:colOff>
                <xdr:row>23</xdr:row>
                <xdr:rowOff>167640</xdr:rowOff>
              </to>
            </anchor>
          </controlPr>
        </control>
      </mc:Choice>
      <mc:Fallback>
        <control shapeId="33796" r:id="rId13" name="chkPreventMaint"/>
      </mc:Fallback>
    </mc:AlternateContent>
    <mc:AlternateContent xmlns:mc="http://schemas.openxmlformats.org/markup-compatibility/2006">
      <mc:Choice Requires="x14">
        <control shapeId="33797" r:id="rId14" name="chkHighSootLoad">
          <controlPr autoLine="0" r:id="rId11">
            <anchor moveWithCells="1">
              <from>
                <xdr:col>2</xdr:col>
                <xdr:colOff>76200</xdr:colOff>
                <xdr:row>24</xdr:row>
                <xdr:rowOff>7620</xdr:rowOff>
              </from>
              <to>
                <xdr:col>2</xdr:col>
                <xdr:colOff>198120</xdr:colOff>
                <xdr:row>24</xdr:row>
                <xdr:rowOff>167640</xdr:rowOff>
              </to>
            </anchor>
          </controlPr>
        </control>
      </mc:Choice>
      <mc:Fallback>
        <control shapeId="33797" r:id="rId14" name="chkHighSootLoad"/>
      </mc:Fallback>
    </mc:AlternateContent>
    <mc:AlternateContent xmlns:mc="http://schemas.openxmlformats.org/markup-compatibility/2006">
      <mc:Choice Requires="x14">
        <control shapeId="33798" r:id="rId15" name="chkEngineFail">
          <controlPr autoLine="0" r:id="rId11">
            <anchor moveWithCells="1">
              <from>
                <xdr:col>2</xdr:col>
                <xdr:colOff>76200</xdr:colOff>
                <xdr:row>25</xdr:row>
                <xdr:rowOff>22860</xdr:rowOff>
              </from>
              <to>
                <xdr:col>2</xdr:col>
                <xdr:colOff>198120</xdr:colOff>
                <xdr:row>25</xdr:row>
                <xdr:rowOff>182880</xdr:rowOff>
              </to>
            </anchor>
          </controlPr>
        </control>
      </mc:Choice>
      <mc:Fallback>
        <control shapeId="33798" r:id="rId15" name="chkEngineFail"/>
      </mc:Fallback>
    </mc:AlternateContent>
    <mc:AlternateContent xmlns:mc="http://schemas.openxmlformats.org/markup-compatibility/2006">
      <mc:Choice Requires="x14">
        <control shapeId="33799" r:id="rId16" name="cmdSave">
          <controlPr defaultSize="0" autoFill="0" autoLine="0" r:id="rId1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213360</xdr:rowOff>
              </to>
            </anchor>
          </controlPr>
        </control>
      </mc:Choice>
      <mc:Fallback>
        <control shapeId="33799" r:id="rId16" name="cmdSave"/>
      </mc:Fallback>
    </mc:AlternateContent>
    <mc:AlternateContent xmlns:mc="http://schemas.openxmlformats.org/markup-compatibility/2006">
      <mc:Choice Requires="x14">
        <control shapeId="33800" r:id="rId18" name="cbDPF">
          <controlPr defaultSize="0" autoFill="0" autoLine="0" r:id="rId19">
            <anchor moveWithCells="1">
              <from>
                <xdr:col>2</xdr:col>
                <xdr:colOff>22860</xdr:colOff>
                <xdr:row>11</xdr:row>
                <xdr:rowOff>0</xdr:rowOff>
              </from>
              <to>
                <xdr:col>2</xdr:col>
                <xdr:colOff>3078480</xdr:colOff>
                <xdr:row>12</xdr:row>
                <xdr:rowOff>7620</xdr:rowOff>
              </to>
            </anchor>
          </controlPr>
        </control>
      </mc:Choice>
      <mc:Fallback>
        <control shapeId="33800" r:id="rId18" name="cbDPF"/>
      </mc:Fallback>
    </mc:AlternateContent>
    <mc:AlternateContent xmlns:mc="http://schemas.openxmlformats.org/markup-compatibility/2006">
      <mc:Choice Requires="x14">
        <control shapeId="33801" r:id="rId20" name="cbCompany">
          <controlPr defaultSize="0" autoFill="0" autoLine="0" r:id="rId21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2</xdr:col>
                <xdr:colOff>3078480</xdr:colOff>
                <xdr:row>5</xdr:row>
                <xdr:rowOff>15240</xdr:rowOff>
              </to>
            </anchor>
          </controlPr>
        </control>
      </mc:Choice>
      <mc:Fallback>
        <control shapeId="33801" r:id="rId20" name="cbCompany"/>
      </mc:Fallback>
    </mc:AlternateContent>
    <mc:AlternateContent xmlns:mc="http://schemas.openxmlformats.org/markup-compatibility/2006">
      <mc:Choice Requires="x14">
        <control shapeId="33802" r:id="rId22" name="cbCompLocation">
          <controlPr defaultSize="0" autoFill="0" autoLine="0" r:id="rId23">
            <anchor moveWithCells="1">
              <from>
                <xdr:col>2</xdr:col>
                <xdr:colOff>22860</xdr:colOff>
                <xdr:row>6</xdr:row>
                <xdr:rowOff>30480</xdr:rowOff>
              </from>
              <to>
                <xdr:col>2</xdr:col>
                <xdr:colOff>3078480</xdr:colOff>
                <xdr:row>7</xdr:row>
                <xdr:rowOff>38100</xdr:rowOff>
              </to>
            </anchor>
          </controlPr>
        </control>
      </mc:Choice>
      <mc:Fallback>
        <control shapeId="33802" r:id="rId22" name="cbCompLocation"/>
      </mc:Fallback>
    </mc:AlternateContent>
    <mc:AlternateContent xmlns:mc="http://schemas.openxmlformats.org/markup-compatibility/2006">
      <mc:Choice Requires="x14">
        <control shapeId="33803" r:id="rId24" name="cbVehicle">
          <controlPr defaultSize="0" autoFill="0" autoLine="0" r:id="rId25">
            <anchor moveWithCells="1">
              <from>
                <xdr:col>2</xdr:col>
                <xdr:colOff>22860</xdr:colOff>
                <xdr:row>12</xdr:row>
                <xdr:rowOff>7620</xdr:rowOff>
              </from>
              <to>
                <xdr:col>2</xdr:col>
                <xdr:colOff>3078480</xdr:colOff>
                <xdr:row>13</xdr:row>
                <xdr:rowOff>15240</xdr:rowOff>
              </to>
            </anchor>
          </controlPr>
        </control>
      </mc:Choice>
      <mc:Fallback>
        <control shapeId="33803" r:id="rId24" name="cbVehicle"/>
      </mc:Fallback>
    </mc:AlternateContent>
    <mc:AlternateContent xmlns:mc="http://schemas.openxmlformats.org/markup-compatibility/2006">
      <mc:Choice Requires="x14">
        <control shapeId="33804" r:id="rId26" name="cbEngine">
          <controlPr defaultSize="0" autoFill="0" autoLine="0" r:id="rId27">
            <anchor moveWithCells="1">
              <from>
                <xdr:col>2</xdr:col>
                <xdr:colOff>22860</xdr:colOff>
                <xdr:row>13</xdr:row>
                <xdr:rowOff>7620</xdr:rowOff>
              </from>
              <to>
                <xdr:col>2</xdr:col>
                <xdr:colOff>3078480</xdr:colOff>
                <xdr:row>14</xdr:row>
                <xdr:rowOff>15240</xdr:rowOff>
              </to>
            </anchor>
          </controlPr>
        </control>
      </mc:Choice>
      <mc:Fallback>
        <control shapeId="33804" r:id="rId26" name="cbEngine"/>
      </mc:Fallback>
    </mc:AlternateContent>
    <mc:AlternateContent xmlns:mc="http://schemas.openxmlformats.org/markup-compatibility/2006">
      <mc:Choice Requires="x14">
        <control shapeId="33805" r:id="rId28" name="cbECD">
          <controlPr defaultSize="0" autoFill="0" autoLine="0" r:id="rId29">
            <anchor moveWithCells="1">
              <from>
                <xdr:col>2</xdr:col>
                <xdr:colOff>22860</xdr:colOff>
                <xdr:row>14</xdr:row>
                <xdr:rowOff>7620</xdr:rowOff>
              </from>
              <to>
                <xdr:col>2</xdr:col>
                <xdr:colOff>3078480</xdr:colOff>
                <xdr:row>15</xdr:row>
                <xdr:rowOff>15240</xdr:rowOff>
              </to>
            </anchor>
          </controlPr>
        </control>
      </mc:Choice>
      <mc:Fallback>
        <control shapeId="33805" r:id="rId28" name="cbECD"/>
      </mc:Fallback>
    </mc:AlternateContent>
    <mc:AlternateContent xmlns:mc="http://schemas.openxmlformats.org/markup-compatibility/2006">
      <mc:Choice Requires="x14">
        <control shapeId="33806" r:id="rId30" name="cbDrivingType">
          <controlPr defaultSize="0" autoFill="0" autoLine="0" r:id="rId31">
            <anchor moveWithCells="1">
              <from>
                <xdr:col>2</xdr:col>
                <xdr:colOff>22860</xdr:colOff>
                <xdr:row>21</xdr:row>
                <xdr:rowOff>7620</xdr:rowOff>
              </from>
              <to>
                <xdr:col>2</xdr:col>
                <xdr:colOff>3078480</xdr:colOff>
                <xdr:row>22</xdr:row>
                <xdr:rowOff>15240</xdr:rowOff>
              </to>
            </anchor>
          </controlPr>
        </control>
      </mc:Choice>
      <mc:Fallback>
        <control shapeId="33806" r:id="rId30" name="cbDrivingType"/>
      </mc:Fallback>
    </mc:AlternateContent>
    <mc:AlternateContent xmlns:mc="http://schemas.openxmlformats.org/markup-compatibility/2006">
      <mc:Choice Requires="x14">
        <control shapeId="33807" r:id="rId32" name="cbCleaningReason">
          <controlPr defaultSize="0" autoFill="0" autoLine="0" r:id="rId33">
            <anchor moveWithCells="1">
              <from>
                <xdr:col>2</xdr:col>
                <xdr:colOff>22860</xdr:colOff>
                <xdr:row>26</xdr:row>
                <xdr:rowOff>22860</xdr:rowOff>
              </from>
              <to>
                <xdr:col>2</xdr:col>
                <xdr:colOff>3078480</xdr:colOff>
                <xdr:row>27</xdr:row>
                <xdr:rowOff>15240</xdr:rowOff>
              </to>
            </anchor>
          </controlPr>
        </control>
      </mc:Choice>
      <mc:Fallback>
        <control shapeId="33807" r:id="rId32" name="cbCleaningReason"/>
      </mc:Fallback>
    </mc:AlternateContent>
    <mc:AlternateContent xmlns:mc="http://schemas.openxmlformats.org/markup-compatibility/2006">
      <mc:Choice Requires="x14">
        <control shapeId="33808" r:id="rId34" name="cmdMenu">
          <controlPr autoLine="0" r:id="rId35">
            <anchor moveWithCells="1">
              <from>
                <xdr:col>4</xdr:col>
                <xdr:colOff>0</xdr:colOff>
                <xdr:row>4</xdr:row>
                <xdr:rowOff>213360</xdr:rowOff>
              </from>
              <to>
                <xdr:col>4</xdr:col>
                <xdr:colOff>1371600</xdr:colOff>
                <xdr:row>6</xdr:row>
                <xdr:rowOff>83820</xdr:rowOff>
              </to>
            </anchor>
          </controlPr>
        </control>
      </mc:Choice>
      <mc:Fallback>
        <control shapeId="33808" r:id="rId34" name="cmdMenu"/>
      </mc:Fallback>
    </mc:AlternateContent>
    <mc:AlternateContent xmlns:mc="http://schemas.openxmlformats.org/markup-compatibility/2006">
      <mc:Choice Requires="x14">
        <control shapeId="33809" r:id="rId36" name="cbBillingCompany">
          <controlPr defaultSize="0" autoFill="0" autoLine="0" autoPict="0" r:id="rId37">
            <anchor moveWithCells="1">
              <from>
                <xdr:col>2</xdr:col>
                <xdr:colOff>22860</xdr:colOff>
                <xdr:row>3</xdr:row>
                <xdr:rowOff>22860</xdr:rowOff>
              </from>
              <to>
                <xdr:col>3</xdr:col>
                <xdr:colOff>0</xdr:colOff>
                <xdr:row>4</xdr:row>
                <xdr:rowOff>30480</xdr:rowOff>
              </to>
            </anchor>
          </controlPr>
        </control>
      </mc:Choice>
      <mc:Fallback>
        <control shapeId="33809" r:id="rId36" name="cbBillingCompany"/>
      </mc:Fallback>
    </mc:AlternateContent>
    <mc:AlternateContent xmlns:mc="http://schemas.openxmlformats.org/markup-compatibility/2006">
      <mc:Choice Requires="x14">
        <control shapeId="33810" r:id="rId38" name="cbSalesID">
          <controlPr defaultSize="0" autoFill="0" autoLine="0" r:id="rId39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2</xdr:col>
                <xdr:colOff>3078480</xdr:colOff>
                <xdr:row>3</xdr:row>
                <xdr:rowOff>7620</xdr:rowOff>
              </to>
            </anchor>
          </controlPr>
        </control>
      </mc:Choice>
      <mc:Fallback>
        <control shapeId="33810" r:id="rId38" name="cbSalesID"/>
      </mc:Fallback>
    </mc:AlternateContent>
    <mc:AlternateContent xmlns:mc="http://schemas.openxmlformats.org/markup-compatibility/2006">
      <mc:Choice Requires="x14">
        <control shapeId="33811" r:id="rId40" name="cmdVehicle">
          <controlPr defaultSize="0" autoLine="0" r:id="rId41">
            <anchor moveWithCells="1">
              <from>
                <xdr:col>4</xdr:col>
                <xdr:colOff>0</xdr:colOff>
                <xdr:row>7</xdr:row>
                <xdr:rowOff>30480</xdr:rowOff>
              </from>
              <to>
                <xdr:col>4</xdr:col>
                <xdr:colOff>1371600</xdr:colOff>
                <xdr:row>8</xdr:row>
                <xdr:rowOff>129540</xdr:rowOff>
              </to>
            </anchor>
          </controlPr>
        </control>
      </mc:Choice>
      <mc:Fallback>
        <control shapeId="33811" r:id="rId40" name="cmdVehicle"/>
      </mc:Fallback>
    </mc:AlternateContent>
    <mc:AlternateContent xmlns:mc="http://schemas.openxmlformats.org/markup-compatibility/2006">
      <mc:Choice Requires="x14">
        <control shapeId="33812" r:id="rId42" name="cmdEngine">
          <controlPr defaultSize="0" autoLine="0" r:id="rId43">
            <anchor moveWithCells="1">
              <from>
                <xdr:col>4</xdr:col>
                <xdr:colOff>0</xdr:colOff>
                <xdr:row>8</xdr:row>
                <xdr:rowOff>160020</xdr:rowOff>
              </from>
              <to>
                <xdr:col>4</xdr:col>
                <xdr:colOff>1371600</xdr:colOff>
                <xdr:row>10</xdr:row>
                <xdr:rowOff>30480</xdr:rowOff>
              </to>
            </anchor>
          </controlPr>
        </control>
      </mc:Choice>
      <mc:Fallback>
        <control shapeId="33812" r:id="rId42" name="cmdEngine"/>
      </mc:Fallback>
    </mc:AlternateContent>
    <mc:AlternateContent xmlns:mc="http://schemas.openxmlformats.org/markup-compatibility/2006">
      <mc:Choice Requires="x14">
        <control shapeId="33813" r:id="rId44" name="cmdECD">
          <controlPr defaultSize="0" autoLine="0" r:id="rId45">
            <anchor moveWithCells="1">
              <from>
                <xdr:col>4</xdr:col>
                <xdr:colOff>0</xdr:colOff>
                <xdr:row>10</xdr:row>
                <xdr:rowOff>68580</xdr:rowOff>
              </from>
              <to>
                <xdr:col>4</xdr:col>
                <xdr:colOff>1371600</xdr:colOff>
                <xdr:row>11</xdr:row>
                <xdr:rowOff>167640</xdr:rowOff>
              </to>
            </anchor>
          </controlPr>
        </control>
      </mc:Choice>
      <mc:Fallback>
        <control shapeId="33813" r:id="rId44" name="cmdECD"/>
      </mc:Fallback>
    </mc:AlternateContent>
    <mc:AlternateContent xmlns:mc="http://schemas.openxmlformats.org/markup-compatibility/2006">
      <mc:Choice Requires="x14">
        <control shapeId="33814" r:id="rId46" name="cmdQuality">
          <controlPr defaultSize="0" autoLine="0" altText="" r:id="rId47">
            <anchor moveWithCells="1">
              <from>
                <xdr:col>5</xdr:col>
                <xdr:colOff>373380</xdr:colOff>
                <xdr:row>5</xdr:row>
                <xdr:rowOff>7620</xdr:rowOff>
              </from>
              <to>
                <xdr:col>8</xdr:col>
                <xdr:colOff>68580</xdr:colOff>
                <xdr:row>6</xdr:row>
                <xdr:rowOff>106680</xdr:rowOff>
              </to>
            </anchor>
          </controlPr>
        </control>
      </mc:Choice>
      <mc:Fallback>
        <control shapeId="33814" r:id="rId46" name="cmdQuality"/>
      </mc:Fallback>
    </mc:AlternateContent>
    <mc:AlternateContent xmlns:mc="http://schemas.openxmlformats.org/markup-compatibility/2006">
      <mc:Choice Requires="x14">
        <control shapeId="33815" r:id="rId48" name="cmdQAProcess">
          <controlPr defaultSize="0" autoLine="0" r:id="rId49">
            <anchor moveWithCells="1">
              <from>
                <xdr:col>5</xdr:col>
                <xdr:colOff>373380</xdr:colOff>
                <xdr:row>6</xdr:row>
                <xdr:rowOff>160020</xdr:rowOff>
              </from>
              <to>
                <xdr:col>8</xdr:col>
                <xdr:colOff>68580</xdr:colOff>
                <xdr:row>8</xdr:row>
                <xdr:rowOff>30480</xdr:rowOff>
              </to>
            </anchor>
          </controlPr>
        </control>
      </mc:Choice>
      <mc:Fallback>
        <control shapeId="33815" r:id="rId48" name="cmdQAProcess"/>
      </mc:Fallback>
    </mc:AlternateContent>
    <mc:AlternateContent xmlns:mc="http://schemas.openxmlformats.org/markup-compatibility/2006">
      <mc:Choice Requires="x14">
        <control shapeId="33816" r:id="rId50" name="cmdReport">
          <controlPr defaultSize="0" autoLine="0" altText="" r:id="rId51">
            <anchor moveWithCells="1">
              <from>
                <xdr:col>5</xdr:col>
                <xdr:colOff>403860</xdr:colOff>
                <xdr:row>1</xdr:row>
                <xdr:rowOff>137160</xdr:rowOff>
              </from>
              <to>
                <xdr:col>8</xdr:col>
                <xdr:colOff>99060</xdr:colOff>
                <xdr:row>3</xdr:row>
                <xdr:rowOff>7620</xdr:rowOff>
              </to>
            </anchor>
          </controlPr>
        </control>
      </mc:Choice>
      <mc:Fallback>
        <control shapeId="33816" r:id="rId50" name="cmdReport"/>
      </mc:Fallback>
    </mc:AlternateContent>
    <mc:AlternateContent xmlns:mc="http://schemas.openxmlformats.org/markup-compatibility/2006">
      <mc:Choice Requires="x14">
        <control shapeId="33817" r:id="rId52" name="txtTrackingNo">
          <controlPr defaultSize="0" autoLine="0" r:id="rId53">
            <anchor moveWithCells="1">
              <from>
                <xdr:col>2</xdr:col>
                <xdr:colOff>22860</xdr:colOff>
                <xdr:row>5</xdr:row>
                <xdr:rowOff>22860</xdr:rowOff>
              </from>
              <to>
                <xdr:col>2</xdr:col>
                <xdr:colOff>3093720</xdr:colOff>
                <xdr:row>6</xdr:row>
                <xdr:rowOff>22860</xdr:rowOff>
              </to>
            </anchor>
          </controlPr>
        </control>
      </mc:Choice>
      <mc:Fallback>
        <control shapeId="33817" r:id="rId52" name="txtTrackingNo"/>
      </mc:Fallback>
    </mc:AlternateContent>
    <mc:AlternateContent xmlns:mc="http://schemas.openxmlformats.org/markup-compatibility/2006">
      <mc:Choice Requires="x14">
        <control shapeId="33818" r:id="rId54" name="txtContact">
          <controlPr defaultSize="0" autoLine="0" autoPict="0" r:id="rId55">
            <anchor moveWithCells="1">
              <from>
                <xdr:col>2</xdr:col>
                <xdr:colOff>22860</xdr:colOff>
                <xdr:row>7</xdr:row>
                <xdr:rowOff>7620</xdr:rowOff>
              </from>
              <to>
                <xdr:col>3</xdr:col>
                <xdr:colOff>22860</xdr:colOff>
                <xdr:row>8</xdr:row>
                <xdr:rowOff>7620</xdr:rowOff>
              </to>
            </anchor>
          </controlPr>
        </control>
      </mc:Choice>
      <mc:Fallback>
        <control shapeId="33818" r:id="rId54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E4"/>
  <sheetViews>
    <sheetView workbookViewId="0">
      <selection activeCell="G13" sqref="G13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09" x14ac:dyDescent="0.3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164</v>
      </c>
      <c r="AB1" t="s">
        <v>139</v>
      </c>
      <c r="AC1" t="s">
        <v>179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228</v>
      </c>
      <c r="AN1" t="s">
        <v>229</v>
      </c>
      <c r="AO1" t="s">
        <v>148</v>
      </c>
      <c r="AP1" t="s">
        <v>214</v>
      </c>
      <c r="AQ1" t="s">
        <v>165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165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215</v>
      </c>
      <c r="BK1" t="s">
        <v>97</v>
      </c>
      <c r="BL1" t="s">
        <v>14</v>
      </c>
      <c r="BM1" t="s">
        <v>10</v>
      </c>
      <c r="BN1" t="s">
        <v>11</v>
      </c>
      <c r="BO1" t="s">
        <v>230</v>
      </c>
      <c r="BP1" t="s">
        <v>231</v>
      </c>
      <c r="BQ1" t="s">
        <v>216</v>
      </c>
      <c r="BR1" t="s">
        <v>96</v>
      </c>
      <c r="BS1" t="s">
        <v>10</v>
      </c>
      <c r="BT1" t="s">
        <v>11</v>
      </c>
      <c r="BU1" t="s">
        <v>98</v>
      </c>
      <c r="BV1" t="s">
        <v>217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218</v>
      </c>
      <c r="CG1" t="s">
        <v>182</v>
      </c>
      <c r="CH1" t="s">
        <v>219</v>
      </c>
      <c r="CI1" t="s">
        <v>220</v>
      </c>
      <c r="CJ1" t="s">
        <v>180</v>
      </c>
      <c r="CK1" t="s">
        <v>181</v>
      </c>
      <c r="CL1" t="s">
        <v>183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221</v>
      </c>
      <c r="CX1" t="s">
        <v>257</v>
      </c>
      <c r="CY1" t="s">
        <v>232</v>
      </c>
      <c r="CZ1" t="s">
        <v>233</v>
      </c>
      <c r="DA1" t="s">
        <v>234</v>
      </c>
      <c r="DB1" t="s">
        <v>235</v>
      </c>
      <c r="DC1" t="s">
        <v>236</v>
      </c>
      <c r="DD1" t="s">
        <v>237</v>
      </c>
      <c r="DE1" t="s">
        <v>238</v>
      </c>
    </row>
    <row r="2" spans="1:109" ht="28.8" x14ac:dyDescent="0.3">
      <c r="A2">
        <v>3044</v>
      </c>
      <c r="B2">
        <v>0</v>
      </c>
      <c r="F2">
        <v>21.32</v>
      </c>
      <c r="Z2">
        <v>3044</v>
      </c>
      <c r="AA2" t="s">
        <v>255</v>
      </c>
      <c r="AB2" t="s">
        <v>258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5">
        <v>43790.680432141206</v>
      </c>
      <c r="AP2" t="s">
        <v>259</v>
      </c>
      <c r="AQ2" t="s">
        <v>260</v>
      </c>
      <c r="AR2" t="s">
        <v>261</v>
      </c>
      <c r="AT2" t="s">
        <v>262</v>
      </c>
      <c r="AU2" t="s">
        <v>263</v>
      </c>
      <c r="AV2" t="s">
        <v>264</v>
      </c>
      <c r="AW2" t="s">
        <v>259</v>
      </c>
      <c r="AX2" t="s">
        <v>260</v>
      </c>
      <c r="AY2" s="35" t="s">
        <v>261</v>
      </c>
      <c r="AZ2" s="35"/>
      <c r="BA2" t="s">
        <v>262</v>
      </c>
      <c r="BB2" t="s">
        <v>263</v>
      </c>
      <c r="BC2" t="s">
        <v>264</v>
      </c>
      <c r="BD2" t="s">
        <v>265</v>
      </c>
      <c r="BE2" t="s">
        <v>266</v>
      </c>
      <c r="BG2" t="s">
        <v>267</v>
      </c>
      <c r="BH2" t="s">
        <v>268</v>
      </c>
      <c r="BI2" t="s">
        <v>222</v>
      </c>
      <c r="BU2" t="s">
        <v>270</v>
      </c>
      <c r="BV2" t="s">
        <v>269</v>
      </c>
      <c r="BW2" t="s">
        <v>272</v>
      </c>
      <c r="BX2">
        <v>0</v>
      </c>
      <c r="BY2" t="s">
        <v>273</v>
      </c>
      <c r="BZ2" t="s">
        <v>274</v>
      </c>
      <c r="CB2">
        <v>11.75</v>
      </c>
      <c r="CC2">
        <v>9</v>
      </c>
      <c r="CD2">
        <v>16</v>
      </c>
      <c r="CE2">
        <v>4</v>
      </c>
      <c r="CF2" s="105" t="s">
        <v>244</v>
      </c>
      <c r="CH2" s="105" t="s">
        <v>243</v>
      </c>
      <c r="CI2" t="s">
        <v>245</v>
      </c>
      <c r="CJ2" s="105" t="s">
        <v>271</v>
      </c>
      <c r="CK2" t="s">
        <v>244</v>
      </c>
      <c r="CL2" t="s">
        <v>244</v>
      </c>
      <c r="CM2" s="105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275</v>
      </c>
      <c r="CX2" t="b">
        <v>0</v>
      </c>
      <c r="CY2" t="s">
        <v>253</v>
      </c>
      <c r="CZ2" t="s">
        <v>250</v>
      </c>
      <c r="DA2" t="s">
        <v>247</v>
      </c>
      <c r="DC2" t="s">
        <v>248</v>
      </c>
      <c r="DD2" t="s">
        <v>222</v>
      </c>
      <c r="DE2" t="s">
        <v>249</v>
      </c>
    </row>
    <row r="3" spans="1:109" ht="28.8" x14ac:dyDescent="0.3">
      <c r="A3">
        <v>3044</v>
      </c>
      <c r="B3">
        <v>1</v>
      </c>
      <c r="Z3">
        <v>3044</v>
      </c>
      <c r="AA3" t="s">
        <v>255</v>
      </c>
      <c r="AB3" t="s">
        <v>258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5">
        <v>43790.680432141206</v>
      </c>
      <c r="AP3" t="s">
        <v>259</v>
      </c>
      <c r="AQ3" t="s">
        <v>260</v>
      </c>
      <c r="AR3" t="s">
        <v>261</v>
      </c>
      <c r="AT3" t="s">
        <v>262</v>
      </c>
      <c r="AU3" t="s">
        <v>263</v>
      </c>
      <c r="AV3" t="s">
        <v>264</v>
      </c>
      <c r="AW3" t="s">
        <v>259</v>
      </c>
      <c r="AX3" t="s">
        <v>260</v>
      </c>
      <c r="AY3" s="35" t="s">
        <v>261</v>
      </c>
      <c r="AZ3" s="35"/>
      <c r="BA3" t="s">
        <v>262</v>
      </c>
      <c r="BB3" t="s">
        <v>263</v>
      </c>
      <c r="BC3" t="s">
        <v>264</v>
      </c>
      <c r="BD3" t="s">
        <v>265</v>
      </c>
      <c r="BE3" t="s">
        <v>266</v>
      </c>
      <c r="BG3" t="s">
        <v>267</v>
      </c>
      <c r="BH3" t="s">
        <v>268</v>
      </c>
      <c r="BI3" t="s">
        <v>222</v>
      </c>
      <c r="BU3" t="s">
        <v>270</v>
      </c>
      <c r="BV3" t="s">
        <v>269</v>
      </c>
      <c r="BW3" t="s">
        <v>272</v>
      </c>
      <c r="BX3">
        <v>0</v>
      </c>
      <c r="BY3" t="s">
        <v>273</v>
      </c>
      <c r="BZ3" t="s">
        <v>274</v>
      </c>
      <c r="CB3">
        <v>11.75</v>
      </c>
      <c r="CC3">
        <v>9</v>
      </c>
      <c r="CD3">
        <v>16</v>
      </c>
      <c r="CE3">
        <v>4</v>
      </c>
      <c r="CF3" s="105" t="s">
        <v>244</v>
      </c>
      <c r="CH3" s="105" t="s">
        <v>243</v>
      </c>
      <c r="CI3" t="s">
        <v>245</v>
      </c>
      <c r="CJ3" s="105" t="s">
        <v>271</v>
      </c>
      <c r="CK3" t="s">
        <v>244</v>
      </c>
      <c r="CL3" t="s">
        <v>244</v>
      </c>
      <c r="CM3" s="105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275</v>
      </c>
      <c r="CX3" t="b">
        <v>0</v>
      </c>
      <c r="CY3" t="s">
        <v>253</v>
      </c>
      <c r="CZ3" t="s">
        <v>250</v>
      </c>
      <c r="DA3" t="s">
        <v>247</v>
      </c>
      <c r="DC3" t="s">
        <v>248</v>
      </c>
      <c r="DD3" t="s">
        <v>222</v>
      </c>
      <c r="DE3" t="s">
        <v>249</v>
      </c>
    </row>
    <row r="4" spans="1:109" ht="28.8" x14ac:dyDescent="0.3">
      <c r="A4">
        <v>3044</v>
      </c>
      <c r="B4">
        <v>2</v>
      </c>
      <c r="F4">
        <v>21.19</v>
      </c>
      <c r="Z4">
        <v>3044</v>
      </c>
      <c r="AA4" t="s">
        <v>255</v>
      </c>
      <c r="AB4" t="s">
        <v>258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5">
        <v>43790.680432141206</v>
      </c>
      <c r="AP4" t="s">
        <v>259</v>
      </c>
      <c r="AQ4" t="s">
        <v>260</v>
      </c>
      <c r="AR4" t="s">
        <v>261</v>
      </c>
      <c r="AT4" t="s">
        <v>262</v>
      </c>
      <c r="AU4" t="s">
        <v>263</v>
      </c>
      <c r="AV4" t="s">
        <v>264</v>
      </c>
      <c r="AW4" t="s">
        <v>259</v>
      </c>
      <c r="AX4" t="s">
        <v>260</v>
      </c>
      <c r="AY4" s="35" t="s">
        <v>261</v>
      </c>
      <c r="AZ4" s="35"/>
      <c r="BA4" t="s">
        <v>262</v>
      </c>
      <c r="BB4" t="s">
        <v>263</v>
      </c>
      <c r="BC4" t="s">
        <v>264</v>
      </c>
      <c r="BD4" t="s">
        <v>265</v>
      </c>
      <c r="BE4" t="s">
        <v>266</v>
      </c>
      <c r="BG4" t="s">
        <v>267</v>
      </c>
      <c r="BH4" t="s">
        <v>268</v>
      </c>
      <c r="BI4" t="s">
        <v>222</v>
      </c>
      <c r="BU4" t="s">
        <v>270</v>
      </c>
      <c r="BV4" t="s">
        <v>269</v>
      </c>
      <c r="BW4" t="s">
        <v>272</v>
      </c>
      <c r="BX4">
        <v>0</v>
      </c>
      <c r="BY4" t="s">
        <v>273</v>
      </c>
      <c r="BZ4" t="s">
        <v>274</v>
      </c>
      <c r="CB4">
        <v>11.75</v>
      </c>
      <c r="CC4">
        <v>9</v>
      </c>
      <c r="CD4">
        <v>16</v>
      </c>
      <c r="CE4">
        <v>4</v>
      </c>
      <c r="CF4" s="105" t="s">
        <v>244</v>
      </c>
      <c r="CH4" s="105" t="s">
        <v>243</v>
      </c>
      <c r="CI4" t="s">
        <v>245</v>
      </c>
      <c r="CJ4" s="105" t="s">
        <v>271</v>
      </c>
      <c r="CK4" t="s">
        <v>244</v>
      </c>
      <c r="CL4" t="s">
        <v>244</v>
      </c>
      <c r="CM4" s="105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275</v>
      </c>
      <c r="CX4" t="b">
        <v>0</v>
      </c>
      <c r="CY4" t="s">
        <v>253</v>
      </c>
      <c r="CZ4" t="s">
        <v>250</v>
      </c>
      <c r="DA4" t="s">
        <v>247</v>
      </c>
      <c r="DC4" t="s">
        <v>248</v>
      </c>
      <c r="DD4" t="s">
        <v>222</v>
      </c>
      <c r="DE4" t="s">
        <v>249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F41"/>
  <sheetViews>
    <sheetView showGridLines="0" topLeftCell="A2" workbookViewId="0">
      <selection activeCell="C17" sqref="C17"/>
    </sheetView>
  </sheetViews>
  <sheetFormatPr defaultRowHeight="14.4" x14ac:dyDescent="0.3"/>
  <cols>
    <col min="2" max="2" width="14.109375" style="18" hidden="1" customWidth="1"/>
    <col min="3" max="3" width="16" style="107" customWidth="1"/>
    <col min="4" max="4" width="13.5546875" style="18" customWidth="1"/>
    <col min="5" max="5" width="20.44140625" style="2" customWidth="1"/>
    <col min="6" max="6" width="16.5546875" style="1" customWidth="1"/>
    <col min="7" max="7" width="47.5546875" customWidth="1"/>
  </cols>
  <sheetData>
    <row r="5" spans="2:6" ht="18" x14ac:dyDescent="0.35">
      <c r="C5" s="18"/>
      <c r="E5" s="18"/>
      <c r="F5" s="110"/>
    </row>
    <row r="6" spans="2:6" x14ac:dyDescent="0.3">
      <c r="C6" s="18"/>
      <c r="E6" s="18"/>
    </row>
    <row r="7" spans="2:6" x14ac:dyDescent="0.3">
      <c r="C7" s="18"/>
      <c r="E7" s="18"/>
    </row>
    <row r="8" spans="2:6" x14ac:dyDescent="0.3">
      <c r="C8" s="18"/>
      <c r="E8" s="18"/>
    </row>
    <row r="12" spans="2:6" s="24" customFormat="1" x14ac:dyDescent="0.3">
      <c r="B12" s="108"/>
      <c r="D12" s="108"/>
      <c r="E12" s="109"/>
      <c r="F12" s="111"/>
    </row>
    <row r="13" spans="2:6" x14ac:dyDescent="0.3">
      <c r="F13" s="2"/>
    </row>
    <row r="14" spans="2:6" x14ac:dyDescent="0.3">
      <c r="F14" s="2"/>
    </row>
    <row r="15" spans="2:6" x14ac:dyDescent="0.3">
      <c r="F15" s="2"/>
    </row>
    <row r="16" spans="2:6" x14ac:dyDescent="0.3">
      <c r="F16" s="2"/>
    </row>
    <row r="17" spans="6:6" x14ac:dyDescent="0.3">
      <c r="F17" s="2"/>
    </row>
    <row r="18" spans="6:6" ht="15.9" customHeight="1" x14ac:dyDescent="0.3">
      <c r="F18" s="2"/>
    </row>
    <row r="19" spans="6:6" x14ac:dyDescent="0.3">
      <c r="F19" s="2"/>
    </row>
    <row r="20" spans="6:6" x14ac:dyDescent="0.3">
      <c r="F20" s="2"/>
    </row>
    <row r="21" spans="6:6" x14ac:dyDescent="0.3">
      <c r="F21" s="2"/>
    </row>
    <row r="22" spans="6:6" x14ac:dyDescent="0.3">
      <c r="F22" s="2"/>
    </row>
    <row r="23" spans="6:6" x14ac:dyDescent="0.3">
      <c r="F23" s="2"/>
    </row>
    <row r="24" spans="6:6" x14ac:dyDescent="0.3">
      <c r="F24" s="2"/>
    </row>
    <row r="25" spans="6:6" x14ac:dyDescent="0.3">
      <c r="F25" s="2"/>
    </row>
    <row r="26" spans="6:6" x14ac:dyDescent="0.3">
      <c r="F26" s="2"/>
    </row>
    <row r="27" spans="6:6" x14ac:dyDescent="0.3">
      <c r="F27" s="2"/>
    </row>
    <row r="28" spans="6:6" x14ac:dyDescent="0.3">
      <c r="F28" s="2"/>
    </row>
    <row r="29" spans="6:6" x14ac:dyDescent="0.3">
      <c r="F29" s="2"/>
    </row>
    <row r="30" spans="6:6" x14ac:dyDescent="0.3">
      <c r="F30" s="2"/>
    </row>
    <row r="31" spans="6:6" x14ac:dyDescent="0.3">
      <c r="F31" s="2"/>
    </row>
    <row r="32" spans="6:6" x14ac:dyDescent="0.3">
      <c r="F32" s="2"/>
    </row>
    <row r="33" spans="6:6" x14ac:dyDescent="0.3">
      <c r="F33" s="2"/>
    </row>
    <row r="34" spans="6:6" x14ac:dyDescent="0.3">
      <c r="F34" s="2"/>
    </row>
    <row r="35" spans="6:6" x14ac:dyDescent="0.3">
      <c r="F35" s="2"/>
    </row>
    <row r="36" spans="6:6" x14ac:dyDescent="0.3">
      <c r="F36" s="2"/>
    </row>
    <row r="37" spans="6:6" x14ac:dyDescent="0.3">
      <c r="F37" s="2"/>
    </row>
    <row r="38" spans="6:6" x14ac:dyDescent="0.3">
      <c r="F38" s="2"/>
    </row>
    <row r="39" spans="6:6" x14ac:dyDescent="0.3">
      <c r="F39" s="2"/>
    </row>
    <row r="40" spans="6:6" x14ac:dyDescent="0.3">
      <c r="F40" s="2"/>
    </row>
    <row r="41" spans="6:6" x14ac:dyDescent="0.3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60960</xdr:rowOff>
              </from>
              <to>
                <xdr:col>6</xdr:col>
                <xdr:colOff>60960</xdr:colOff>
                <xdr:row>3</xdr:row>
                <xdr:rowOff>152400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1242060</xdr:colOff>
                <xdr:row>6</xdr:row>
                <xdr:rowOff>7620</xdr:rowOff>
              </from>
              <to>
                <xdr:col>6</xdr:col>
                <xdr:colOff>83820</xdr:colOff>
                <xdr:row>7</xdr:row>
                <xdr:rowOff>121920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541020</xdr:colOff>
                <xdr:row>2</xdr:row>
                <xdr:rowOff>68580</xdr:rowOff>
              </from>
              <to>
                <xdr:col>4</xdr:col>
                <xdr:colOff>899160</xdr:colOff>
                <xdr:row>3</xdr:row>
                <xdr:rowOff>144780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sqref="A1:XFD1048576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3" spans="2:3" x14ac:dyDescent="0.3">
      <c r="B3" s="5" t="s">
        <v>0</v>
      </c>
    </row>
    <row r="5" spans="2:3" x14ac:dyDescent="0.3">
      <c r="B5" s="5" t="s">
        <v>147</v>
      </c>
      <c r="C5" s="1"/>
    </row>
    <row r="6" spans="2:3" x14ac:dyDescent="0.3">
      <c r="B6" s="1"/>
      <c r="C6" s="2"/>
    </row>
    <row r="7" spans="2:3" x14ac:dyDescent="0.3">
      <c r="B7" s="5" t="s">
        <v>153</v>
      </c>
    </row>
    <row r="8" spans="2:3" x14ac:dyDescent="0.3">
      <c r="B8" s="5"/>
      <c r="C8" s="1"/>
    </row>
    <row r="9" spans="2:3" x14ac:dyDescent="0.3">
      <c r="B9" s="3"/>
      <c r="C9" s="1"/>
    </row>
    <row r="10" spans="2:3" x14ac:dyDescent="0.3">
      <c r="B10" s="5"/>
      <c r="C10" s="6"/>
    </row>
    <row r="11" spans="2:3" x14ac:dyDescent="0.3">
      <c r="C11" s="1"/>
    </row>
    <row r="12" spans="2:3" x14ac:dyDescent="0.3">
      <c r="B12" s="5"/>
      <c r="C12" s="1"/>
    </row>
    <row r="13" spans="2:3" x14ac:dyDescent="0.3">
      <c r="B13" s="5"/>
      <c r="C13" s="1"/>
    </row>
    <row r="14" spans="2:3" x14ac:dyDescent="0.3">
      <c r="B14" s="5"/>
      <c r="C14" s="1"/>
    </row>
    <row r="15" spans="2:3" x14ac:dyDescent="0.3">
      <c r="B15" s="5"/>
      <c r="C15" s="1"/>
    </row>
    <row r="16" spans="2:3" x14ac:dyDescent="0.3">
      <c r="B16" s="5"/>
      <c r="C16" s="1"/>
    </row>
    <row r="17" spans="2:8" x14ac:dyDescent="0.3">
      <c r="B17" s="5"/>
      <c r="C17" s="1"/>
    </row>
    <row r="18" spans="2:8" ht="15.9" customHeight="1" x14ac:dyDescent="0.3">
      <c r="B18" s="5"/>
      <c r="C18" s="1"/>
    </row>
    <row r="20" spans="2:8" x14ac:dyDescent="0.3">
      <c r="D20" s="18"/>
      <c r="E20" s="18"/>
    </row>
    <row r="21" spans="2:8" x14ac:dyDescent="0.3">
      <c r="D21" s="18"/>
      <c r="E21" s="18"/>
    </row>
    <row r="22" spans="2:8" x14ac:dyDescent="0.3">
      <c r="B22" s="10"/>
      <c r="D22" s="18"/>
      <c r="E22" s="18"/>
    </row>
    <row r="23" spans="2:8" x14ac:dyDescent="0.3">
      <c r="D23" s="18"/>
      <c r="E23" s="18"/>
    </row>
    <row r="24" spans="2:8" x14ac:dyDescent="0.3">
      <c r="D24" s="18"/>
      <c r="E24" s="18"/>
    </row>
    <row r="25" spans="2:8" x14ac:dyDescent="0.3">
      <c r="C25" s="20"/>
      <c r="D25" s="18"/>
      <c r="E25" s="18"/>
    </row>
    <row r="26" spans="2:8" x14ac:dyDescent="0.3">
      <c r="D26" s="18"/>
      <c r="E26" s="18"/>
    </row>
    <row r="28" spans="2:8" x14ac:dyDescent="0.3">
      <c r="C28" s="21"/>
      <c r="G28" s="18"/>
    </row>
    <row r="29" spans="2:8" x14ac:dyDescent="0.3">
      <c r="C29" s="21"/>
      <c r="G29" s="18"/>
    </row>
    <row r="30" spans="2:8" x14ac:dyDescent="0.3">
      <c r="C30" s="21"/>
      <c r="D30" s="1"/>
      <c r="H30" s="18"/>
    </row>
    <row r="31" spans="2:8" x14ac:dyDescent="0.3">
      <c r="C31" s="21"/>
      <c r="D31" s="1"/>
      <c r="H31" s="18"/>
    </row>
    <row r="32" spans="2:8" x14ac:dyDescent="0.3">
      <c r="C32" s="21"/>
      <c r="G32" s="18"/>
    </row>
    <row r="33" spans="2:9" x14ac:dyDescent="0.3">
      <c r="C33" s="21"/>
      <c r="G33" s="18"/>
    </row>
    <row r="34" spans="2:9" x14ac:dyDescent="0.3">
      <c r="C34" s="21"/>
      <c r="G34" s="18"/>
    </row>
    <row r="35" spans="2:9" x14ac:dyDescent="0.3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7620</xdr:colOff>
                <xdr:row>4</xdr:row>
                <xdr:rowOff>7620</xdr:rowOff>
              </from>
              <to>
                <xdr:col>3</xdr:col>
                <xdr:colOff>655320</xdr:colOff>
                <xdr:row>5</xdr:row>
                <xdr:rowOff>68580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160020</xdr:rowOff>
              </from>
              <to>
                <xdr:col>6</xdr:col>
                <xdr:colOff>502920</xdr:colOff>
                <xdr:row>3</xdr:row>
                <xdr:rowOff>68580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3</xdr:col>
                <xdr:colOff>655320</xdr:colOff>
                <xdr:row>3</xdr:row>
                <xdr:rowOff>60960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22860</xdr:rowOff>
              </from>
              <to>
                <xdr:col>6</xdr:col>
                <xdr:colOff>541020</xdr:colOff>
                <xdr:row>5</xdr:row>
                <xdr:rowOff>137160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7620</xdr:colOff>
                <xdr:row>6</xdr:row>
                <xdr:rowOff>22860</xdr:rowOff>
              </from>
              <to>
                <xdr:col>3</xdr:col>
                <xdr:colOff>655320</xdr:colOff>
                <xdr:row>7</xdr:row>
                <xdr:rowOff>99060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H29" sqref="H29"/>
    </sheetView>
  </sheetViews>
  <sheetFormatPr defaultRowHeight="18" customHeight="1" x14ac:dyDescent="0.3"/>
  <cols>
    <col min="1" max="1" width="34.33203125" style="122" customWidth="1"/>
    <col min="2" max="2" width="20" customWidth="1"/>
    <col min="3" max="4" width="15.44140625" bestFit="1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122" t="s">
        <v>0</v>
      </c>
      <c r="B2" s="100" t="s">
        <v>255</v>
      </c>
    </row>
    <row r="3" spans="1:10" ht="18" customHeight="1" x14ac:dyDescent="0.3">
      <c r="A3" s="122" t="s">
        <v>178</v>
      </c>
      <c r="B3" s="116">
        <v>3045</v>
      </c>
      <c r="J3" s="18"/>
    </row>
    <row r="4" spans="1:10" ht="18" customHeight="1" x14ac:dyDescent="0.3">
      <c r="A4" s="122" t="s">
        <v>207</v>
      </c>
      <c r="B4" s="101" t="s">
        <v>254</v>
      </c>
      <c r="E4" s="39"/>
      <c r="F4" s="39"/>
      <c r="H4" s="10"/>
      <c r="I4" s="18"/>
      <c r="J4" s="18"/>
    </row>
    <row r="5" spans="1:10" ht="18" customHeight="1" x14ac:dyDescent="0.3">
      <c r="A5" s="122" t="s">
        <v>16</v>
      </c>
      <c r="B5" s="100">
        <v>9</v>
      </c>
      <c r="F5" s="42"/>
      <c r="H5" s="10"/>
      <c r="I5" s="18"/>
      <c r="J5" s="18"/>
    </row>
    <row r="6" spans="1:10" ht="18" customHeight="1" x14ac:dyDescent="0.3">
      <c r="A6" s="122" t="s">
        <v>18</v>
      </c>
      <c r="B6" s="100">
        <v>8</v>
      </c>
      <c r="F6" s="40"/>
      <c r="H6" s="10"/>
    </row>
    <row r="7" spans="1:10" ht="18" customHeight="1" x14ac:dyDescent="0.3">
      <c r="A7" s="122" t="s">
        <v>176</v>
      </c>
      <c r="B7" s="103">
        <f>(3.14*(SubDiameter/2)^2)*(SubLength)*(1/12)^3</f>
        <v>0.294375</v>
      </c>
      <c r="E7" s="1"/>
      <c r="F7" s="40"/>
      <c r="H7" s="10"/>
      <c r="I7" s="18"/>
      <c r="J7" s="18"/>
    </row>
    <row r="8" spans="1:10" ht="18" customHeight="1" x14ac:dyDescent="0.3">
      <c r="A8" s="122" t="s">
        <v>177</v>
      </c>
      <c r="B8" s="104">
        <f>Volume*28.317</f>
        <v>8.3358168750000008</v>
      </c>
      <c r="F8" s="40"/>
      <c r="H8" s="10"/>
      <c r="I8" s="18"/>
      <c r="J8" s="18"/>
    </row>
    <row r="9" spans="1:10" ht="18" customHeight="1" x14ac:dyDescent="0.3">
      <c r="E9" s="40"/>
      <c r="F9" s="40"/>
      <c r="H9" s="10"/>
      <c r="I9" s="18"/>
      <c r="J9" s="18"/>
    </row>
    <row r="10" spans="1:10" ht="18" customHeight="1" x14ac:dyDescent="0.3">
      <c r="A10" s="122" t="s">
        <v>199</v>
      </c>
      <c r="B10" s="1" t="s">
        <v>48</v>
      </c>
      <c r="C10" s="1" t="s">
        <v>49</v>
      </c>
      <c r="D10" s="1" t="s">
        <v>49</v>
      </c>
      <c r="G10" s="124" t="s">
        <v>203</v>
      </c>
      <c r="J10" s="18"/>
    </row>
    <row r="11" spans="1:10" ht="18" customHeight="1" x14ac:dyDescent="0.3">
      <c r="B11" s="122" t="s">
        <v>210</v>
      </c>
      <c r="C11" s="122" t="s">
        <v>209</v>
      </c>
      <c r="D11" s="122" t="s">
        <v>208</v>
      </c>
      <c r="E11" s="122" t="s">
        <v>166</v>
      </c>
      <c r="F11" s="40"/>
      <c r="G11" s="126" t="s">
        <v>187</v>
      </c>
      <c r="H11" s="125"/>
      <c r="J11" s="18"/>
    </row>
    <row r="12" spans="1:10" ht="18" customHeight="1" x14ac:dyDescent="0.3">
      <c r="A12" s="122" t="s">
        <v>50</v>
      </c>
      <c r="B12" s="43">
        <v>19.39</v>
      </c>
      <c r="C12" s="43"/>
      <c r="D12" s="43">
        <v>19.22</v>
      </c>
      <c r="E12" s="104">
        <f>B12-D12</f>
        <v>0.17000000000000171</v>
      </c>
      <c r="F12" s="130" t="s">
        <v>188</v>
      </c>
      <c r="G12" s="40"/>
      <c r="H12" s="10" t="s">
        <v>59</v>
      </c>
      <c r="I12" s="43"/>
    </row>
    <row r="13" spans="1:10" ht="18" customHeight="1" x14ac:dyDescent="0.3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3">
      <c r="A14" s="124" t="s">
        <v>200</v>
      </c>
      <c r="B14" s="40"/>
      <c r="C14" s="40"/>
      <c r="D14" s="118"/>
      <c r="E14" s="19"/>
      <c r="F14" s="119"/>
      <c r="G14" s="126" t="s">
        <v>189</v>
      </c>
    </row>
    <row r="15" spans="1:10" ht="18" customHeight="1" x14ac:dyDescent="0.3">
      <c r="A15" s="123" t="s">
        <v>190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3">
      <c r="A16" s="122" t="s">
        <v>191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3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3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3">
      <c r="C19" s="40"/>
      <c r="D19" s="118"/>
      <c r="E19" s="19"/>
      <c r="F19" s="119"/>
      <c r="G19" s="41"/>
    </row>
    <row r="20" spans="1:14" ht="18" customHeight="1" x14ac:dyDescent="0.3">
      <c r="A20" s="122" t="s">
        <v>192</v>
      </c>
      <c r="B20" s="120" t="s">
        <v>60</v>
      </c>
      <c r="C20" s="40"/>
      <c r="D20" s="118"/>
      <c r="E20" s="121"/>
      <c r="F20" s="119"/>
      <c r="G20" s="124" t="s">
        <v>204</v>
      </c>
    </row>
    <row r="21" spans="1:14" ht="18" customHeight="1" x14ac:dyDescent="0.3">
      <c r="A21" s="122" t="s">
        <v>7</v>
      </c>
      <c r="B21" s="40"/>
      <c r="C21" s="40"/>
      <c r="D21" s="118"/>
      <c r="E21" s="19"/>
      <c r="F21" s="119"/>
      <c r="G21" s="127" t="s">
        <v>193</v>
      </c>
    </row>
    <row r="22" spans="1:14" ht="18" customHeight="1" x14ac:dyDescent="0.3">
      <c r="A22" s="123" t="s">
        <v>194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3">
      <c r="B23" s="38" t="s">
        <v>51</v>
      </c>
      <c r="C23" s="43"/>
      <c r="D23" s="117"/>
      <c r="E23" s="19"/>
      <c r="F23" s="119"/>
      <c r="G23" s="18"/>
    </row>
    <row r="24" spans="1:14" ht="18" customHeight="1" x14ac:dyDescent="0.3">
      <c r="B24" s="40"/>
      <c r="C24" s="40"/>
      <c r="D24" s="118"/>
      <c r="E24" s="19"/>
      <c r="F24" s="119"/>
      <c r="G24" s="127" t="s">
        <v>195</v>
      </c>
      <c r="I24" s="138" t="s">
        <v>256</v>
      </c>
      <c r="J24" s="139"/>
      <c r="K24" s="139"/>
      <c r="L24" s="139"/>
      <c r="M24" s="139"/>
      <c r="N24" s="140"/>
    </row>
    <row r="25" spans="1:14" ht="18" customHeight="1" x14ac:dyDescent="0.3">
      <c r="A25" s="123" t="s">
        <v>196</v>
      </c>
      <c r="B25" s="118"/>
      <c r="C25" s="118"/>
      <c r="D25" s="118"/>
      <c r="E25" s="19"/>
      <c r="F25" s="119"/>
      <c r="H25" s="10"/>
      <c r="I25" s="141"/>
      <c r="J25" s="142"/>
      <c r="K25" s="142"/>
      <c r="L25" s="142"/>
      <c r="M25" s="142"/>
      <c r="N25" s="143"/>
    </row>
    <row r="26" spans="1:14" ht="18" customHeight="1" x14ac:dyDescent="0.3">
      <c r="A26" s="123"/>
      <c r="B26" s="131" t="s">
        <v>211</v>
      </c>
      <c r="C26" s="43">
        <v>7.625</v>
      </c>
      <c r="D26" s="132" t="s">
        <v>197</v>
      </c>
      <c r="E26" s="19"/>
      <c r="F26" s="119"/>
      <c r="I26" s="141"/>
      <c r="J26" s="142"/>
      <c r="K26" s="142"/>
      <c r="L26" s="142"/>
      <c r="M26" s="142"/>
      <c r="N26" s="143"/>
    </row>
    <row r="27" spans="1:14" ht="18" customHeight="1" x14ac:dyDescent="0.3">
      <c r="C27" s="19" t="s">
        <v>52</v>
      </c>
      <c r="D27" s="19" t="s">
        <v>53</v>
      </c>
      <c r="E27" s="19"/>
      <c r="F27" s="119"/>
      <c r="I27" s="141"/>
      <c r="J27" s="142"/>
      <c r="K27" s="142"/>
      <c r="L27" s="142"/>
      <c r="M27" s="142"/>
      <c r="N27" s="143"/>
    </row>
    <row r="28" spans="1:14" ht="18" customHeight="1" x14ac:dyDescent="0.3">
      <c r="A28" s="122" t="s">
        <v>205</v>
      </c>
      <c r="B28" s="120" t="s">
        <v>206</v>
      </c>
      <c r="C28" s="43">
        <v>7.25</v>
      </c>
      <c r="D28" s="43">
        <v>7.5</v>
      </c>
      <c r="E28" s="128"/>
      <c r="F28" s="119"/>
      <c r="I28" s="141"/>
      <c r="J28" s="142"/>
      <c r="K28" s="142"/>
      <c r="L28" s="142"/>
      <c r="M28" s="142"/>
      <c r="N28" s="143"/>
    </row>
    <row r="29" spans="1:14" ht="18" customHeight="1" x14ac:dyDescent="0.3">
      <c r="B29" s="120" t="s">
        <v>54</v>
      </c>
      <c r="C29" s="43">
        <v>7.25</v>
      </c>
      <c r="D29" s="43">
        <v>7.5</v>
      </c>
      <c r="E29" s="129"/>
      <c r="F29" s="41"/>
      <c r="I29" s="144"/>
      <c r="J29" s="145"/>
      <c r="K29" s="145"/>
      <c r="L29" s="145"/>
      <c r="M29" s="145"/>
      <c r="N29" s="146"/>
    </row>
    <row r="30" spans="1:14" ht="18" customHeight="1" x14ac:dyDescent="0.3">
      <c r="B30" s="120" t="s">
        <v>55</v>
      </c>
      <c r="C30" s="43">
        <v>7.25</v>
      </c>
      <c r="D30" s="43">
        <v>7.5</v>
      </c>
      <c r="E30" s="129"/>
      <c r="F30" s="19"/>
    </row>
    <row r="31" spans="1:14" ht="18" customHeight="1" x14ac:dyDescent="0.3">
      <c r="B31" s="120" t="s">
        <v>56</v>
      </c>
      <c r="C31" s="43">
        <v>7.25</v>
      </c>
      <c r="D31" s="43">
        <v>7.5</v>
      </c>
      <c r="E31" s="129"/>
      <c r="F31" s="19"/>
    </row>
    <row r="32" spans="1:14" ht="18" customHeight="1" x14ac:dyDescent="0.3">
      <c r="B32" s="37" t="s">
        <v>213</v>
      </c>
      <c r="C32" s="43">
        <v>7.25</v>
      </c>
      <c r="D32" s="43">
        <v>7.5</v>
      </c>
      <c r="E32" s="129"/>
      <c r="F32" s="19"/>
    </row>
    <row r="33" spans="1:10" ht="18" customHeight="1" x14ac:dyDescent="0.3">
      <c r="B33" s="37"/>
      <c r="C33" s="37"/>
      <c r="D33" s="37"/>
      <c r="E33" s="37"/>
      <c r="F33" s="19"/>
    </row>
    <row r="34" spans="1:10" ht="18" customHeight="1" x14ac:dyDescent="0.3">
      <c r="B34" s="38" t="s">
        <v>246</v>
      </c>
      <c r="C34" s="43"/>
      <c r="D34" s="37"/>
      <c r="E34" s="37"/>
      <c r="F34" s="19"/>
    </row>
    <row r="35" spans="1:10" ht="18" customHeight="1" x14ac:dyDescent="0.3">
      <c r="B35" s="37"/>
      <c r="C35" s="37"/>
      <c r="D35" s="37"/>
      <c r="E35" s="37"/>
      <c r="F35" s="19"/>
      <c r="H35" s="18"/>
    </row>
    <row r="36" spans="1:10" ht="18" customHeight="1" x14ac:dyDescent="0.3">
      <c r="A36" s="123" t="s">
        <v>198</v>
      </c>
      <c r="H36" s="18"/>
    </row>
    <row r="37" spans="1:10" ht="18" customHeight="1" x14ac:dyDescent="0.3">
      <c r="A37" s="122" t="s">
        <v>201</v>
      </c>
      <c r="H37" s="18"/>
      <c r="I37" s="18"/>
    </row>
    <row r="38" spans="1:10" ht="18" customHeight="1" x14ac:dyDescent="0.3">
      <c r="A38" s="122" t="s">
        <v>202</v>
      </c>
      <c r="E38" s="18"/>
      <c r="H38" s="18"/>
      <c r="I38" s="18"/>
    </row>
    <row r="39" spans="1:10" ht="18" customHeight="1" x14ac:dyDescent="0.3">
      <c r="E39" s="18"/>
    </row>
    <row r="40" spans="1:10" ht="18" customHeight="1" x14ac:dyDescent="0.3">
      <c r="F40" s="18"/>
    </row>
    <row r="41" spans="1:10" ht="18" customHeight="1" x14ac:dyDescent="0.3">
      <c r="F41" s="18"/>
    </row>
    <row r="42" spans="1:10" ht="18" customHeight="1" x14ac:dyDescent="0.3">
      <c r="B42" s="20" t="s">
        <v>7</v>
      </c>
      <c r="C42" s="18"/>
      <c r="D42" s="18"/>
      <c r="I42" s="18"/>
    </row>
    <row r="43" spans="1:10" ht="18" customHeight="1" x14ac:dyDescent="0.3">
      <c r="B43" t="s">
        <v>7</v>
      </c>
      <c r="C43" s="18"/>
      <c r="D43" s="18"/>
    </row>
    <row r="44" spans="1:10" ht="18" customHeight="1" x14ac:dyDescent="0.3">
      <c r="J44" s="18"/>
    </row>
    <row r="45" spans="1:10" ht="18" customHeight="1" x14ac:dyDescent="0.3">
      <c r="B45" s="4"/>
    </row>
    <row r="47" spans="1:10" ht="18" customHeight="1" x14ac:dyDescent="0.3">
      <c r="B47" s="4"/>
      <c r="C47" s="1"/>
    </row>
    <row r="48" spans="1:10" ht="18" customHeight="1" x14ac:dyDescent="0.3">
      <c r="B48" s="4"/>
      <c r="C48" s="1"/>
    </row>
    <row r="50" spans="2:2" ht="18" customHeight="1" x14ac:dyDescent="0.3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106680</xdr:colOff>
                <xdr:row>11</xdr:row>
                <xdr:rowOff>30480</xdr:rowOff>
              </from>
              <to>
                <xdr:col>8</xdr:col>
                <xdr:colOff>274320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30480</xdr:rowOff>
              </from>
              <to>
                <xdr:col>2</xdr:col>
                <xdr:colOff>320040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r:id="rId8">
            <anchor moveWithCells="1">
              <from>
                <xdr:col>5</xdr:col>
                <xdr:colOff>7620</xdr:colOff>
                <xdr:row>2</xdr:row>
                <xdr:rowOff>60960</xdr:rowOff>
              </from>
              <to>
                <xdr:col>5</xdr:col>
                <xdr:colOff>1379220</xdr:colOff>
                <xdr:row>3</xdr:row>
                <xdr:rowOff>160020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r:id="rId5">
            <anchor moveWithCells="1">
              <from>
                <xdr:col>8</xdr:col>
                <xdr:colOff>106680</xdr:colOff>
                <xdr:row>12</xdr:row>
                <xdr:rowOff>38100</xdr:rowOff>
              </from>
              <to>
                <xdr:col>8</xdr:col>
                <xdr:colOff>274320</xdr:colOff>
                <xdr:row>12</xdr:row>
                <xdr:rowOff>198120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7620</xdr:colOff>
                <xdr:row>15</xdr:row>
                <xdr:rowOff>7620</xdr:rowOff>
              </from>
              <to>
                <xdr:col>3</xdr:col>
                <xdr:colOff>91440</xdr:colOff>
                <xdr:row>16</xdr:row>
                <xdr:rowOff>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7620</xdr:colOff>
                <xdr:row>16</xdr:row>
                <xdr:rowOff>7620</xdr:rowOff>
              </from>
              <to>
                <xdr:col>3</xdr:col>
                <xdr:colOff>91440</xdr:colOff>
                <xdr:row>17</xdr:row>
                <xdr:rowOff>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7620</xdr:colOff>
                <xdr:row>17</xdr:row>
                <xdr:rowOff>7620</xdr:rowOff>
              </from>
              <to>
                <xdr:col>3</xdr:col>
                <xdr:colOff>91440</xdr:colOff>
                <xdr:row>18</xdr:row>
                <xdr:rowOff>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7620</xdr:colOff>
                <xdr:row>19</xdr:row>
                <xdr:rowOff>7620</xdr:rowOff>
              </from>
              <to>
                <xdr:col>3</xdr:col>
                <xdr:colOff>91440</xdr:colOff>
                <xdr:row>20</xdr:row>
                <xdr:rowOff>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22860</xdr:colOff>
                <xdr:row>36</xdr:row>
                <xdr:rowOff>30480</xdr:rowOff>
              </from>
              <to>
                <xdr:col>1</xdr:col>
                <xdr:colOff>1165860</xdr:colOff>
                <xdr:row>37</xdr:row>
                <xdr:rowOff>22860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22860</xdr:colOff>
                <xdr:row>37</xdr:row>
                <xdr:rowOff>45720</xdr:rowOff>
              </from>
              <to>
                <xdr:col>1</xdr:col>
                <xdr:colOff>1165860</xdr:colOff>
                <xdr:row>38</xdr:row>
                <xdr:rowOff>38100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r:id="rId23">
            <anchor moveWithCells="1">
              <from>
                <xdr:col>8</xdr:col>
                <xdr:colOff>106680</xdr:colOff>
                <xdr:row>14</xdr:row>
                <xdr:rowOff>30480</xdr:rowOff>
              </from>
              <to>
                <xdr:col>8</xdr:col>
                <xdr:colOff>274320</xdr:colOff>
                <xdr:row>14</xdr:row>
                <xdr:rowOff>190500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5">
            <anchor moveWithCells="1">
              <from>
                <xdr:col>8</xdr:col>
                <xdr:colOff>106680</xdr:colOff>
                <xdr:row>15</xdr:row>
                <xdr:rowOff>38100</xdr:rowOff>
              </from>
              <to>
                <xdr:col>8</xdr:col>
                <xdr:colOff>274320</xdr:colOff>
                <xdr:row>15</xdr:row>
                <xdr:rowOff>198120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5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373380</xdr:colOff>
                <xdr:row>17</xdr:row>
                <xdr:rowOff>220980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7620</xdr:colOff>
                <xdr:row>21</xdr:row>
                <xdr:rowOff>0</xdr:rowOff>
              </from>
              <to>
                <xdr:col>8</xdr:col>
                <xdr:colOff>1150620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r:id="rId31">
            <anchor moveWithCells="1">
              <from>
                <xdr:col>5</xdr:col>
                <xdr:colOff>7620</xdr:colOff>
                <xdr:row>5</xdr:row>
                <xdr:rowOff>99060</xdr:rowOff>
              </from>
              <to>
                <xdr:col>5</xdr:col>
                <xdr:colOff>1379220</xdr:colOff>
                <xdr:row>6</xdr:row>
                <xdr:rowOff>198120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r:id="rId5">
            <anchor moveWithCells="1">
              <from>
                <xdr:col>2</xdr:col>
                <xdr:colOff>152400</xdr:colOff>
                <xdr:row>33</xdr:row>
                <xdr:rowOff>30480</xdr:rowOff>
              </from>
              <to>
                <xdr:col>2</xdr:col>
                <xdr:colOff>320040</xdr:colOff>
                <xdr:row>33</xdr:row>
                <xdr:rowOff>190500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44" sqref="D44"/>
    </sheetView>
  </sheetViews>
  <sheetFormatPr defaultRowHeight="14.4" x14ac:dyDescent="0.3"/>
  <cols>
    <col min="2" max="2" width="30.33203125" customWidth="1"/>
    <col min="3" max="3" width="17.33203125" customWidth="1"/>
    <col min="4" max="4" width="10.5546875" bestFit="1" customWidth="1"/>
    <col min="5" max="5" width="23.88671875" customWidth="1"/>
    <col min="6" max="6" width="24.88671875" customWidth="1"/>
    <col min="7" max="7" width="15.109375" customWidth="1"/>
    <col min="8" max="8" width="11.88671875" bestFit="1" customWidth="1"/>
    <col min="9" max="9" width="23" customWidth="1"/>
  </cols>
  <sheetData>
    <row r="3" spans="2:9" x14ac:dyDescent="0.3">
      <c r="B3" s="85" t="s">
        <v>167</v>
      </c>
      <c r="C3" s="72">
        <v>85</v>
      </c>
    </row>
    <row r="4" spans="2:9" ht="18" x14ac:dyDescent="0.35">
      <c r="I4" s="44"/>
    </row>
    <row r="5" spans="2:9" x14ac:dyDescent="0.3">
      <c r="B5" s="98" t="s">
        <v>16</v>
      </c>
      <c r="C5" s="99"/>
      <c r="D5" s="58"/>
      <c r="E5" s="58" t="s">
        <v>169</v>
      </c>
      <c r="F5" s="86">
        <v>110000</v>
      </c>
      <c r="G5" s="135" t="s">
        <v>81</v>
      </c>
      <c r="H5" s="61"/>
    </row>
    <row r="6" spans="2:9" x14ac:dyDescent="0.3">
      <c r="B6" s="87" t="s">
        <v>18</v>
      </c>
      <c r="C6" s="88"/>
      <c r="D6" s="61"/>
      <c r="E6" s="61" t="s">
        <v>168</v>
      </c>
      <c r="F6" s="89">
        <v>60</v>
      </c>
      <c r="G6" s="64" t="s">
        <v>82</v>
      </c>
      <c r="H6" s="61"/>
    </row>
    <row r="7" spans="2:9" x14ac:dyDescent="0.3">
      <c r="B7" s="90" t="s">
        <v>144</v>
      </c>
      <c r="C7" s="88">
        <f>(3.14*(SubDiameter/2)^2)*(SubLength)*(1/12)^3</f>
        <v>0</v>
      </c>
      <c r="D7" s="91"/>
      <c r="E7" s="61" t="s">
        <v>170</v>
      </c>
      <c r="F7" s="89">
        <f>(Volume*MaxSpaceVelocity)*(1/60)*(61.7)/(2350*0.395)</f>
        <v>0</v>
      </c>
      <c r="G7" s="64" t="s">
        <v>82</v>
      </c>
      <c r="H7" s="61"/>
    </row>
    <row r="8" spans="2:9" x14ac:dyDescent="0.3">
      <c r="B8" s="92" t="s">
        <v>145</v>
      </c>
      <c r="C8" s="93">
        <f>Volume*28.317</f>
        <v>0</v>
      </c>
      <c r="D8" s="94"/>
      <c r="E8" s="95" t="s">
        <v>171</v>
      </c>
      <c r="F8" s="97">
        <f>IF(F7&gt;MaxHertz,"60",F7)</f>
        <v>0</v>
      </c>
      <c r="G8" s="96" t="s">
        <v>82</v>
      </c>
      <c r="H8" s="61"/>
    </row>
    <row r="9" spans="2:9" x14ac:dyDescent="0.3">
      <c r="H9" s="61"/>
    </row>
    <row r="11" spans="2:9" x14ac:dyDescent="0.3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3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3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3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3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3">
      <c r="B16" s="71">
        <f>0.25*$F$8</f>
        <v>0</v>
      </c>
      <c r="C16" s="72">
        <f>(2350/61.7)*B16*0.395</f>
        <v>0</v>
      </c>
      <c r="D16" s="65"/>
      <c r="E16" s="72">
        <f t="shared" ref="E16:E26" si="0">C16-(34.4764881*D16-4.325744048*D16^2+0.369475446*D16^3-0.01733631*D16^4+0.000339472*D16^5)</f>
        <v>0</v>
      </c>
      <c r="F16" s="72" t="e">
        <f t="shared" ref="F16:F26" si="1">(E16*60)/Volume</f>
        <v>#DIV/0!</v>
      </c>
      <c r="G16" s="112">
        <v>20000</v>
      </c>
      <c r="H16" s="73">
        <f t="shared" ref="H16:H26" si="2">G16*Volume/60</f>
        <v>0</v>
      </c>
      <c r="I16" s="74">
        <f t="shared" ref="I16:I26" si="3">G16^2*P0a+G16*P0b+P0c</f>
        <v>0</v>
      </c>
    </row>
    <row r="17" spans="2:9" x14ac:dyDescent="0.3">
      <c r="B17" s="71">
        <f>0.4*$F$8</f>
        <v>0</v>
      </c>
      <c r="C17" s="72">
        <f t="shared" ref="C17:C26" si="4">(2350/61.7)*B17*0.395</f>
        <v>0</v>
      </c>
      <c r="D17" s="65"/>
      <c r="E17" s="72">
        <f t="shared" si="0"/>
        <v>0</v>
      </c>
      <c r="F17" s="72" t="e">
        <f t="shared" si="1"/>
        <v>#DIV/0!</v>
      </c>
      <c r="G17" s="112">
        <v>35000</v>
      </c>
      <c r="H17" s="73">
        <f t="shared" si="2"/>
        <v>0</v>
      </c>
      <c r="I17" s="74">
        <f t="shared" si="3"/>
        <v>0</v>
      </c>
    </row>
    <row r="18" spans="2:9" x14ac:dyDescent="0.3">
      <c r="B18" s="71">
        <f>0.5*$F$8</f>
        <v>0</v>
      </c>
      <c r="C18" s="72">
        <f t="shared" si="4"/>
        <v>0</v>
      </c>
      <c r="D18" s="65"/>
      <c r="E18" s="72">
        <f t="shared" si="0"/>
        <v>0</v>
      </c>
      <c r="F18" s="72" t="e">
        <f t="shared" si="1"/>
        <v>#DIV/0!</v>
      </c>
      <c r="G18" s="112">
        <v>50000</v>
      </c>
      <c r="H18" s="73">
        <f t="shared" si="2"/>
        <v>0</v>
      </c>
      <c r="I18" s="74">
        <f t="shared" si="3"/>
        <v>0</v>
      </c>
    </row>
    <row r="19" spans="2:9" x14ac:dyDescent="0.3">
      <c r="B19" s="71">
        <f>0.6*$F$8</f>
        <v>0</v>
      </c>
      <c r="C19" s="72">
        <f t="shared" si="4"/>
        <v>0</v>
      </c>
      <c r="D19" s="65"/>
      <c r="E19" s="72">
        <f t="shared" si="0"/>
        <v>0</v>
      </c>
      <c r="F19" s="72" t="e">
        <f t="shared" si="1"/>
        <v>#DIV/0!</v>
      </c>
      <c r="G19" s="112">
        <v>60000</v>
      </c>
      <c r="H19" s="73">
        <f t="shared" si="2"/>
        <v>0</v>
      </c>
      <c r="I19" s="74">
        <f t="shared" si="3"/>
        <v>0</v>
      </c>
    </row>
    <row r="20" spans="2:9" x14ac:dyDescent="0.3">
      <c r="B20" s="71">
        <f>0.7*$F$8</f>
        <v>0</v>
      </c>
      <c r="C20" s="72">
        <f t="shared" si="4"/>
        <v>0</v>
      </c>
      <c r="D20" s="65"/>
      <c r="E20" s="72">
        <f t="shared" si="0"/>
        <v>0</v>
      </c>
      <c r="F20" s="72" t="e">
        <f t="shared" si="1"/>
        <v>#DIV/0!</v>
      </c>
      <c r="G20" s="112">
        <v>70000</v>
      </c>
      <c r="H20" s="73">
        <f t="shared" si="2"/>
        <v>0</v>
      </c>
      <c r="I20" s="74">
        <f t="shared" si="3"/>
        <v>0</v>
      </c>
    </row>
    <row r="21" spans="2:9" x14ac:dyDescent="0.3">
      <c r="B21" s="71">
        <f>0.75*$F$8</f>
        <v>0</v>
      </c>
      <c r="C21" s="72">
        <f t="shared" si="4"/>
        <v>0</v>
      </c>
      <c r="D21" s="65"/>
      <c r="E21" s="72">
        <f t="shared" si="0"/>
        <v>0</v>
      </c>
      <c r="F21" s="72" t="e">
        <f t="shared" si="1"/>
        <v>#DIV/0!</v>
      </c>
      <c r="G21" s="112">
        <v>75000</v>
      </c>
      <c r="H21" s="73">
        <f t="shared" si="2"/>
        <v>0</v>
      </c>
      <c r="I21" s="74">
        <f t="shared" si="3"/>
        <v>0</v>
      </c>
    </row>
    <row r="22" spans="2:9" x14ac:dyDescent="0.3">
      <c r="B22" s="71">
        <f>0.8*$F$8</f>
        <v>0</v>
      </c>
      <c r="C22" s="72">
        <f t="shared" si="4"/>
        <v>0</v>
      </c>
      <c r="D22" s="65"/>
      <c r="E22" s="72">
        <f t="shared" si="0"/>
        <v>0</v>
      </c>
      <c r="F22" s="72" t="e">
        <f t="shared" si="1"/>
        <v>#DIV/0!</v>
      </c>
      <c r="G22" s="112">
        <v>80000</v>
      </c>
      <c r="H22" s="73">
        <f t="shared" si="2"/>
        <v>0</v>
      </c>
      <c r="I22" s="74">
        <f t="shared" si="3"/>
        <v>0</v>
      </c>
    </row>
    <row r="23" spans="2:9" x14ac:dyDescent="0.3">
      <c r="B23" s="71">
        <f>0.85*$F$8</f>
        <v>0</v>
      </c>
      <c r="C23" s="72">
        <f t="shared" si="4"/>
        <v>0</v>
      </c>
      <c r="D23" s="65"/>
      <c r="E23" s="72">
        <f t="shared" si="0"/>
        <v>0</v>
      </c>
      <c r="F23" s="72" t="e">
        <f t="shared" si="1"/>
        <v>#DIV/0!</v>
      </c>
      <c r="G23" s="112">
        <v>85000</v>
      </c>
      <c r="H23" s="73">
        <f t="shared" si="2"/>
        <v>0</v>
      </c>
      <c r="I23" s="74">
        <f t="shared" si="3"/>
        <v>0</v>
      </c>
    </row>
    <row r="24" spans="2:9" x14ac:dyDescent="0.3">
      <c r="B24" s="71">
        <f>0.9*$F$8</f>
        <v>0</v>
      </c>
      <c r="C24" s="72">
        <f t="shared" si="4"/>
        <v>0</v>
      </c>
      <c r="D24" s="65"/>
      <c r="E24" s="72">
        <f t="shared" si="0"/>
        <v>0</v>
      </c>
      <c r="F24" s="72" t="e">
        <f t="shared" si="1"/>
        <v>#DIV/0!</v>
      </c>
      <c r="G24" s="112">
        <v>90000</v>
      </c>
      <c r="H24" s="73">
        <f t="shared" si="2"/>
        <v>0</v>
      </c>
      <c r="I24" s="74">
        <f t="shared" si="3"/>
        <v>0</v>
      </c>
    </row>
    <row r="25" spans="2:9" x14ac:dyDescent="0.3">
      <c r="B25" s="71">
        <f>0.95*$F$8</f>
        <v>0</v>
      </c>
      <c r="C25" s="72">
        <f t="shared" si="4"/>
        <v>0</v>
      </c>
      <c r="D25" s="65"/>
      <c r="E25" s="72">
        <f t="shared" si="0"/>
        <v>0</v>
      </c>
      <c r="F25" s="72" t="e">
        <f t="shared" si="1"/>
        <v>#DIV/0!</v>
      </c>
      <c r="G25" s="112">
        <v>95000</v>
      </c>
      <c r="H25" s="73">
        <f t="shared" si="2"/>
        <v>0</v>
      </c>
      <c r="I25" s="74">
        <f t="shared" si="3"/>
        <v>0</v>
      </c>
    </row>
    <row r="26" spans="2:9" x14ac:dyDescent="0.3">
      <c r="B26" s="75">
        <f>1*$F$8</f>
        <v>0</v>
      </c>
      <c r="C26" s="76">
        <f t="shared" si="4"/>
        <v>0</v>
      </c>
      <c r="D26" s="65"/>
      <c r="E26" s="76">
        <f t="shared" si="0"/>
        <v>0</v>
      </c>
      <c r="F26" s="76" t="e">
        <f t="shared" si="1"/>
        <v>#DIV/0!</v>
      </c>
      <c r="G26" s="113">
        <v>100000</v>
      </c>
      <c r="H26" s="77">
        <f t="shared" si="2"/>
        <v>0</v>
      </c>
      <c r="I26" s="78">
        <f t="shared" si="3"/>
        <v>0</v>
      </c>
    </row>
    <row r="28" spans="2:9" x14ac:dyDescent="0.3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3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3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3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3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3">
      <c r="B33" s="71">
        <f>0.25*$F$8</f>
        <v>0</v>
      </c>
      <c r="C33" s="72">
        <f>(2350/61.7)*B33*0.395</f>
        <v>0</v>
      </c>
      <c r="D33" s="65"/>
      <c r="E33" s="72">
        <f t="shared" ref="E33:E43" si="5">C33-(34.4764881*D33-4.325744048*D33^2+0.369475446*D33^3-0.01733631*D33^4+0.000339472*D33^5)</f>
        <v>0</v>
      </c>
      <c r="F33" s="72" t="e">
        <f t="shared" ref="F33:F43" si="6">(E33*60)/Volume</f>
        <v>#DIV/0!</v>
      </c>
      <c r="G33" s="112">
        <v>20000</v>
      </c>
      <c r="H33" s="73">
        <f t="shared" ref="H33:H43" si="7">G33*Volume/60</f>
        <v>0</v>
      </c>
      <c r="I33" s="74">
        <f t="shared" ref="I33:I43" si="8">G33^2*P1a+G33*P1b+P1c</f>
        <v>0</v>
      </c>
    </row>
    <row r="34" spans="2:9" x14ac:dyDescent="0.3">
      <c r="B34" s="71">
        <f>0.4*$F$8</f>
        <v>0</v>
      </c>
      <c r="C34" s="72">
        <f t="shared" ref="C34:C42" si="9">(2350/61.7)*B34*0.395</f>
        <v>0</v>
      </c>
      <c r="D34" s="65"/>
      <c r="E34" s="72">
        <f t="shared" si="5"/>
        <v>0</v>
      </c>
      <c r="F34" s="72" t="e">
        <f t="shared" si="6"/>
        <v>#DIV/0!</v>
      </c>
      <c r="G34" s="112">
        <v>35000</v>
      </c>
      <c r="H34" s="73">
        <f t="shared" si="7"/>
        <v>0</v>
      </c>
      <c r="I34" s="74">
        <f t="shared" si="8"/>
        <v>0</v>
      </c>
    </row>
    <row r="35" spans="2:9" x14ac:dyDescent="0.3">
      <c r="B35" s="71">
        <f>0.5*$F$8</f>
        <v>0</v>
      </c>
      <c r="C35" s="72">
        <f t="shared" si="9"/>
        <v>0</v>
      </c>
      <c r="D35" s="114"/>
      <c r="E35" s="72">
        <f t="shared" si="5"/>
        <v>0</v>
      </c>
      <c r="F35" s="72" t="e">
        <f t="shared" si="6"/>
        <v>#DIV/0!</v>
      </c>
      <c r="G35" s="112">
        <v>50000</v>
      </c>
      <c r="H35" s="73">
        <f t="shared" si="7"/>
        <v>0</v>
      </c>
      <c r="I35" s="74">
        <f t="shared" si="8"/>
        <v>0</v>
      </c>
    </row>
    <row r="36" spans="2:9" x14ac:dyDescent="0.3">
      <c r="B36" s="71">
        <f>0.6*$F$8</f>
        <v>0</v>
      </c>
      <c r="C36" s="72">
        <f t="shared" si="9"/>
        <v>0</v>
      </c>
      <c r="D36" s="114"/>
      <c r="E36" s="72">
        <f t="shared" si="5"/>
        <v>0</v>
      </c>
      <c r="F36" s="72" t="e">
        <f t="shared" si="6"/>
        <v>#DIV/0!</v>
      </c>
      <c r="G36" s="112">
        <v>60000</v>
      </c>
      <c r="H36" s="73">
        <f t="shared" si="7"/>
        <v>0</v>
      </c>
      <c r="I36" s="74">
        <f t="shared" si="8"/>
        <v>0</v>
      </c>
    </row>
    <row r="37" spans="2:9" x14ac:dyDescent="0.3">
      <c r="B37" s="71">
        <f>0.7*$F$8</f>
        <v>0</v>
      </c>
      <c r="C37" s="72">
        <f t="shared" si="9"/>
        <v>0</v>
      </c>
      <c r="D37" s="114"/>
      <c r="E37" s="72">
        <f t="shared" si="5"/>
        <v>0</v>
      </c>
      <c r="F37" s="72" t="e">
        <f t="shared" si="6"/>
        <v>#DIV/0!</v>
      </c>
      <c r="G37" s="112">
        <v>70000</v>
      </c>
      <c r="H37" s="73">
        <f t="shared" si="7"/>
        <v>0</v>
      </c>
      <c r="I37" s="74">
        <f t="shared" si="8"/>
        <v>0</v>
      </c>
    </row>
    <row r="38" spans="2:9" x14ac:dyDescent="0.3">
      <c r="B38" s="71">
        <f>0.75*$F$8</f>
        <v>0</v>
      </c>
      <c r="C38" s="72">
        <f t="shared" si="9"/>
        <v>0</v>
      </c>
      <c r="D38" s="114"/>
      <c r="E38" s="72">
        <f t="shared" si="5"/>
        <v>0</v>
      </c>
      <c r="F38" s="72" t="e">
        <f t="shared" si="6"/>
        <v>#DIV/0!</v>
      </c>
      <c r="G38" s="112">
        <v>75000</v>
      </c>
      <c r="H38" s="73">
        <f t="shared" si="7"/>
        <v>0</v>
      </c>
      <c r="I38" s="74">
        <f t="shared" si="8"/>
        <v>0</v>
      </c>
    </row>
    <row r="39" spans="2:9" x14ac:dyDescent="0.3">
      <c r="B39" s="71">
        <f>0.8*$F$8</f>
        <v>0</v>
      </c>
      <c r="C39" s="72">
        <f t="shared" si="9"/>
        <v>0</v>
      </c>
      <c r="D39" s="114"/>
      <c r="E39" s="72">
        <f t="shared" si="5"/>
        <v>0</v>
      </c>
      <c r="F39" s="72" t="e">
        <f t="shared" si="6"/>
        <v>#DIV/0!</v>
      </c>
      <c r="G39" s="112">
        <v>80000</v>
      </c>
      <c r="H39" s="73">
        <f t="shared" si="7"/>
        <v>0</v>
      </c>
      <c r="I39" s="74">
        <f t="shared" si="8"/>
        <v>0</v>
      </c>
    </row>
    <row r="40" spans="2:9" x14ac:dyDescent="0.3">
      <c r="B40" s="71">
        <f>0.85*$F$8</f>
        <v>0</v>
      </c>
      <c r="C40" s="72">
        <f t="shared" si="9"/>
        <v>0</v>
      </c>
      <c r="D40" s="114"/>
      <c r="E40" s="72">
        <f t="shared" si="5"/>
        <v>0</v>
      </c>
      <c r="F40" s="72" t="e">
        <f t="shared" si="6"/>
        <v>#DIV/0!</v>
      </c>
      <c r="G40" s="112">
        <v>85000</v>
      </c>
      <c r="H40" s="73">
        <f t="shared" si="7"/>
        <v>0</v>
      </c>
      <c r="I40" s="74">
        <f t="shared" si="8"/>
        <v>0</v>
      </c>
    </row>
    <row r="41" spans="2:9" x14ac:dyDescent="0.3">
      <c r="B41" s="71">
        <f>0.9*$F$8</f>
        <v>0</v>
      </c>
      <c r="C41" s="72">
        <f t="shared" si="9"/>
        <v>0</v>
      </c>
      <c r="D41" s="114"/>
      <c r="E41" s="72">
        <f t="shared" si="5"/>
        <v>0</v>
      </c>
      <c r="F41" s="72" t="e">
        <f t="shared" si="6"/>
        <v>#DIV/0!</v>
      </c>
      <c r="G41" s="112">
        <v>90000</v>
      </c>
      <c r="H41" s="73">
        <f t="shared" si="7"/>
        <v>0</v>
      </c>
      <c r="I41" s="74">
        <f t="shared" si="8"/>
        <v>0</v>
      </c>
    </row>
    <row r="42" spans="2:9" x14ac:dyDescent="0.3">
      <c r="B42" s="71">
        <f>0.95*$F$8</f>
        <v>0</v>
      </c>
      <c r="C42" s="72">
        <f t="shared" si="9"/>
        <v>0</v>
      </c>
      <c r="D42" s="114"/>
      <c r="E42" s="72">
        <f t="shared" si="5"/>
        <v>0</v>
      </c>
      <c r="F42" s="72" t="e">
        <f t="shared" si="6"/>
        <v>#DIV/0!</v>
      </c>
      <c r="G42" s="112">
        <v>95000</v>
      </c>
      <c r="H42" s="73">
        <f t="shared" si="7"/>
        <v>0</v>
      </c>
      <c r="I42" s="74">
        <f t="shared" si="8"/>
        <v>0</v>
      </c>
    </row>
    <row r="43" spans="2:9" x14ac:dyDescent="0.3">
      <c r="B43" s="75">
        <f>1*$F$8</f>
        <v>0</v>
      </c>
      <c r="C43" s="76">
        <f>(2350/61.7)*B43*0.395</f>
        <v>0</v>
      </c>
      <c r="D43" s="134"/>
      <c r="E43" s="76">
        <f t="shared" si="5"/>
        <v>0</v>
      </c>
      <c r="F43" s="76" t="e">
        <f t="shared" si="6"/>
        <v>#DIV/0!</v>
      </c>
      <c r="G43" s="113">
        <v>100000</v>
      </c>
      <c r="H43" s="77">
        <f t="shared" si="7"/>
        <v>0</v>
      </c>
      <c r="I43" s="78">
        <f t="shared" si="8"/>
        <v>0</v>
      </c>
    </row>
    <row r="45" spans="2:9" x14ac:dyDescent="0.3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3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3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3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3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3">
      <c r="B50" s="71">
        <f>0.25*$F$8</f>
        <v>0</v>
      </c>
      <c r="C50" s="72">
        <f>(2350/61.7)*B50*0.395</f>
        <v>0</v>
      </c>
      <c r="D50" s="65"/>
      <c r="E50" s="72">
        <f t="shared" ref="E50:E60" si="10">C50-(34.4764881*D50-4.325744048*D50^2+0.369475446*D50^3-0.01733631*D50^4+0.000339472*D50^5)</f>
        <v>0</v>
      </c>
      <c r="F50" s="72" t="e">
        <f t="shared" ref="F50:F60" si="11">(E50*60)/Volume</f>
        <v>#DIV/0!</v>
      </c>
      <c r="G50" s="112">
        <v>20000</v>
      </c>
      <c r="H50" s="73">
        <f t="shared" ref="H50:H60" si="12">G50*Volume/60</f>
        <v>0</v>
      </c>
      <c r="I50" s="74">
        <f t="shared" ref="I50:I60" si="13">G50^2*P2a+G50*P2b+P2c</f>
        <v>0</v>
      </c>
    </row>
    <row r="51" spans="2:9" x14ac:dyDescent="0.3">
      <c r="B51" s="71">
        <f>0.4*$F$8</f>
        <v>0</v>
      </c>
      <c r="C51" s="72">
        <f t="shared" ref="C51:C60" si="14">(2350/61.7)*B51*0.395</f>
        <v>0</v>
      </c>
      <c r="D51" s="65"/>
      <c r="E51" s="72">
        <f t="shared" si="10"/>
        <v>0</v>
      </c>
      <c r="F51" s="72" t="e">
        <f t="shared" si="11"/>
        <v>#DIV/0!</v>
      </c>
      <c r="G51" s="112">
        <v>35000</v>
      </c>
      <c r="H51" s="73">
        <f t="shared" si="12"/>
        <v>0</v>
      </c>
      <c r="I51" s="74">
        <f t="shared" si="13"/>
        <v>0</v>
      </c>
    </row>
    <row r="52" spans="2:9" x14ac:dyDescent="0.3">
      <c r="B52" s="71">
        <f>0.5*$F$8</f>
        <v>0</v>
      </c>
      <c r="C52" s="72">
        <f t="shared" si="14"/>
        <v>0</v>
      </c>
      <c r="D52" s="114"/>
      <c r="E52" s="72">
        <f t="shared" si="10"/>
        <v>0</v>
      </c>
      <c r="F52" s="72" t="e">
        <f t="shared" si="11"/>
        <v>#DIV/0!</v>
      </c>
      <c r="G52" s="112">
        <v>50000</v>
      </c>
      <c r="H52" s="73">
        <f t="shared" si="12"/>
        <v>0</v>
      </c>
      <c r="I52" s="74">
        <f t="shared" si="13"/>
        <v>0</v>
      </c>
    </row>
    <row r="53" spans="2:9" x14ac:dyDescent="0.3">
      <c r="B53" s="71">
        <f>0.6*$F$8</f>
        <v>0</v>
      </c>
      <c r="C53" s="72">
        <f t="shared" si="14"/>
        <v>0</v>
      </c>
      <c r="D53" s="114"/>
      <c r="E53" s="72">
        <f t="shared" si="10"/>
        <v>0</v>
      </c>
      <c r="F53" s="72" t="e">
        <f t="shared" si="11"/>
        <v>#DIV/0!</v>
      </c>
      <c r="G53" s="112">
        <v>60000</v>
      </c>
      <c r="H53" s="73">
        <f t="shared" si="12"/>
        <v>0</v>
      </c>
      <c r="I53" s="74">
        <f t="shared" si="13"/>
        <v>0</v>
      </c>
    </row>
    <row r="54" spans="2:9" x14ac:dyDescent="0.3">
      <c r="B54" s="71">
        <f>0.7*$F$8</f>
        <v>0</v>
      </c>
      <c r="C54" s="72">
        <f t="shared" si="14"/>
        <v>0</v>
      </c>
      <c r="D54" s="114"/>
      <c r="E54" s="72">
        <f t="shared" si="10"/>
        <v>0</v>
      </c>
      <c r="F54" s="72" t="e">
        <f t="shared" si="11"/>
        <v>#DIV/0!</v>
      </c>
      <c r="G54" s="112">
        <v>70000</v>
      </c>
      <c r="H54" s="73">
        <f t="shared" si="12"/>
        <v>0</v>
      </c>
      <c r="I54" s="74">
        <f t="shared" si="13"/>
        <v>0</v>
      </c>
    </row>
    <row r="55" spans="2:9" x14ac:dyDescent="0.3">
      <c r="B55" s="71">
        <f>0.75*$F$8</f>
        <v>0</v>
      </c>
      <c r="C55" s="72">
        <f t="shared" si="14"/>
        <v>0</v>
      </c>
      <c r="D55" s="114"/>
      <c r="E55" s="72">
        <f t="shared" si="10"/>
        <v>0</v>
      </c>
      <c r="F55" s="72" t="e">
        <f t="shared" si="11"/>
        <v>#DIV/0!</v>
      </c>
      <c r="G55" s="112">
        <v>75000</v>
      </c>
      <c r="H55" s="73">
        <f t="shared" si="12"/>
        <v>0</v>
      </c>
      <c r="I55" s="74">
        <f t="shared" si="13"/>
        <v>0</v>
      </c>
    </row>
    <row r="56" spans="2:9" x14ac:dyDescent="0.3">
      <c r="B56" s="71">
        <f>0.8*$F$8</f>
        <v>0</v>
      </c>
      <c r="C56" s="72">
        <f t="shared" si="14"/>
        <v>0</v>
      </c>
      <c r="D56" s="114"/>
      <c r="E56" s="72">
        <f t="shared" si="10"/>
        <v>0</v>
      </c>
      <c r="F56" s="72" t="e">
        <f t="shared" si="11"/>
        <v>#DIV/0!</v>
      </c>
      <c r="G56" s="112">
        <v>80000</v>
      </c>
      <c r="H56" s="73">
        <f t="shared" si="12"/>
        <v>0</v>
      </c>
      <c r="I56" s="74">
        <f t="shared" si="13"/>
        <v>0</v>
      </c>
    </row>
    <row r="57" spans="2:9" x14ac:dyDescent="0.3">
      <c r="B57" s="71">
        <f>0.85*$F$8</f>
        <v>0</v>
      </c>
      <c r="C57" s="72">
        <f t="shared" si="14"/>
        <v>0</v>
      </c>
      <c r="D57" s="114"/>
      <c r="E57" s="72">
        <f t="shared" si="10"/>
        <v>0</v>
      </c>
      <c r="F57" s="72" t="e">
        <f t="shared" si="11"/>
        <v>#DIV/0!</v>
      </c>
      <c r="G57" s="112">
        <v>85000</v>
      </c>
      <c r="H57" s="73">
        <f t="shared" si="12"/>
        <v>0</v>
      </c>
      <c r="I57" s="74">
        <f t="shared" si="13"/>
        <v>0</v>
      </c>
    </row>
    <row r="58" spans="2:9" x14ac:dyDescent="0.3">
      <c r="B58" s="71">
        <f>0.9*$F$8</f>
        <v>0</v>
      </c>
      <c r="C58" s="72">
        <f t="shared" si="14"/>
        <v>0</v>
      </c>
      <c r="D58" s="114"/>
      <c r="E58" s="72">
        <f t="shared" si="10"/>
        <v>0</v>
      </c>
      <c r="F58" s="72" t="e">
        <f t="shared" si="11"/>
        <v>#DIV/0!</v>
      </c>
      <c r="G58" s="112">
        <v>90000</v>
      </c>
      <c r="H58" s="73">
        <f t="shared" si="12"/>
        <v>0</v>
      </c>
      <c r="I58" s="74">
        <f t="shared" si="13"/>
        <v>0</v>
      </c>
    </row>
    <row r="59" spans="2:9" x14ac:dyDescent="0.3">
      <c r="B59" s="71">
        <f>0.95*$F$8</f>
        <v>0</v>
      </c>
      <c r="C59" s="72">
        <f t="shared" si="14"/>
        <v>0</v>
      </c>
      <c r="D59" s="114"/>
      <c r="E59" s="72">
        <f t="shared" si="10"/>
        <v>0</v>
      </c>
      <c r="F59" s="72" t="e">
        <f t="shared" si="11"/>
        <v>#DIV/0!</v>
      </c>
      <c r="G59" s="112">
        <v>95000</v>
      </c>
      <c r="H59" s="73">
        <f t="shared" si="12"/>
        <v>0</v>
      </c>
      <c r="I59" s="74">
        <f t="shared" si="13"/>
        <v>0</v>
      </c>
    </row>
    <row r="60" spans="2:9" x14ac:dyDescent="0.3">
      <c r="B60" s="75">
        <f>1*$F$8</f>
        <v>0</v>
      </c>
      <c r="C60" s="76">
        <f t="shared" si="14"/>
        <v>0</v>
      </c>
      <c r="D60" s="134"/>
      <c r="E60" s="76">
        <f t="shared" si="10"/>
        <v>0</v>
      </c>
      <c r="F60" s="76" t="e">
        <f t="shared" si="11"/>
        <v>#DIV/0!</v>
      </c>
      <c r="G60" s="113">
        <v>100000</v>
      </c>
      <c r="H60" s="77">
        <f t="shared" si="12"/>
        <v>0</v>
      </c>
      <c r="I60" s="78">
        <f t="shared" si="13"/>
        <v>0</v>
      </c>
    </row>
    <row r="62" spans="2:9" x14ac:dyDescent="0.3">
      <c r="F62" s="26"/>
    </row>
    <row r="63" spans="2:9" x14ac:dyDescent="0.3">
      <c r="B63" s="25"/>
      <c r="C63" s="24"/>
      <c r="D63" s="24"/>
      <c r="F63" s="18"/>
    </row>
    <row r="64" spans="2:9" x14ac:dyDescent="0.3">
      <c r="B64" s="25"/>
      <c r="C64" s="24"/>
      <c r="D64" s="24"/>
      <c r="E64" s="22"/>
      <c r="F64" s="18"/>
    </row>
    <row r="65" spans="3:6" x14ac:dyDescent="0.3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30480</xdr:rowOff>
              </from>
              <to>
                <xdr:col>8</xdr:col>
                <xdr:colOff>1371600</xdr:colOff>
                <xdr:row>5</xdr:row>
                <xdr:rowOff>175260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83820</xdr:rowOff>
              </from>
              <to>
                <xdr:col>8</xdr:col>
                <xdr:colOff>1379220</xdr:colOff>
                <xdr:row>9</xdr:row>
                <xdr:rowOff>15240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83820</xdr:rowOff>
              </from>
              <to>
                <xdr:col>8</xdr:col>
                <xdr:colOff>1325880</xdr:colOff>
                <xdr:row>2</xdr:row>
                <xdr:rowOff>175260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2019-11-25T00:57:33Z</dcterms:modified>
</cp:coreProperties>
</file>