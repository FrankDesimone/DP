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1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2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987824BF-ACFA-43A3-B825-0BCDC9758B26}" xr6:coauthVersionLast="43" xr6:coauthVersionMax="43" xr10:uidLastSave="{00000000-0000-0000-0000-000000000000}"/>
  <bookViews>
    <workbookView xWindow="-120" yWindow="-120" windowWidth="29040" windowHeight="15990" activeTab="11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1">Quality!$B$3:$B$5</definedName>
    <definedName name="ecd" localSheetId="8">DPF!#REF!</definedName>
    <definedName name="ecd" localSheetId="7">ECD!$B$3:$B$12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Quality!$B$18:$D$22</definedName>
    <definedName name="manufacturer" localSheetId="6">Manufacturer!$B$3:$B$3</definedName>
    <definedName name="Mass0" localSheetId="11">Quality!$B$11</definedName>
    <definedName name="Mass1" localSheetId="11">Quality!$C$11</definedName>
    <definedName name="Mass2" localSheetId="11">Quality!$D$11</definedName>
    <definedName name="MaxHertz" localSheetId="12">QAProcess!$F$6</definedName>
    <definedName name="MaxSpaceVelocity" localSheetId="12">QAProcess!$F$5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QAProcess!$I$11</definedName>
    <definedName name="P0AirTemp" localSheetId="12">QAProcess!$D$11</definedName>
    <definedName name="P0b" localSheetId="12">QAProcess!$I$12</definedName>
    <definedName name="P0BackPress" localSheetId="12">QAProcess!$D$13</definedName>
    <definedName name="P0BaroPress" localSheetId="12">QAProcess!$D$12</definedName>
    <definedName name="P0c" localSheetId="10">[1]QAProcess!$H$36</definedName>
    <definedName name="P0c">QAProcess!$I$13</definedName>
    <definedName name="P0PSI" localSheetId="12">QAProcess!$D$16:$D$26</definedName>
    <definedName name="P0SV" localSheetId="12">QAProcess!$G$16:$G$26</definedName>
    <definedName name="P1a" localSheetId="12">QAProcess!$I$28</definedName>
    <definedName name="P1AirTemp" localSheetId="12">QAProcess!$D$28</definedName>
    <definedName name="P1b" localSheetId="12">QAProcess!$I$29</definedName>
    <definedName name="P1BackPress" localSheetId="12">QAProcess!$D$30</definedName>
    <definedName name="P1BaroPress" localSheetId="12">QAProcess!$D$29</definedName>
    <definedName name="P1c" localSheetId="12">QAProcess!$I$30</definedName>
    <definedName name="P1PSI" localSheetId="12">QAProcess!$D$33:$D$43</definedName>
    <definedName name="P1SV" localSheetId="12">QAProcess!$G$33:$G$43</definedName>
    <definedName name="P2a" localSheetId="12">QAProcess!$I$45</definedName>
    <definedName name="P2AirTemp" localSheetId="12">QAProcess!$D$45</definedName>
    <definedName name="P2b" localSheetId="12">QAProcess!$I$46</definedName>
    <definedName name="P2BackPress" localSheetId="12">QAProcess!$D$47</definedName>
    <definedName name="P2BaroPress" localSheetId="12">QAProcess!$D$46</definedName>
    <definedName name="P2c" localSheetId="12">QAProcess!$I$47</definedName>
    <definedName name="P2PSI">QAProcess!$D$50:$D$60</definedName>
    <definedName name="P2SV" localSheetId="12">QAProcess!$G$50:$G$60</definedName>
    <definedName name="SubDiameter" localSheetId="12">QAProcess!$C$5</definedName>
    <definedName name="SubDiameter">Quality!$B$4</definedName>
    <definedName name="SubLength" localSheetId="12">QAProcess!$C$6</definedName>
    <definedName name="SubLength">Quality!$B$5</definedName>
    <definedName name="vehicle" localSheetId="8">DPF!#REF!</definedName>
    <definedName name="vehicle" localSheetId="4">Vehicle!$B$3:$B$9</definedName>
    <definedName name="Volume" localSheetId="12">QAProcess!$C$7</definedName>
    <definedName name="Volume">Quality!$B$6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18" l="1"/>
  <c r="B7" i="18" s="1"/>
  <c r="E11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<sst xmlns="http://schemas.openxmlformats.org/spreadsheetml/2006/main" count="456" uniqueCount="264">
  <si>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</si>
  <si>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</si>
  <si>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</si>
  <si>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</si>
  <si>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</si>
  <si>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</si>
  <si>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</si>
  <si>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</si>
  <si>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</si>
  <si>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</si>
  <si>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</si>
  <si>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</si>
  <si>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</si>
  <si>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</si>
  <si>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</si>
  <si>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</si>
  <si>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</si>
  <si>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</si>
  <si>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</si>
  <si>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</si>
  <si>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</si>
  <si>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</si>
  <si>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</si>
  <si>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</si>
  <si>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</si>
  <si>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</si>
  <si>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</si>
  <si>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</si>
  <si>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</si>
  <si>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</si>
  <si>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</si>
  <si>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</si>
  <si>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</si>
  <si>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</si>
  <si>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</si>
  <si>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</si>
  <si>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</si>
  <si>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</si>
  <si>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</si>
  <si>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</si>
  <si>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</si>
  <si>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</si>
  <si>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</si>
  <si>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</si>
  <si>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</si>
  <si>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</si>
  <si>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</si>
  <si>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</si>
  <si>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</si>
  <si>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</si>
  <si>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</si>
  <si>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</si>
  <si>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</si>
  <si>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</si>
  <si>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</si>
  <si>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</si>
  <si>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</si>
  <si>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</si>
  <si>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</si>
  <si>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</si>
  <si>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</si>
  <si>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</si>
  <si>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</si>
  <si>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</si>
  <si>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</si>
  <si>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</si>
  <si>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</si>
  <si>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</si>
  <si>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</si>
  <si>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</si>
  <si>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</si>
  <si>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</si>
  <si>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</si>
  <si>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</si>
  <si>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</si>
  <si>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</si>
  <si>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</si>
  <si>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</si>
  <si>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</si>
  <si>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</si>
  <si>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</si>
  <si>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</si>
  <si>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</si>
  <si>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</si>
  <si>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</si>
  <si>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</si>
  <si>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</si>
  <si>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</si>
  <si>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</si>
  <si>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</si>
  <si>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</si>
  <si>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</si>
  <si>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</si>
  <si>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</si>
  <si>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</si>
  <si>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</si>
  <si>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</si>
  <si>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</si>
  <si>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</si>
  <si>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</si>
  <si>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</si>
  <si>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</si>
  <si>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</si>
  <si>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</si>
  <si>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</si>
  <si>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</si>
  <si>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</si>
  <si>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</si>
  <si>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</si>
  <si>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</si>
  <si>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</si>
  <si>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</si>
  <si>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</si>
  <si>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</si>
  <si>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</si>
  <si>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</si>
  <si>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</si>
  <si>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Caterpillar</t>
  </si>
  <si>
    <t>DPF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</si>
  <si>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</si>
  <si>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</si>
  <si>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</si>
  <si>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</si>
  <si>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</si>
  <si>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</si>
  <si>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</si>
  <si>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</si>
  <si>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</si>
  <si>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</si>
  <si>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</si>
  <si>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</si>
  <si>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</si>
  <si>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</si>
  <si>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</si>
  <si>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</si>
  <si>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</si>
  <si>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</si>
  <si>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</si>
  <si>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</si>
  <si>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</si>
  <si>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</si>
  <si>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</si>
  <si>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</si>
  <si>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</si>
  <si>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</si>
  <si>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</si>
  <si>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</si>
  <si>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</si>
  <si>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</si>
  <si>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</si>
  <si>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</si>
  <si>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</si>
  <si>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</si>
  <si>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</si>
  <si>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</si>
  <si>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</si>
  <si>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</si>
  <si>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</si>
  <si>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</si>
  <si>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</si>
  <si>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</si>
  <si>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</si>
  <si>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</si>
  <si>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</si>
  <si>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</si>
  <si>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</si>
  <si>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</si>
  <si>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</si>
  <si>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</si>
  <si>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</si>
  <si>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</si>
  <si>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</si>
  <si>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</si>
  <si>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</si>
  <si>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</si>
  <si>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</si>
  <si>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</si>
  <si>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</si>
  <si>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</si>
  <si>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</si>
  <si>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</si>
  <si>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</si>
  <si>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</si>
  <si>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</si>
  <si>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</si>
  <si>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</si>
  <si>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</si>
  <si>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</si>
  <si>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</si>
  <si>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</si>
  <si>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</si>
  <si>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</si>
  <si>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</si>
  <si>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</si>
  <si>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</si>
  <si>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</si>
  <si>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</si>
  <si>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</si>
  <si>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</si>
  <si>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</si>
  <si>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</si>
  <si>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</si>
  <si>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</si>
  <si>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Frank Desimone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</si>
  <si>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</si>
  <si>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</si>
  <si>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</si>
  <si>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</si>
  <si>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</si>
  <si>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</si>
  <si>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</si>
  <si>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</si>
  <si>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</si>
  <si>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Vehicle / Equipment Current Mileage</t>
  </si>
  <si>
    <t>Vehicle / Equipment Current Hours</t>
  </si>
  <si>
    <t>Tracking #</t>
  </si>
  <si>
    <t>Substrate description - Post Cleaning</t>
  </si>
  <si>
    <t>Substrate Volume (ft)</t>
  </si>
  <si>
    <t>Substratge Volume (L)</t>
  </si>
  <si>
    <t>ECU ID No</t>
  </si>
  <si>
    <t>Work Order No</t>
  </si>
  <si>
    <t xml:space="preserve">Silicon carbide_x000D_
</t>
  </si>
  <si>
    <t>111222</t>
  </si>
  <si>
    <t>222111</t>
  </si>
  <si>
    <t>TrackingNo</t>
  </si>
  <si>
    <t>QAAshOnFace</t>
  </si>
  <si>
    <t>QASootOnFace</t>
  </si>
  <si>
    <t>QASubstrateOveralCondition</t>
  </si>
  <si>
    <t>QASubstrateCraking</t>
  </si>
  <si>
    <t>serial # a</t>
  </si>
  <si>
    <t>asset a</t>
  </si>
  <si>
    <t>model a</t>
  </si>
  <si>
    <t>ECDManufacturer</t>
  </si>
  <si>
    <t>AshColor</t>
  </si>
  <si>
    <t>QAOutletColor</t>
  </si>
  <si>
    <t>QABreachChannels</t>
  </si>
  <si>
    <t>AWM-39</t>
  </si>
  <si>
    <t>Contact 1</t>
  </si>
  <si>
    <t>Tracking # 1</t>
  </si>
  <si>
    <t>Vehicle Sale / Purchase</t>
  </si>
  <si>
    <t>Non-Road / Off-Road</t>
  </si>
  <si>
    <t>NJ</t>
  </si>
  <si>
    <t>Serial123</t>
  </si>
  <si>
    <t>Modl123</t>
  </si>
  <si>
    <t>Heavy</t>
  </si>
  <si>
    <t>WHite</t>
  </si>
  <si>
    <t>Light</t>
  </si>
  <si>
    <t>Grey</t>
  </si>
  <si>
    <t>Like New</t>
  </si>
  <si>
    <t>None</t>
  </si>
  <si>
    <t>&lt;15</t>
  </si>
  <si>
    <t>v 1.0.5</t>
  </si>
  <si>
    <t>18104</t>
  </si>
  <si>
    <t>sit #2</t>
  </si>
  <si>
    <t>75 Creamery RD</t>
  </si>
  <si>
    <t>Pottstown</t>
  </si>
  <si>
    <t>19465</t>
  </si>
  <si>
    <t>Asset # / Truck # / Unit #</t>
  </si>
  <si>
    <t>Mileage at last cleaning / install</t>
  </si>
  <si>
    <t xml:space="preserve">
Hours at last cleaning / install</t>
  </si>
  <si>
    <t>model</t>
  </si>
  <si>
    <t>32132132321</t>
  </si>
  <si>
    <t>36034125534 / CPN2871462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</si>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</sst>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6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10" borderId="1" xfId="0" applyNumberFormat="1" applyFill="1" applyBorder="1" applyAlignment="1">
      <alignment horizontal="center"/>
    </xf>
    <xf numFmtId="166" fontId="0" fillId="10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50.emf"/><Relationship Id="rId18" Type="http://schemas.openxmlformats.org/officeDocument/2006/relationships/image" Target="../media/image67.emf"/><Relationship Id="rId3" Type="http://schemas.openxmlformats.org/officeDocument/2006/relationships/image" Target="../media/image53.emf"/><Relationship Id="rId21" Type="http://schemas.openxmlformats.org/officeDocument/2006/relationships/image" Target="../media/image49.emf"/><Relationship Id="rId7" Type="http://schemas.openxmlformats.org/officeDocument/2006/relationships/image" Target="../media/image57.emf"/><Relationship Id="rId12" Type="http://schemas.openxmlformats.org/officeDocument/2006/relationships/image" Target="../media/image62.emf"/><Relationship Id="rId17" Type="http://schemas.openxmlformats.org/officeDocument/2006/relationships/image" Target="../media/image66.emf"/><Relationship Id="rId2" Type="http://schemas.openxmlformats.org/officeDocument/2006/relationships/image" Target="../media/image52.emf"/><Relationship Id="rId16" Type="http://schemas.openxmlformats.org/officeDocument/2006/relationships/image" Target="../media/image65.emf"/><Relationship Id="rId20" Type="http://schemas.openxmlformats.org/officeDocument/2006/relationships/image" Target="../media/image69.emf"/><Relationship Id="rId1" Type="http://schemas.openxmlformats.org/officeDocument/2006/relationships/image" Target="../media/image54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5" Type="http://schemas.openxmlformats.org/officeDocument/2006/relationships/image" Target="../media/image64.emf"/><Relationship Id="rId23" Type="http://schemas.openxmlformats.org/officeDocument/2006/relationships/image" Target="../media/image71.emf"/><Relationship Id="rId10" Type="http://schemas.openxmlformats.org/officeDocument/2006/relationships/image" Target="../media/image60.emf"/><Relationship Id="rId19" Type="http://schemas.openxmlformats.org/officeDocument/2006/relationships/image" Target="../media/image68.emf"/><Relationship Id="rId4" Type="http://schemas.openxmlformats.org/officeDocument/2006/relationships/image" Target="../media/image51.emf"/><Relationship Id="rId9" Type="http://schemas.openxmlformats.org/officeDocument/2006/relationships/image" Target="../media/image59.emf"/><Relationship Id="rId14" Type="http://schemas.openxmlformats.org/officeDocument/2006/relationships/image" Target="../media/image63.emf"/><Relationship Id="rId22" Type="http://schemas.openxmlformats.org/officeDocument/2006/relationships/image" Target="../media/image7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5" Type="http://schemas.openxmlformats.org/officeDocument/2006/relationships/image" Target="../media/image72.emf"/><Relationship Id="rId4" Type="http://schemas.openxmlformats.org/officeDocument/2006/relationships/image" Target="../media/image76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1.emf"/><Relationship Id="rId3" Type="http://schemas.openxmlformats.org/officeDocument/2006/relationships/image" Target="../media/image86.emf"/><Relationship Id="rId7" Type="http://schemas.openxmlformats.org/officeDocument/2006/relationships/image" Target="../media/image82.emf"/><Relationship Id="rId2" Type="http://schemas.openxmlformats.org/officeDocument/2006/relationships/image" Target="../media/image87.emf"/><Relationship Id="rId1" Type="http://schemas.openxmlformats.org/officeDocument/2006/relationships/image" Target="../media/image80.emf"/><Relationship Id="rId6" Type="http://schemas.openxmlformats.org/officeDocument/2006/relationships/image" Target="../media/image83.emf"/><Relationship Id="rId11" Type="http://schemas.openxmlformats.org/officeDocument/2006/relationships/image" Target="../media/image77.emf"/><Relationship Id="rId5" Type="http://schemas.openxmlformats.org/officeDocument/2006/relationships/image" Target="../media/image84.emf"/><Relationship Id="rId10" Type="http://schemas.openxmlformats.org/officeDocument/2006/relationships/image" Target="../media/image78.emf"/><Relationship Id="rId4" Type="http://schemas.openxmlformats.org/officeDocument/2006/relationships/image" Target="../media/image85.emf"/><Relationship Id="rId9" Type="http://schemas.openxmlformats.org/officeDocument/2006/relationships/image" Target="../media/image7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9.emf"/><Relationship Id="rId1" Type="http://schemas.openxmlformats.org/officeDocument/2006/relationships/image" Target="../media/image9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85725</xdr:rowOff>
        </xdr:from>
        <xdr:to>
          <xdr:col>7</xdr:col>
          <xdr:colOff>466725</xdr:colOff>
          <xdr:row>10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66675</xdr:rowOff>
        </xdr:from>
        <xdr:to>
          <xdr:col>7</xdr:col>
          <xdr:colOff>466725</xdr:colOff>
          <xdr:row>13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66675</xdr:rowOff>
        </xdr:from>
        <xdr:to>
          <xdr:col>10</xdr:col>
          <xdr:colOff>361950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123825</xdr:rowOff>
        </xdr:from>
        <xdr:to>
          <xdr:col>10</xdr:col>
          <xdr:colOff>390525</xdr:colOff>
          <xdr:row>4</xdr:row>
          <xdr:rowOff>171450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19050</xdr:rowOff>
        </xdr:from>
        <xdr:to>
          <xdr:col>3</xdr:col>
          <xdr:colOff>28575</xdr:colOff>
          <xdr:row>6</xdr:row>
          <xdr:rowOff>19050</xdr:rowOff>
        </xdr:to>
        <xdr:sp macro="" textlink="">
          <xdr:nvSpPr>
            <xdr:cNvPr id="21540" name="txtTrackingNo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8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21541" name="txtContact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8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13</xdr:row>
          <xdr:rowOff>28575</xdr:rowOff>
        </xdr:from>
        <xdr:to>
          <xdr:col>1</xdr:col>
          <xdr:colOff>323850</xdr:colOff>
          <xdr:row>13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47625</xdr:rowOff>
        </xdr:from>
        <xdr:to>
          <xdr:col>1</xdr:col>
          <xdr:colOff>323850</xdr:colOff>
          <xdr:row>14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28575</xdr:rowOff>
        </xdr:from>
        <xdr:to>
          <xdr:col>2</xdr:col>
          <xdr:colOff>228600</xdr:colOff>
          <xdr:row>24</xdr:row>
          <xdr:rowOff>19050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24</xdr:row>
          <xdr:rowOff>47625</xdr:rowOff>
        </xdr:from>
        <xdr:to>
          <xdr:col>2</xdr:col>
          <xdr:colOff>228600</xdr:colOff>
          <xdr:row>25</xdr:row>
          <xdr:rowOff>38100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9525</xdr:rowOff>
        </xdr:from>
        <xdr:to>
          <xdr:col>9</xdr:col>
          <xdr:colOff>57150</xdr:colOff>
          <xdr:row>23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4.xml"/><Relationship Id="rId18" Type="http://schemas.openxmlformats.org/officeDocument/2006/relationships/image" Target="../media/image54.emf"/><Relationship Id="rId26" Type="http://schemas.openxmlformats.org/officeDocument/2006/relationships/image" Target="../media/image58.emf"/><Relationship Id="rId39" Type="http://schemas.openxmlformats.org/officeDocument/2006/relationships/control" Target="../activeX/activeX68.xml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59.xml"/><Relationship Id="rId34" Type="http://schemas.openxmlformats.org/officeDocument/2006/relationships/image" Target="../media/image62.emf"/><Relationship Id="rId42" Type="http://schemas.openxmlformats.org/officeDocument/2006/relationships/image" Target="../media/image66.emf"/><Relationship Id="rId47" Type="http://schemas.openxmlformats.org/officeDocument/2006/relationships/control" Target="../activeX/activeX72.xml"/><Relationship Id="rId50" Type="http://schemas.openxmlformats.org/officeDocument/2006/relationships/image" Target="../media/image70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control" Target="../activeX/activeX57.xml"/><Relationship Id="rId25" Type="http://schemas.openxmlformats.org/officeDocument/2006/relationships/control" Target="../activeX/activeX61.xml"/><Relationship Id="rId33" Type="http://schemas.openxmlformats.org/officeDocument/2006/relationships/control" Target="../activeX/activeX65.xml"/><Relationship Id="rId38" Type="http://schemas.openxmlformats.org/officeDocument/2006/relationships/image" Target="../media/image64.emf"/><Relationship Id="rId46" Type="http://schemas.openxmlformats.org/officeDocument/2006/relationships/image" Target="../media/image68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6.xml"/><Relationship Id="rId20" Type="http://schemas.openxmlformats.org/officeDocument/2006/relationships/image" Target="../media/image55.emf"/><Relationship Id="rId29" Type="http://schemas.openxmlformats.org/officeDocument/2006/relationships/control" Target="../activeX/activeX63.xml"/><Relationship Id="rId41" Type="http://schemas.openxmlformats.org/officeDocument/2006/relationships/control" Target="../activeX/activeX6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image" Target="../media/image57.emf"/><Relationship Id="rId32" Type="http://schemas.openxmlformats.org/officeDocument/2006/relationships/image" Target="../media/image61.emf"/><Relationship Id="rId37" Type="http://schemas.openxmlformats.org/officeDocument/2006/relationships/control" Target="../activeX/activeX67.xml"/><Relationship Id="rId40" Type="http://schemas.openxmlformats.org/officeDocument/2006/relationships/image" Target="../media/image65.emf"/><Relationship Id="rId45" Type="http://schemas.openxmlformats.org/officeDocument/2006/relationships/control" Target="../activeX/activeX71.xml"/><Relationship Id="rId5" Type="http://schemas.openxmlformats.org/officeDocument/2006/relationships/image" Target="../media/image49.emf"/><Relationship Id="rId15" Type="http://schemas.openxmlformats.org/officeDocument/2006/relationships/control" Target="../activeX/activeX55.xml"/><Relationship Id="rId23" Type="http://schemas.openxmlformats.org/officeDocument/2006/relationships/control" Target="../activeX/activeX60.xml"/><Relationship Id="rId28" Type="http://schemas.openxmlformats.org/officeDocument/2006/relationships/image" Target="../media/image59.emf"/><Relationship Id="rId36" Type="http://schemas.openxmlformats.org/officeDocument/2006/relationships/image" Target="../media/image63.emf"/><Relationship Id="rId49" Type="http://schemas.openxmlformats.org/officeDocument/2006/relationships/control" Target="../activeX/activeX73.xml"/><Relationship Id="rId10" Type="http://schemas.openxmlformats.org/officeDocument/2006/relationships/control" Target="../activeX/activeX52.xml"/><Relationship Id="rId19" Type="http://schemas.openxmlformats.org/officeDocument/2006/relationships/control" Target="../activeX/activeX58.xml"/><Relationship Id="rId31" Type="http://schemas.openxmlformats.org/officeDocument/2006/relationships/control" Target="../activeX/activeX64.xml"/><Relationship Id="rId44" Type="http://schemas.openxmlformats.org/officeDocument/2006/relationships/image" Target="../media/image67.emf"/><Relationship Id="rId52" Type="http://schemas.openxmlformats.org/officeDocument/2006/relationships/image" Target="../media/image71.emf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image" Target="../media/image53.emf"/><Relationship Id="rId22" Type="http://schemas.openxmlformats.org/officeDocument/2006/relationships/image" Target="../media/image56.emf"/><Relationship Id="rId27" Type="http://schemas.openxmlformats.org/officeDocument/2006/relationships/control" Target="../activeX/activeX62.xml"/><Relationship Id="rId30" Type="http://schemas.openxmlformats.org/officeDocument/2006/relationships/image" Target="../media/image60.emf"/><Relationship Id="rId35" Type="http://schemas.openxmlformats.org/officeDocument/2006/relationships/control" Target="../activeX/activeX66.xml"/><Relationship Id="rId43" Type="http://schemas.openxmlformats.org/officeDocument/2006/relationships/control" Target="../activeX/activeX70.xml"/><Relationship Id="rId48" Type="http://schemas.openxmlformats.org/officeDocument/2006/relationships/image" Target="../media/image69.emf"/><Relationship Id="rId8" Type="http://schemas.openxmlformats.org/officeDocument/2006/relationships/control" Target="../activeX/activeX51.xml"/><Relationship Id="rId51" Type="http://schemas.openxmlformats.org/officeDocument/2006/relationships/control" Target="../activeX/activeX7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3.emf"/><Relationship Id="rId12" Type="http://schemas.openxmlformats.org/officeDocument/2006/relationships/control" Target="../activeX/activeX7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6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4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13" Type="http://schemas.openxmlformats.org/officeDocument/2006/relationships/control" Target="../activeX/activeX85.xml"/><Relationship Id="rId18" Type="http://schemas.openxmlformats.org/officeDocument/2006/relationships/control" Target="../activeX/activeX88.xml"/><Relationship Id="rId26" Type="http://schemas.openxmlformats.org/officeDocument/2006/relationships/control" Target="../activeX/activeX92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4.emf"/><Relationship Id="rId7" Type="http://schemas.openxmlformats.org/officeDocument/2006/relationships/image" Target="../media/image78.emf"/><Relationship Id="rId12" Type="http://schemas.openxmlformats.org/officeDocument/2006/relationships/control" Target="../activeX/activeX84.xml"/><Relationship Id="rId17" Type="http://schemas.openxmlformats.org/officeDocument/2006/relationships/image" Target="../media/image82.emf"/><Relationship Id="rId25" Type="http://schemas.openxmlformats.org/officeDocument/2006/relationships/image" Target="../media/image86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7.xml"/><Relationship Id="rId20" Type="http://schemas.openxmlformats.org/officeDocument/2006/relationships/control" Target="../activeX/activeX89.xml"/><Relationship Id="rId29" Type="http://schemas.openxmlformats.org/officeDocument/2006/relationships/control" Target="../activeX/activeX9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1.xml"/><Relationship Id="rId11" Type="http://schemas.openxmlformats.org/officeDocument/2006/relationships/image" Target="../media/image80.emf"/><Relationship Id="rId24" Type="http://schemas.openxmlformats.org/officeDocument/2006/relationships/control" Target="../activeX/activeX91.xml"/><Relationship Id="rId5" Type="http://schemas.openxmlformats.org/officeDocument/2006/relationships/image" Target="../media/image77.emf"/><Relationship Id="rId15" Type="http://schemas.openxmlformats.org/officeDocument/2006/relationships/image" Target="../media/image81.emf"/><Relationship Id="rId23" Type="http://schemas.openxmlformats.org/officeDocument/2006/relationships/image" Target="../media/image85.emf"/><Relationship Id="rId28" Type="http://schemas.openxmlformats.org/officeDocument/2006/relationships/image" Target="../media/image87.emf"/><Relationship Id="rId10" Type="http://schemas.openxmlformats.org/officeDocument/2006/relationships/control" Target="../activeX/activeX83.xml"/><Relationship Id="rId19" Type="http://schemas.openxmlformats.org/officeDocument/2006/relationships/image" Target="../media/image83.emf"/><Relationship Id="rId31" Type="http://schemas.openxmlformats.org/officeDocument/2006/relationships/control" Target="../activeX/activeX96.xml"/><Relationship Id="rId4" Type="http://schemas.openxmlformats.org/officeDocument/2006/relationships/control" Target="../activeX/activeX80.xml"/><Relationship Id="rId9" Type="http://schemas.openxmlformats.org/officeDocument/2006/relationships/image" Target="../media/image79.emf"/><Relationship Id="rId14" Type="http://schemas.openxmlformats.org/officeDocument/2006/relationships/control" Target="../activeX/activeX86.xml"/><Relationship Id="rId22" Type="http://schemas.openxmlformats.org/officeDocument/2006/relationships/control" Target="../activeX/activeX90.xml"/><Relationship Id="rId27" Type="http://schemas.openxmlformats.org/officeDocument/2006/relationships/control" Target="../activeX/activeX93.xml"/><Relationship Id="rId30" Type="http://schemas.openxmlformats.org/officeDocument/2006/relationships/control" Target="../activeX/activeX9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8.xml"/><Relationship Id="rId5" Type="http://schemas.openxmlformats.org/officeDocument/2006/relationships/image" Target="../media/image88.emf"/><Relationship Id="rId4" Type="http://schemas.openxmlformats.org/officeDocument/2006/relationships/control" Target="../activeX/activeX97.xml"/><Relationship Id="rId9" Type="http://schemas.openxmlformats.org/officeDocument/2006/relationships/image" Target="../media/image9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J13" sqref="J13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251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8</xdr:col>
                <xdr:colOff>133350</xdr:colOff>
                <xdr:row>2</xdr:row>
                <xdr:rowOff>123825</xdr:rowOff>
              </from>
              <to>
                <xdr:col>10</xdr:col>
                <xdr:colOff>390525</xdr:colOff>
                <xdr:row>4</xdr:row>
                <xdr:rowOff>171450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466725</xdr:colOff>
                <xdr:row>10</xdr:row>
                <xdr:rowOff>133350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autoPict="0" r:id="rId15">
            <anchor moveWithCells="1"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466725</xdr:colOff>
                <xdr:row>13</xdr:row>
                <xdr:rowOff>95250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autoPict="0" r:id="rId17">
            <anchor moveWithCells="1">
              <from>
                <xdr:col>8</xdr:col>
                <xdr:colOff>104775</xdr:colOff>
                <xdr:row>5</xdr:row>
                <xdr:rowOff>66675</xdr:rowOff>
              </from>
              <to>
                <xdr:col>10</xdr:col>
                <xdr:colOff>361950</xdr:colOff>
                <xdr:row>7</xdr:row>
                <xdr:rowOff>114300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42</v>
      </c>
      <c r="C2" s="15"/>
    </row>
    <row r="3" spans="2:5" ht="30" customHeight="1" x14ac:dyDescent="0.25">
      <c r="B3" s="11" t="s">
        <v>42</v>
      </c>
      <c r="C3" s="14"/>
      <c r="E3" s="37"/>
    </row>
    <row r="4" spans="2:5" ht="30" customHeight="1" x14ac:dyDescent="0.25">
      <c r="B4" s="11" t="s">
        <v>185</v>
      </c>
      <c r="C4" s="14"/>
      <c r="E4" s="34"/>
    </row>
    <row r="5" spans="2:5" ht="30" customHeight="1" x14ac:dyDescent="0.25">
      <c r="B5" s="11" t="s">
        <v>43</v>
      </c>
      <c r="C5" s="14"/>
      <c r="E5" s="37"/>
    </row>
    <row r="6" spans="2:5" ht="30" customHeight="1" x14ac:dyDescent="0.25">
      <c r="B6" s="11" t="s">
        <v>44</v>
      </c>
      <c r="C6" s="14"/>
    </row>
    <row r="7" spans="2:5" ht="30" customHeight="1" x14ac:dyDescent="0.25">
      <c r="B7" s="11" t="s">
        <v>45</v>
      </c>
      <c r="C7" s="14"/>
    </row>
    <row r="8" spans="2:5" ht="30" customHeight="1" x14ac:dyDescent="0.25">
      <c r="B8" s="11" t="s">
        <v>46</v>
      </c>
      <c r="C8" s="14"/>
    </row>
    <row r="9" spans="2:5" ht="30" customHeight="1" x14ac:dyDescent="0.25">
      <c r="B9" s="11" t="s">
        <v>47</v>
      </c>
      <c r="C9" s="14"/>
    </row>
    <row r="10" spans="2:5" ht="30" customHeight="1" x14ac:dyDescent="0.25">
      <c r="B10" s="11" t="s">
        <v>48</v>
      </c>
      <c r="C10" s="14"/>
    </row>
    <row r="11" spans="2:5" ht="30" customHeight="1" x14ac:dyDescent="0.25">
      <c r="B11" s="11" t="s">
        <v>167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B13" sqref="B13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253</v>
      </c>
      <c r="D4" s="37"/>
    </row>
    <row r="5" spans="1:4" ht="30" customHeight="1" x14ac:dyDescent="0.25">
      <c r="A5" s="5" t="s">
        <v>1</v>
      </c>
      <c r="B5" s="14" t="s">
        <v>254</v>
      </c>
    </row>
    <row r="6" spans="1:4" ht="30" customHeight="1" x14ac:dyDescent="0.25">
      <c r="A6" s="5" t="s">
        <v>28</v>
      </c>
      <c r="B6" s="14" t="s">
        <v>186</v>
      </c>
    </row>
    <row r="7" spans="1:4" ht="30" customHeight="1" x14ac:dyDescent="0.25">
      <c r="A7" s="5" t="s">
        <v>2</v>
      </c>
      <c r="B7" s="14" t="s">
        <v>255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 t="s">
        <v>256</v>
      </c>
    </row>
    <row r="10" spans="1:4" ht="30" customHeight="1" x14ac:dyDescent="0.25">
      <c r="A10" s="5" t="s">
        <v>163</v>
      </c>
      <c r="B10" s="14" t="s">
        <v>252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41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38</v>
      </c>
      <c r="B12" s="16"/>
    </row>
    <row r="13" spans="1:7" ht="30" customHeight="1" x14ac:dyDescent="0.25">
      <c r="A13" s="5" t="s">
        <v>39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A10" sqref="A10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195</v>
      </c>
      <c r="B3" s="57"/>
      <c r="D3" s="37"/>
    </row>
    <row r="4" spans="1:4" ht="30" customHeight="1" x14ac:dyDescent="0.25">
      <c r="A4" s="5" t="s">
        <v>257</v>
      </c>
      <c r="B4" s="57"/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/>
    </row>
    <row r="7" spans="1:4" ht="30" customHeight="1" x14ac:dyDescent="0.25">
      <c r="A7" s="5" t="s">
        <v>11</v>
      </c>
      <c r="B7" s="14"/>
    </row>
    <row r="8" spans="1:4" ht="30" customHeight="1" x14ac:dyDescent="0.25">
      <c r="A8" s="5" t="s">
        <v>258</v>
      </c>
      <c r="B8" s="14"/>
    </row>
    <row r="9" spans="1:4" ht="30" customHeight="1" x14ac:dyDescent="0.25">
      <c r="A9" s="115" t="s">
        <v>259</v>
      </c>
      <c r="B9" s="14"/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6" sqref="B6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8" t="s">
        <v>261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 t="s">
        <v>260</v>
      </c>
    </row>
    <row r="6" spans="1:4" ht="30" customHeight="1" x14ac:dyDescent="0.25">
      <c r="A6" s="5" t="s">
        <v>11</v>
      </c>
      <c r="B6" s="35">
        <v>2017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193</v>
      </c>
      <c r="B3" s="14" t="s">
        <v>194</v>
      </c>
      <c r="E3" t="s">
        <v>187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8" t="s">
        <v>222</v>
      </c>
      <c r="E3" s="37"/>
    </row>
    <row r="4" spans="1:5" ht="30" customHeight="1" x14ac:dyDescent="0.25">
      <c r="A4" s="5" t="s">
        <v>36</v>
      </c>
      <c r="B4" s="58" t="s">
        <v>223</v>
      </c>
    </row>
    <row r="5" spans="1:5" ht="30" customHeight="1" x14ac:dyDescent="0.25">
      <c r="A5" s="5" t="s">
        <v>13</v>
      </c>
      <c r="B5" s="14" t="s">
        <v>186</v>
      </c>
    </row>
    <row r="6" spans="1:5" ht="30" customHeight="1" x14ac:dyDescent="0.25">
      <c r="A6" s="5" t="s">
        <v>34</v>
      </c>
      <c r="B6" s="14" t="s">
        <v>117</v>
      </c>
    </row>
    <row r="7" spans="1:5" ht="30" customHeight="1" x14ac:dyDescent="0.25">
      <c r="A7" s="5" t="s">
        <v>14</v>
      </c>
      <c r="B7" s="14" t="s">
        <v>118</v>
      </c>
    </row>
    <row r="8" spans="1:5" ht="30" customHeight="1" x14ac:dyDescent="0.25">
      <c r="A8" s="5" t="s">
        <v>37</v>
      </c>
      <c r="B8" s="111" t="s">
        <v>221</v>
      </c>
    </row>
    <row r="9" spans="1:5" ht="30" customHeight="1" x14ac:dyDescent="0.25">
      <c r="A9" s="5" t="s">
        <v>15</v>
      </c>
      <c r="B9" s="14">
        <v>13</v>
      </c>
    </row>
    <row r="10" spans="1:5" ht="30" customHeight="1" x14ac:dyDescent="0.25">
      <c r="A10" s="5" t="s">
        <v>16</v>
      </c>
      <c r="B10" s="14">
        <v>12</v>
      </c>
    </row>
    <row r="11" spans="1:5" ht="30" customHeight="1" x14ac:dyDescent="0.25">
      <c r="A11" s="5" t="s">
        <v>17</v>
      </c>
      <c r="B11" s="14">
        <v>12</v>
      </c>
    </row>
    <row r="12" spans="1:5" ht="30" customHeight="1" x14ac:dyDescent="0.25">
      <c r="A12" s="5" t="s">
        <v>18</v>
      </c>
      <c r="B12" s="14">
        <v>11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J29"/>
  <sheetViews>
    <sheetView showGridLines="0" workbookViewId="0">
      <selection activeCell="B11" sqref="B11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170</v>
      </c>
      <c r="E4" s="45"/>
    </row>
    <row r="5" spans="2:10" ht="18" customHeight="1" x14ac:dyDescent="0.25">
      <c r="B5" s="5" t="s">
        <v>171</v>
      </c>
      <c r="C5" s="1"/>
      <c r="J5" s="5"/>
    </row>
    <row r="6" spans="2:10" ht="18" customHeight="1" x14ac:dyDescent="0.25">
      <c r="B6" s="5" t="s">
        <v>215</v>
      </c>
      <c r="C6" s="53">
        <v>43641.837262581015</v>
      </c>
      <c r="J6" s="5"/>
    </row>
    <row r="7" spans="2:10" ht="18" customHeight="1" x14ac:dyDescent="0.25">
      <c r="B7" s="5" t="s">
        <v>210</v>
      </c>
      <c r="C7" s="2"/>
    </row>
    <row r="8" spans="2:10" ht="18" customHeight="1" x14ac:dyDescent="0.25">
      <c r="B8" s="5" t="s">
        <v>211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172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212</v>
      </c>
      <c r="C13" s="1"/>
    </row>
    <row r="14" spans="2:10" ht="18" customHeight="1" x14ac:dyDescent="0.25">
      <c r="B14" s="5" t="s">
        <v>213</v>
      </c>
      <c r="C14" s="54">
        <v>147233</v>
      </c>
    </row>
    <row r="15" spans="2:10" ht="18" customHeight="1" x14ac:dyDescent="0.25">
      <c r="B15" s="5" t="s">
        <v>214</v>
      </c>
      <c r="C15" s="53">
        <v>7389</v>
      </c>
    </row>
    <row r="16" spans="2:10" ht="18" customHeight="1" x14ac:dyDescent="0.25">
      <c r="C16" s="1"/>
    </row>
    <row r="17" spans="2:3" ht="18" customHeight="1" x14ac:dyDescent="0.25">
      <c r="B17" s="5" t="s">
        <v>19</v>
      </c>
      <c r="C17" s="52"/>
    </row>
    <row r="18" spans="2:3" ht="18" customHeight="1" x14ac:dyDescent="0.25">
      <c r="B18" s="5" t="s">
        <v>20</v>
      </c>
      <c r="C18" s="53"/>
    </row>
    <row r="19" spans="2:3" ht="18" customHeight="1" x14ac:dyDescent="0.25">
      <c r="B19" s="5" t="s">
        <v>21</v>
      </c>
      <c r="C19" s="53"/>
    </row>
    <row r="20" spans="2:3" ht="18" customHeight="1" x14ac:dyDescent="0.25">
      <c r="B20" s="5" t="s">
        <v>22</v>
      </c>
      <c r="C20" s="1"/>
    </row>
    <row r="21" spans="2:3" ht="18" customHeight="1" x14ac:dyDescent="0.25">
      <c r="C21" s="1"/>
    </row>
    <row r="22" spans="2:3" ht="18" customHeight="1" x14ac:dyDescent="0.25">
      <c r="B22" s="5" t="s">
        <v>23</v>
      </c>
      <c r="C22" s="52"/>
    </row>
    <row r="23" spans="2:3" ht="18" customHeight="1" x14ac:dyDescent="0.25">
      <c r="B23" s="5" t="s">
        <v>24</v>
      </c>
      <c r="C23" s="53"/>
    </row>
    <row r="24" spans="2:3" ht="18" customHeight="1" x14ac:dyDescent="0.25">
      <c r="B24" s="5" t="s">
        <v>25</v>
      </c>
      <c r="C24" s="53"/>
    </row>
    <row r="25" spans="2:3" ht="18" customHeight="1" x14ac:dyDescent="0.25">
      <c r="B25" s="5" t="s">
        <v>26</v>
      </c>
      <c r="C25" s="1"/>
    </row>
    <row r="26" spans="2:3" ht="18" customHeight="1" x14ac:dyDescent="0.25">
      <c r="B26" s="5" t="s">
        <v>7</v>
      </c>
      <c r="C26" s="1"/>
    </row>
    <row r="27" spans="2:3" ht="18" customHeight="1" x14ac:dyDescent="0.25">
      <c r="B27"/>
    </row>
    <row r="28" spans="2:3" ht="18" customHeight="1" x14ac:dyDescent="0.25">
      <c r="B28"/>
    </row>
    <row r="29" spans="2:3" ht="18" customHeight="1" x14ac:dyDescent="0.25">
      <c r="B29"/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9" r:id="rId4" name="cmdReport">
          <controlPr defaultSize="0" autoLine="0" altText="" r:id="rId5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" name="cmdReport"/>
      </mc:Fallback>
    </mc:AlternateContent>
    <mc:AlternateContent xmlns:mc="http://schemas.openxmlformats.org/markup-compatibility/2006">
      <mc:Choice Requires="x14">
        <control shapeId="21531" r:id="rId6" name="cmdMenu">
          <controlPr autoLine="0" r:id="rId7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21531" r:id="rId6" name="cmdMenu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autoPict="0" r:id="rId11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2" name="chkHighSootLoad">
          <controlPr autoLine="0" autoPict="0" r:id="rId11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21509" r:id="rId12" name="chkHighSootLoad"/>
      </mc:Fallback>
    </mc:AlternateContent>
    <mc:AlternateContent xmlns:mc="http://schemas.openxmlformats.org/markup-compatibility/2006">
      <mc:Choice Requires="x14">
        <control shapeId="21508" r:id="rId13" name="chkPreventMaint">
          <controlPr autoLine="0" autoPict="0" r:id="rId14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8" r:id="rId13" name="chkPreventMaint"/>
      </mc:Fallback>
    </mc:AlternateContent>
    <mc:AlternateContent xmlns:mc="http://schemas.openxmlformats.org/markup-compatibility/2006">
      <mc:Choice Requires="x14">
        <control shapeId="21507" r:id="rId15" name="chkHighIdle">
          <controlPr autoLine="0" autoPict="0" r:id="rId14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21507" r:id="rId15" name="chkHighIdle"/>
      </mc:Fallback>
    </mc:AlternateContent>
    <mc:AlternateContent xmlns:mc="http://schemas.openxmlformats.org/markup-compatibility/2006">
      <mc:Choice Requires="x14">
        <control shapeId="21506" r:id="rId16" name="chkStartStop">
          <controlPr autoLine="0" autoPict="0" r:id="rId11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6" r:id="rId16" name="chkStartStop"/>
      </mc:Fallback>
    </mc:AlternateContent>
    <mc:AlternateContent xmlns:mc="http://schemas.openxmlformats.org/markup-compatibility/2006">
      <mc:Choice Requires="x14">
        <control shapeId="21505" r:id="rId17" name="chkOvrRdHw">
          <controlPr autoLine="0" autoPict="0" r:id="rId18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21505" r:id="rId17" name="chkOvrRdHw"/>
      </mc:Fallback>
    </mc:AlternateContent>
    <mc:AlternateContent xmlns:mc="http://schemas.openxmlformats.org/markup-compatibility/2006">
      <mc:Choice Requires="x14">
        <control shapeId="21522" r:id="rId19" name="cbDPF">
          <controlPr defaultSize="0" autoFill="0" autoLine="0" r:id="rId20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21522" r:id="rId19" name="cbDPF"/>
      </mc:Fallback>
    </mc:AlternateContent>
    <mc:AlternateContent xmlns:mc="http://schemas.openxmlformats.org/markup-compatibility/2006">
      <mc:Choice Requires="x14">
        <control shapeId="21523" r:id="rId21" name="cbCompany">
          <controlPr defaultSize="0" autoFill="0" autoLine="0" r:id="rId22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21523" r:id="rId21" name="cbCompany"/>
      </mc:Fallback>
    </mc:AlternateContent>
    <mc:AlternateContent xmlns:mc="http://schemas.openxmlformats.org/markup-compatibility/2006">
      <mc:Choice Requires="x14">
        <control shapeId="21525" r:id="rId23" name="cbCompLocation">
          <controlPr defaultSize="0" autoFill="0" autoLine="0" r:id="rId24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21525" r:id="rId23" name="cbCompLocation"/>
      </mc:Fallback>
    </mc:AlternateContent>
    <mc:AlternateContent xmlns:mc="http://schemas.openxmlformats.org/markup-compatibility/2006">
      <mc:Choice Requires="x14">
        <control shapeId="21526" r:id="rId25" name="cbVehicle">
          <controlPr defaultSize="0" autoFill="0" autoLine="0" r:id="rId26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21526" r:id="rId25" name="cbVehicle"/>
      </mc:Fallback>
    </mc:AlternateContent>
    <mc:AlternateContent xmlns:mc="http://schemas.openxmlformats.org/markup-compatibility/2006">
      <mc:Choice Requires="x14">
        <control shapeId="21527" r:id="rId27" name="cbEngine">
          <controlPr defaultSize="0" autoFill="0" autoLine="0" r:id="rId28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21527" r:id="rId27" name="cbEngine"/>
      </mc:Fallback>
    </mc:AlternateContent>
    <mc:AlternateContent xmlns:mc="http://schemas.openxmlformats.org/markup-compatibility/2006">
      <mc:Choice Requires="x14">
        <control shapeId="21528" r:id="rId29" name="cbECD">
          <controlPr defaultSize="0" autoFill="0" autoLine="0" r:id="rId30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21528" r:id="rId29" name="cbECD"/>
      </mc:Fallback>
    </mc:AlternateContent>
    <mc:AlternateContent xmlns:mc="http://schemas.openxmlformats.org/markup-compatibility/2006">
      <mc:Choice Requires="x14">
        <control shapeId="21529" r:id="rId31" name="cbDrivingType">
          <controlPr defaultSize="0" autoFill="0" autoLine="0" r:id="rId32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21529" r:id="rId31" name="cbDrivingType"/>
      </mc:Fallback>
    </mc:AlternateContent>
    <mc:AlternateContent xmlns:mc="http://schemas.openxmlformats.org/markup-compatibility/2006">
      <mc:Choice Requires="x14">
        <control shapeId="21530" r:id="rId33" name="cbCleaningReason">
          <controlPr defaultSize="0" autoFill="0" autoLine="0" autoPict="0" r:id="rId34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21530" r:id="rId33" name="cbCleaningReason"/>
      </mc:Fallback>
    </mc:AlternateContent>
    <mc:AlternateContent xmlns:mc="http://schemas.openxmlformats.org/markup-compatibility/2006">
      <mc:Choice Requires="x14">
        <control shapeId="21532" r:id="rId35" name="cbBillingCompany">
          <controlPr defaultSize="0" autoFill="0" autoLine="0" r:id="rId36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21532" r:id="rId35" name="cbBillingCompany"/>
      </mc:Fallback>
    </mc:AlternateContent>
    <mc:AlternateContent xmlns:mc="http://schemas.openxmlformats.org/markup-compatibility/2006">
      <mc:Choice Requires="x14">
        <control shapeId="21533" r:id="rId37" name="cbSalesID">
          <controlPr defaultSize="0" autoFill="0" autoLine="0" r:id="rId38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21533" r:id="rId37" name="cbSalesID"/>
      </mc:Fallback>
    </mc:AlternateContent>
    <mc:AlternateContent xmlns:mc="http://schemas.openxmlformats.org/markup-compatibility/2006">
      <mc:Choice Requires="x14">
        <control shapeId="21534" r:id="rId39" name="cmdVehicle">
          <controlPr defaultSize="0" autoLine="0" r:id="rId40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21534" r:id="rId39" name="cmdVehicle"/>
      </mc:Fallback>
    </mc:AlternateContent>
    <mc:AlternateContent xmlns:mc="http://schemas.openxmlformats.org/markup-compatibility/2006">
      <mc:Choice Requires="x14">
        <control shapeId="21535" r:id="rId41" name="cmdEngine">
          <controlPr defaultSize="0" autoLine="0" r:id="rId42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21535" r:id="rId41" name="cmdEngine"/>
      </mc:Fallback>
    </mc:AlternateContent>
    <mc:AlternateContent xmlns:mc="http://schemas.openxmlformats.org/markup-compatibility/2006">
      <mc:Choice Requires="x14">
        <control shapeId="21536" r:id="rId43" name="cmdECD">
          <controlPr defaultSize="0" autoLine="0" r:id="rId44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21536" r:id="rId43" name="cmdECD"/>
      </mc:Fallback>
    </mc:AlternateContent>
    <mc:AlternateContent xmlns:mc="http://schemas.openxmlformats.org/markup-compatibility/2006">
      <mc:Choice Requires="x14">
        <control shapeId="21537" r:id="rId45" name="cmdQuality">
          <controlPr defaultSize="0" autoLine="0" autoPict="0" altText="" r:id="rId46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45" name="cmdQuality"/>
      </mc:Fallback>
    </mc:AlternateContent>
    <mc:AlternateContent xmlns:mc="http://schemas.openxmlformats.org/markup-compatibility/2006">
      <mc:Choice Requires="x14">
        <control shapeId="21538" r:id="rId47" name="cmdQAProcess">
          <controlPr defaultSize="0" autoLine="0" autoPict="0" r:id="rId48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47" name="cmdQAProcess"/>
      </mc:Fallback>
    </mc:AlternateContent>
    <mc:AlternateContent xmlns:mc="http://schemas.openxmlformats.org/markup-compatibility/2006">
      <mc:Choice Requires="x14">
        <control shapeId="21540" r:id="rId49" name="txtTrackingNo">
          <controlPr defaultSize="0" autoLine="0" autoPict="0" r:id="rId50">
            <anchor moveWithCells="1">
              <from>
                <xdr:col>2</xdr:col>
                <xdr:colOff>0</xdr:colOff>
                <xdr:row>5</xdr:row>
                <xdr:rowOff>19050</xdr:rowOff>
              </from>
              <to>
                <xdr:col>3</xdr:col>
                <xdr:colOff>28575</xdr:colOff>
                <xdr:row>6</xdr:row>
                <xdr:rowOff>19050</xdr:rowOff>
              </to>
            </anchor>
          </controlPr>
        </control>
      </mc:Choice>
      <mc:Fallback>
        <control shapeId="21540" r:id="rId49" name="txtTrackingNo"/>
      </mc:Fallback>
    </mc:AlternateContent>
    <mc:AlternateContent xmlns:mc="http://schemas.openxmlformats.org/markup-compatibility/2006">
      <mc:Choice Requires="x14">
        <control shapeId="21541" r:id="rId51" name="txtContact">
          <controlPr defaultSize="0" autoLine="0" r:id="rId52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21541" r:id="rId51" name="txtConta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H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2" x14ac:dyDescent="0.25">
      <c r="A1" t="s">
        <v>93</v>
      </c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  <c r="I1" t="s">
        <v>133</v>
      </c>
      <c r="J1" t="s">
        <v>134</v>
      </c>
      <c r="K1" t="s">
        <v>135</v>
      </c>
      <c r="L1" t="s">
        <v>136</v>
      </c>
      <c r="M1" t="s">
        <v>137</v>
      </c>
      <c r="N1" t="s">
        <v>138</v>
      </c>
      <c r="O1" t="s">
        <v>139</v>
      </c>
      <c r="P1" t="s">
        <v>140</v>
      </c>
      <c r="Q1" t="s">
        <v>141</v>
      </c>
      <c r="R1" t="s">
        <v>142</v>
      </c>
      <c r="S1" t="s">
        <v>143</v>
      </c>
      <c r="T1" t="s">
        <v>144</v>
      </c>
      <c r="U1" t="s">
        <v>145</v>
      </c>
      <c r="V1" t="s">
        <v>146</v>
      </c>
      <c r="W1" t="s">
        <v>147</v>
      </c>
      <c r="X1" t="s">
        <v>148</v>
      </c>
      <c r="Y1" t="s">
        <v>149</v>
      </c>
      <c r="Z1" t="s">
        <v>150</v>
      </c>
      <c r="AA1" t="s">
        <v>151</v>
      </c>
      <c r="AB1" t="s">
        <v>152</v>
      </c>
      <c r="AC1" t="s">
        <v>153</v>
      </c>
      <c r="AD1" t="s">
        <v>154</v>
      </c>
      <c r="AE1" t="s">
        <v>155</v>
      </c>
      <c r="AF1" t="s">
        <v>156</v>
      </c>
      <c r="AG1" t="s">
        <v>157</v>
      </c>
      <c r="AH1" t="s">
        <v>158</v>
      </c>
      <c r="AI1" t="s">
        <v>159</v>
      </c>
      <c r="AJ1" t="s">
        <v>160</v>
      </c>
      <c r="AK1" t="s">
        <v>93</v>
      </c>
      <c r="AL1" t="s">
        <v>197</v>
      </c>
      <c r="AM1" t="s">
        <v>163</v>
      </c>
      <c r="AN1" t="s">
        <v>224</v>
      </c>
      <c r="AO1" t="s">
        <v>164</v>
      </c>
      <c r="AP1" t="s">
        <v>94</v>
      </c>
      <c r="AQ1" t="s">
        <v>95</v>
      </c>
      <c r="AR1" t="s">
        <v>96</v>
      </c>
      <c r="AS1" t="s">
        <v>165</v>
      </c>
      <c r="AT1" t="s">
        <v>97</v>
      </c>
      <c r="AU1" t="s">
        <v>98</v>
      </c>
      <c r="AV1" t="s">
        <v>99</v>
      </c>
      <c r="AW1" t="s">
        <v>166</v>
      </c>
      <c r="AX1" t="s">
        <v>198</v>
      </c>
      <c r="AY1" t="s">
        <v>199</v>
      </c>
      <c r="AZ1" t="s">
        <v>175</v>
      </c>
      <c r="BA1" t="s">
        <v>173</v>
      </c>
      <c r="BB1" t="s">
        <v>200</v>
      </c>
      <c r="BC1" t="s">
        <v>101</v>
      </c>
      <c r="BD1" t="s">
        <v>102</v>
      </c>
      <c r="BE1" t="s">
        <v>103</v>
      </c>
      <c r="BF1" t="s">
        <v>104</v>
      </c>
      <c r="BG1" t="s">
        <v>174</v>
      </c>
      <c r="BH1" t="s">
        <v>100</v>
      </c>
      <c r="BI1" t="s">
        <v>200</v>
      </c>
      <c r="BJ1" t="s">
        <v>105</v>
      </c>
      <c r="BK1" t="s">
        <v>28</v>
      </c>
      <c r="BL1" t="s">
        <v>2</v>
      </c>
      <c r="BM1" t="s">
        <v>4</v>
      </c>
      <c r="BN1" t="s">
        <v>3</v>
      </c>
      <c r="BO1" t="s">
        <v>29</v>
      </c>
      <c r="BP1" t="s">
        <v>105</v>
      </c>
      <c r="BQ1" t="s">
        <v>28</v>
      </c>
      <c r="BR1" t="s">
        <v>2</v>
      </c>
      <c r="BS1" t="s">
        <v>4</v>
      </c>
      <c r="BT1" t="s">
        <v>3</v>
      </c>
      <c r="BU1" t="s">
        <v>106</v>
      </c>
      <c r="BV1" t="s">
        <v>107</v>
      </c>
      <c r="BW1" t="s">
        <v>14</v>
      </c>
      <c r="BX1" t="s">
        <v>10</v>
      </c>
      <c r="BY1" t="s">
        <v>11</v>
      </c>
      <c r="BZ1" t="s">
        <v>201</v>
      </c>
      <c r="CA1" t="s">
        <v>202</v>
      </c>
      <c r="CB1" t="s">
        <v>14</v>
      </c>
      <c r="CC1" t="s">
        <v>106</v>
      </c>
      <c r="CD1" t="s">
        <v>10</v>
      </c>
      <c r="CE1" t="s">
        <v>11</v>
      </c>
      <c r="CF1" t="s">
        <v>108</v>
      </c>
      <c r="CG1" t="s">
        <v>232</v>
      </c>
      <c r="CH1" t="s">
        <v>109</v>
      </c>
      <c r="CI1" t="s">
        <v>110</v>
      </c>
      <c r="CJ1" t="s">
        <v>111</v>
      </c>
      <c r="CK1" t="s">
        <v>106</v>
      </c>
      <c r="CL1" t="s">
        <v>112</v>
      </c>
      <c r="CM1" t="s">
        <v>113</v>
      </c>
      <c r="CN1" t="s">
        <v>114</v>
      </c>
      <c r="CO1" t="s">
        <v>115</v>
      </c>
      <c r="CP1" t="s">
        <v>116</v>
      </c>
      <c r="CQ1" t="s">
        <v>225</v>
      </c>
      <c r="CR1" t="s">
        <v>233</v>
      </c>
      <c r="CS1" t="s">
        <v>226</v>
      </c>
      <c r="CT1" t="s">
        <v>234</v>
      </c>
      <c r="CU1" t="s">
        <v>227</v>
      </c>
      <c r="CV1" t="s">
        <v>228</v>
      </c>
      <c r="CW1" t="s">
        <v>235</v>
      </c>
      <c r="CX1" t="s">
        <v>119</v>
      </c>
      <c r="CY1" t="s">
        <v>120</v>
      </c>
      <c r="CZ1" t="s">
        <v>121</v>
      </c>
      <c r="DA1" t="s">
        <v>122</v>
      </c>
      <c r="DB1" t="s">
        <v>181</v>
      </c>
      <c r="DC1" t="s">
        <v>182</v>
      </c>
      <c r="DD1" t="s">
        <v>183</v>
      </c>
      <c r="DE1" t="s">
        <v>184</v>
      </c>
      <c r="DF1" t="s">
        <v>123</v>
      </c>
      <c r="DG1" t="s">
        <v>124</v>
      </c>
      <c r="DH1" t="s">
        <v>125</v>
      </c>
    </row>
    <row r="2" spans="1:112" ht="90" x14ac:dyDescent="0.25">
      <c r="A2">
        <v>47</v>
      </c>
      <c r="B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47</v>
      </c>
      <c r="AL2" t="s">
        <v>236</v>
      </c>
      <c r="AM2" t="s">
        <v>237</v>
      </c>
      <c r="AN2" t="s">
        <v>238</v>
      </c>
      <c r="AO2">
        <v>0</v>
      </c>
      <c r="AP2" t="b">
        <v>1</v>
      </c>
      <c r="AQ2" t="b">
        <v>0</v>
      </c>
      <c r="AR2" t="b">
        <v>0</v>
      </c>
      <c r="AS2" t="s">
        <v>239</v>
      </c>
      <c r="AT2" t="b">
        <v>1</v>
      </c>
      <c r="AU2" t="b">
        <v>0</v>
      </c>
      <c r="AV2" t="b">
        <v>0</v>
      </c>
      <c r="AW2" t="s">
        <v>240</v>
      </c>
      <c r="AX2">
        <v>2121</v>
      </c>
      <c r="AY2" s="36">
        <v>1212</v>
      </c>
      <c r="AZ2" s="36">
        <v>43608.71115127315</v>
      </c>
      <c r="BA2" t="s">
        <v>188</v>
      </c>
      <c r="BB2" t="s">
        <v>192</v>
      </c>
      <c r="BC2" t="s">
        <v>189</v>
      </c>
      <c r="BE2" t="s">
        <v>190</v>
      </c>
      <c r="BF2" t="s">
        <v>191</v>
      </c>
      <c r="BG2" t="s">
        <v>241</v>
      </c>
      <c r="BH2" t="s">
        <v>188</v>
      </c>
      <c r="BI2" t="s">
        <v>192</v>
      </c>
      <c r="BJ2" t="s">
        <v>189</v>
      </c>
      <c r="BL2" t="s">
        <v>190</v>
      </c>
      <c r="BM2" t="s">
        <v>191</v>
      </c>
      <c r="BN2" t="s">
        <v>241</v>
      </c>
      <c r="BO2" t="s">
        <v>189</v>
      </c>
      <c r="BP2" t="s">
        <v>189</v>
      </c>
      <c r="BR2" t="s">
        <v>190</v>
      </c>
      <c r="BS2" t="s">
        <v>203</v>
      </c>
      <c r="BT2" t="s">
        <v>241</v>
      </c>
      <c r="BU2" t="s">
        <v>229</v>
      </c>
      <c r="BV2" t="s">
        <v>230</v>
      </c>
      <c r="BW2" t="s">
        <v>117</v>
      </c>
      <c r="BX2" t="s">
        <v>231</v>
      </c>
      <c r="BY2">
        <v>2019</v>
      </c>
      <c r="BZ2">
        <v>0</v>
      </c>
      <c r="CA2">
        <v>0</v>
      </c>
      <c r="CB2" t="s">
        <v>117</v>
      </c>
      <c r="CC2" t="s">
        <v>242</v>
      </c>
      <c r="CD2" t="s">
        <v>243</v>
      </c>
      <c r="CE2">
        <v>2016</v>
      </c>
      <c r="CF2" s="114" t="s">
        <v>221</v>
      </c>
      <c r="CG2" t="s">
        <v>117</v>
      </c>
      <c r="CH2" s="114" t="s">
        <v>118</v>
      </c>
      <c r="CI2">
        <v>0</v>
      </c>
      <c r="CJ2" s="114" t="s">
        <v>223</v>
      </c>
      <c r="CK2" t="s">
        <v>222</v>
      </c>
      <c r="CM2" s="114">
        <v>13</v>
      </c>
      <c r="CN2">
        <v>12</v>
      </c>
      <c r="CO2">
        <v>12</v>
      </c>
      <c r="CP2">
        <v>11</v>
      </c>
      <c r="CQ2" t="s">
        <v>244</v>
      </c>
      <c r="CR2" t="s">
        <v>245</v>
      </c>
      <c r="CS2" t="s">
        <v>246</v>
      </c>
      <c r="CT2" t="s">
        <v>247</v>
      </c>
      <c r="CU2" t="s">
        <v>248</v>
      </c>
      <c r="CV2" t="s">
        <v>249</v>
      </c>
      <c r="CW2" t="s">
        <v>250</v>
      </c>
      <c r="CX2" t="b">
        <v>1</v>
      </c>
      <c r="CY2" t="b">
        <v>1</v>
      </c>
      <c r="CZ2" t="b">
        <v>0</v>
      </c>
      <c r="DA2" t="b">
        <v>0</v>
      </c>
      <c r="DB2" t="b">
        <v>0</v>
      </c>
      <c r="DC2" t="b">
        <v>0</v>
      </c>
      <c r="DD2" t="b">
        <v>1</v>
      </c>
      <c r="DF2">
        <v>0</v>
      </c>
      <c r="DG2">
        <v>110000</v>
      </c>
      <c r="DH2">
        <v>60</v>
      </c>
    </row>
    <row r="3" spans="1:112" ht="90" x14ac:dyDescent="0.25">
      <c r="A3">
        <v>47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47</v>
      </c>
      <c r="AL3" t="s">
        <v>236</v>
      </c>
      <c r="AM3" t="s">
        <v>237</v>
      </c>
      <c r="AN3" t="s">
        <v>238</v>
      </c>
      <c r="AO3">
        <v>0</v>
      </c>
      <c r="AP3" t="b">
        <v>1</v>
      </c>
      <c r="AQ3" t="b">
        <v>0</v>
      </c>
      <c r="AR3" t="b">
        <v>0</v>
      </c>
      <c r="AS3" t="s">
        <v>239</v>
      </c>
      <c r="AT3" t="b">
        <v>1</v>
      </c>
      <c r="AU3" t="b">
        <v>0</v>
      </c>
      <c r="AV3" t="b">
        <v>0</v>
      </c>
      <c r="AW3" t="s">
        <v>240</v>
      </c>
      <c r="AX3">
        <v>2121</v>
      </c>
      <c r="AY3" s="36">
        <v>1212</v>
      </c>
      <c r="AZ3" s="36">
        <v>43608.71115127315</v>
      </c>
      <c r="BA3" t="s">
        <v>188</v>
      </c>
      <c r="BB3" t="s">
        <v>192</v>
      </c>
      <c r="BC3" t="s">
        <v>189</v>
      </c>
      <c r="BE3" t="s">
        <v>190</v>
      </c>
      <c r="BF3" t="s">
        <v>191</v>
      </c>
      <c r="BG3" t="s">
        <v>241</v>
      </c>
      <c r="BH3" t="s">
        <v>188</v>
      </c>
      <c r="BI3" t="s">
        <v>192</v>
      </c>
      <c r="BJ3" t="s">
        <v>189</v>
      </c>
      <c r="BL3" t="s">
        <v>190</v>
      </c>
      <c r="BM3" t="s">
        <v>191</v>
      </c>
      <c r="BN3" t="s">
        <v>241</v>
      </c>
      <c r="BO3" t="s">
        <v>189</v>
      </c>
      <c r="BP3" t="s">
        <v>189</v>
      </c>
      <c r="BR3" t="s">
        <v>190</v>
      </c>
      <c r="BS3" t="s">
        <v>203</v>
      </c>
      <c r="BT3" t="s">
        <v>241</v>
      </c>
      <c r="BU3" t="s">
        <v>229</v>
      </c>
      <c r="BV3" t="s">
        <v>230</v>
      </c>
      <c r="BW3" t="s">
        <v>117</v>
      </c>
      <c r="BX3" t="s">
        <v>231</v>
      </c>
      <c r="BY3">
        <v>2019</v>
      </c>
      <c r="BZ3">
        <v>0</v>
      </c>
      <c r="CA3">
        <v>0</v>
      </c>
      <c r="CB3" t="s">
        <v>117</v>
      </c>
      <c r="CC3" t="s">
        <v>242</v>
      </c>
      <c r="CD3" t="s">
        <v>243</v>
      </c>
      <c r="CE3">
        <v>2016</v>
      </c>
      <c r="CF3" s="114" t="s">
        <v>221</v>
      </c>
      <c r="CG3" t="s">
        <v>117</v>
      </c>
      <c r="CH3" s="114" t="s">
        <v>118</v>
      </c>
      <c r="CI3">
        <v>0</v>
      </c>
      <c r="CJ3" s="114" t="s">
        <v>223</v>
      </c>
      <c r="CK3" t="s">
        <v>222</v>
      </c>
      <c r="CM3" s="114">
        <v>13</v>
      </c>
      <c r="CN3">
        <v>12</v>
      </c>
      <c r="CO3">
        <v>12</v>
      </c>
      <c r="CP3">
        <v>11</v>
      </c>
      <c r="CQ3" t="s">
        <v>244</v>
      </c>
      <c r="CR3" t="s">
        <v>245</v>
      </c>
      <c r="CS3" t="s">
        <v>246</v>
      </c>
      <c r="CT3" t="s">
        <v>247</v>
      </c>
      <c r="CU3" t="s">
        <v>248</v>
      </c>
      <c r="CV3" t="s">
        <v>249</v>
      </c>
      <c r="CW3" t="s">
        <v>250</v>
      </c>
      <c r="CX3" t="b">
        <v>1</v>
      </c>
      <c r="CY3" t="b">
        <v>1</v>
      </c>
      <c r="CZ3" t="b">
        <v>0</v>
      </c>
      <c r="DA3" t="b">
        <v>0</v>
      </c>
      <c r="DB3" t="b">
        <v>0</v>
      </c>
      <c r="DC3" t="b">
        <v>0</v>
      </c>
      <c r="DD3" t="b">
        <v>1</v>
      </c>
      <c r="DF3">
        <v>0</v>
      </c>
      <c r="DG3">
        <v>110000</v>
      </c>
      <c r="DH3">
        <v>60</v>
      </c>
    </row>
    <row r="4" spans="1:112" ht="90" x14ac:dyDescent="0.25">
      <c r="A4">
        <v>47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47</v>
      </c>
      <c r="AL4" t="s">
        <v>236</v>
      </c>
      <c r="AM4" t="s">
        <v>237</v>
      </c>
      <c r="AN4" t="s">
        <v>238</v>
      </c>
      <c r="AO4">
        <v>0</v>
      </c>
      <c r="AP4" t="b">
        <v>1</v>
      </c>
      <c r="AQ4" t="b">
        <v>0</v>
      </c>
      <c r="AR4" t="b">
        <v>0</v>
      </c>
      <c r="AS4" t="s">
        <v>239</v>
      </c>
      <c r="AT4" t="b">
        <v>1</v>
      </c>
      <c r="AU4" t="b">
        <v>0</v>
      </c>
      <c r="AV4" t="b">
        <v>0</v>
      </c>
      <c r="AW4" t="s">
        <v>240</v>
      </c>
      <c r="AX4">
        <v>2121</v>
      </c>
      <c r="AY4" s="36">
        <v>1212</v>
      </c>
      <c r="AZ4" s="36">
        <v>43608.71115127315</v>
      </c>
      <c r="BA4" t="s">
        <v>188</v>
      </c>
      <c r="BB4" t="s">
        <v>192</v>
      </c>
      <c r="BC4" t="s">
        <v>189</v>
      </c>
      <c r="BE4" t="s">
        <v>190</v>
      </c>
      <c r="BF4" t="s">
        <v>191</v>
      </c>
      <c r="BG4" t="s">
        <v>241</v>
      </c>
      <c r="BH4" t="s">
        <v>188</v>
      </c>
      <c r="BI4" t="s">
        <v>192</v>
      </c>
      <c r="BJ4" t="s">
        <v>189</v>
      </c>
      <c r="BL4" t="s">
        <v>190</v>
      </c>
      <c r="BM4" t="s">
        <v>191</v>
      </c>
      <c r="BN4" t="s">
        <v>241</v>
      </c>
      <c r="BO4" t="s">
        <v>189</v>
      </c>
      <c r="BP4" t="s">
        <v>189</v>
      </c>
      <c r="BR4" t="s">
        <v>190</v>
      </c>
      <c r="BS4" t="s">
        <v>203</v>
      </c>
      <c r="BT4" t="s">
        <v>241</v>
      </c>
      <c r="BU4" t="s">
        <v>229</v>
      </c>
      <c r="BV4" t="s">
        <v>230</v>
      </c>
      <c r="BW4" t="s">
        <v>117</v>
      </c>
      <c r="BX4" t="s">
        <v>231</v>
      </c>
      <c r="BY4">
        <v>2019</v>
      </c>
      <c r="BZ4">
        <v>0</v>
      </c>
      <c r="CA4">
        <v>0</v>
      </c>
      <c r="CB4" t="s">
        <v>117</v>
      </c>
      <c r="CC4" t="s">
        <v>242</v>
      </c>
      <c r="CD4" t="s">
        <v>243</v>
      </c>
      <c r="CE4">
        <v>2016</v>
      </c>
      <c r="CF4" s="114" t="s">
        <v>221</v>
      </c>
      <c r="CG4" t="s">
        <v>117</v>
      </c>
      <c r="CH4" s="114" t="s">
        <v>118</v>
      </c>
      <c r="CI4">
        <v>0</v>
      </c>
      <c r="CJ4" s="114" t="s">
        <v>223</v>
      </c>
      <c r="CK4" t="s">
        <v>222</v>
      </c>
      <c r="CM4" s="114">
        <v>13</v>
      </c>
      <c r="CN4">
        <v>12</v>
      </c>
      <c r="CO4">
        <v>12</v>
      </c>
      <c r="CP4">
        <v>11</v>
      </c>
      <c r="CQ4" t="s">
        <v>244</v>
      </c>
      <c r="CR4" t="s">
        <v>245</v>
      </c>
      <c r="CS4" t="s">
        <v>246</v>
      </c>
      <c r="CT4" t="s">
        <v>247</v>
      </c>
      <c r="CU4" t="s">
        <v>248</v>
      </c>
      <c r="CV4" t="s">
        <v>249</v>
      </c>
      <c r="CW4" t="s">
        <v>250</v>
      </c>
      <c r="CX4" t="b">
        <v>1</v>
      </c>
      <c r="CY4" t="b">
        <v>1</v>
      </c>
      <c r="CZ4" t="b">
        <v>0</v>
      </c>
      <c r="DA4" t="b">
        <v>0</v>
      </c>
      <c r="DB4" t="b">
        <v>0</v>
      </c>
      <c r="DC4" t="b">
        <v>0</v>
      </c>
      <c r="DD4" t="b">
        <v>1</v>
      </c>
      <c r="DF4">
        <v>0</v>
      </c>
      <c r="DG4">
        <v>110000</v>
      </c>
      <c r="DH4">
        <v>60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5" sqref="B5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172</v>
      </c>
      <c r="C5" s="1"/>
    </row>
    <row r="6" spans="2:3" x14ac:dyDescent="0.25">
      <c r="B6" s="1"/>
      <c r="C6" s="2"/>
    </row>
    <row r="7" spans="2:3" x14ac:dyDescent="0.25">
      <c r="B7" s="5" t="s">
        <v>180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tabSelected="1" workbookViewId="0">
      <selection activeCell="H24" sqref="H24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220</v>
      </c>
      <c r="B2" s="109">
        <v>50</v>
      </c>
      <c r="J2" s="19"/>
    </row>
    <row r="3" spans="1:10" ht="18" customHeight="1" x14ac:dyDescent="0.25">
      <c r="A3" s="40" t="s">
        <v>219</v>
      </c>
      <c r="B3" s="110" t="s">
        <v>262</v>
      </c>
      <c r="E3" s="40"/>
      <c r="F3" s="40"/>
      <c r="H3" s="10" t="s">
        <v>161</v>
      </c>
      <c r="I3" s="19"/>
      <c r="J3" s="19"/>
    </row>
    <row r="4" spans="1:10" ht="18" customHeight="1" x14ac:dyDescent="0.25">
      <c r="A4" s="40" t="s">
        <v>16</v>
      </c>
      <c r="B4" s="109">
        <v>9</v>
      </c>
      <c r="F4" s="43"/>
      <c r="H4" s="10"/>
      <c r="I4" s="19"/>
      <c r="J4" s="19"/>
    </row>
    <row r="5" spans="1:10" ht="18" customHeight="1" x14ac:dyDescent="0.25">
      <c r="A5" s="40" t="s">
        <v>18</v>
      </c>
      <c r="B5" s="109">
        <v>11</v>
      </c>
      <c r="F5" s="41"/>
      <c r="H5" s="10" t="s">
        <v>65</v>
      </c>
    </row>
    <row r="6" spans="1:10" ht="18" customHeight="1" x14ac:dyDescent="0.25">
      <c r="A6" s="40" t="s">
        <v>217</v>
      </c>
      <c r="B6" s="112">
        <f>(3.14*(SubDiameter/2)^2)*(SubLength)*(1/12)^3</f>
        <v>0.40476562500000002</v>
      </c>
      <c r="E6" s="1"/>
      <c r="F6" s="41"/>
      <c r="H6" s="10" t="s">
        <v>162</v>
      </c>
      <c r="I6" s="19"/>
      <c r="J6" s="19"/>
    </row>
    <row r="7" spans="1:10" ht="18" customHeight="1" x14ac:dyDescent="0.25">
      <c r="A7" s="40" t="s">
        <v>218</v>
      </c>
      <c r="B7" s="113">
        <f>Volume*28.317</f>
        <v>11.461748203125001</v>
      </c>
      <c r="F7" s="41"/>
      <c r="H7" s="10"/>
      <c r="I7" s="19"/>
      <c r="J7" s="19"/>
    </row>
    <row r="8" spans="1:10" ht="18" customHeight="1" x14ac:dyDescent="0.25">
      <c r="E8" s="41"/>
      <c r="F8" s="41"/>
      <c r="H8" s="10" t="s">
        <v>70</v>
      </c>
      <c r="I8" s="19"/>
      <c r="J8" s="19"/>
    </row>
    <row r="9" spans="1:10" ht="18" customHeight="1" x14ac:dyDescent="0.25">
      <c r="B9" s="1" t="s">
        <v>49</v>
      </c>
      <c r="C9" s="1" t="s">
        <v>50</v>
      </c>
      <c r="D9" s="1" t="s">
        <v>50</v>
      </c>
      <c r="J9" s="19"/>
    </row>
    <row r="10" spans="1:10" ht="18" customHeight="1" x14ac:dyDescent="0.25">
      <c r="B10" s="1" t="s">
        <v>51</v>
      </c>
      <c r="C10" s="1" t="s">
        <v>52</v>
      </c>
      <c r="D10" s="1" t="s">
        <v>53</v>
      </c>
      <c r="E10" s="41" t="s">
        <v>204</v>
      </c>
      <c r="F10" s="41"/>
      <c r="G10" s="41"/>
      <c r="J10" s="19"/>
    </row>
    <row r="11" spans="1:10" ht="18" customHeight="1" x14ac:dyDescent="0.25">
      <c r="A11" s="10" t="s">
        <v>54</v>
      </c>
      <c r="B11" s="44"/>
      <c r="C11" s="44"/>
      <c r="D11" s="44"/>
      <c r="E11" s="60">
        <f>B11-D11</f>
        <v>0</v>
      </c>
      <c r="F11" s="41"/>
      <c r="G11" s="41"/>
    </row>
    <row r="12" spans="1:10" ht="18" customHeight="1" x14ac:dyDescent="0.25">
      <c r="A12" s="10"/>
      <c r="B12" s="20"/>
      <c r="C12" s="20"/>
      <c r="D12" s="20"/>
      <c r="E12" s="20"/>
      <c r="F12" s="41"/>
      <c r="G12" s="42"/>
      <c r="H12" s="10"/>
      <c r="I12" s="1"/>
    </row>
    <row r="13" spans="1:10" ht="18" customHeight="1" x14ac:dyDescent="0.25">
      <c r="A13" s="10"/>
      <c r="B13" s="41"/>
      <c r="C13" s="41"/>
      <c r="D13" s="41"/>
      <c r="E13" s="20"/>
      <c r="F13" s="42"/>
      <c r="G13" s="42"/>
      <c r="H13" s="10" t="s">
        <v>69</v>
      </c>
      <c r="I13" s="44"/>
    </row>
    <row r="14" spans="1:10" ht="18" customHeight="1" x14ac:dyDescent="0.25">
      <c r="A14" s="39" t="s">
        <v>55</v>
      </c>
      <c r="B14" s="44"/>
      <c r="C14" s="41"/>
      <c r="D14" s="41"/>
      <c r="E14" s="20"/>
      <c r="F14" s="42"/>
      <c r="G14" s="42"/>
      <c r="H14" s="10" t="s">
        <v>68</v>
      </c>
      <c r="I14" s="44"/>
    </row>
    <row r="15" spans="1:10" ht="18" customHeight="1" x14ac:dyDescent="0.25">
      <c r="A15" s="39" t="s">
        <v>56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25">
      <c r="A16" s="39"/>
      <c r="B16" s="20"/>
      <c r="C16" s="42"/>
      <c r="D16" s="42"/>
      <c r="E16" s="20"/>
      <c r="F16" s="20"/>
      <c r="G16" s="42"/>
      <c r="I16" s="59" t="s">
        <v>196</v>
      </c>
    </row>
    <row r="17" spans="1:9" ht="18" customHeight="1" x14ac:dyDescent="0.25">
      <c r="A17" s="10" t="s">
        <v>57</v>
      </c>
      <c r="B17" s="20" t="s">
        <v>58</v>
      </c>
      <c r="C17" s="20" t="s">
        <v>59</v>
      </c>
      <c r="D17" s="42"/>
      <c r="F17" s="20"/>
      <c r="G17" s="42"/>
      <c r="H17" s="10" t="s">
        <v>176</v>
      </c>
      <c r="I17" s="44"/>
    </row>
    <row r="18" spans="1:9" ht="18" customHeight="1" x14ac:dyDescent="0.25">
      <c r="A18" s="38" t="s">
        <v>60</v>
      </c>
      <c r="B18" s="44"/>
      <c r="C18" s="44"/>
      <c r="D18" s="20"/>
      <c r="F18" s="20"/>
      <c r="G18" s="42"/>
      <c r="H18" s="10" t="s">
        <v>177</v>
      </c>
      <c r="I18" s="44"/>
    </row>
    <row r="19" spans="1:9" ht="18" customHeight="1" x14ac:dyDescent="0.25">
      <c r="A19" s="38" t="s">
        <v>61</v>
      </c>
      <c r="B19" s="44"/>
      <c r="C19" s="44"/>
      <c r="D19" s="20"/>
      <c r="H19" s="10" t="s">
        <v>178</v>
      </c>
      <c r="I19" s="44"/>
    </row>
    <row r="20" spans="1:9" ht="18" customHeight="1" x14ac:dyDescent="0.25">
      <c r="A20" s="38" t="s">
        <v>62</v>
      </c>
      <c r="B20" s="44"/>
      <c r="C20" s="44"/>
      <c r="D20" s="20"/>
      <c r="H20" s="10" t="s">
        <v>22</v>
      </c>
      <c r="I20" s="44"/>
    </row>
    <row r="21" spans="1:9" ht="18" customHeight="1" x14ac:dyDescent="0.25">
      <c r="A21" s="38" t="s">
        <v>63</v>
      </c>
      <c r="B21" s="44"/>
      <c r="C21" s="44"/>
      <c r="D21" s="20"/>
    </row>
    <row r="22" spans="1:9" ht="18" customHeight="1" x14ac:dyDescent="0.25">
      <c r="A22" s="38" t="s">
        <v>64</v>
      </c>
      <c r="B22" s="44"/>
      <c r="C22" s="44"/>
      <c r="G22" s="19"/>
      <c r="I22" t="s">
        <v>216</v>
      </c>
    </row>
    <row r="23" spans="1:9" ht="18" customHeight="1" x14ac:dyDescent="0.25">
      <c r="H23" s="40" t="s">
        <v>179</v>
      </c>
    </row>
    <row r="24" spans="1:9" ht="18" customHeight="1" x14ac:dyDescent="0.25">
      <c r="A24" s="10" t="s">
        <v>66</v>
      </c>
      <c r="E24" s="19"/>
      <c r="H24" s="10" t="s">
        <v>263</v>
      </c>
      <c r="I24" s="44"/>
    </row>
    <row r="25" spans="1:9" ht="18" customHeight="1" x14ac:dyDescent="0.25">
      <c r="A25" s="10" t="s">
        <v>67</v>
      </c>
      <c r="E25" s="19"/>
    </row>
    <row r="26" spans="1:9" ht="18" customHeight="1" x14ac:dyDescent="0.25">
      <c r="A26" s="10"/>
      <c r="F26" s="19"/>
    </row>
    <row r="27" spans="1:9" ht="18" customHeight="1" x14ac:dyDescent="0.25">
      <c r="F27" s="19"/>
    </row>
    <row r="29" spans="1:9" ht="18" customHeight="1" x14ac:dyDescent="0.25">
      <c r="B29" s="21" t="s">
        <v>7</v>
      </c>
      <c r="C29" s="19"/>
      <c r="D29" s="19"/>
    </row>
    <row r="30" spans="1:9" ht="18" customHeight="1" x14ac:dyDescent="0.25">
      <c r="B30" t="s">
        <v>7</v>
      </c>
      <c r="C30" s="19"/>
      <c r="D30" s="19"/>
    </row>
    <row r="32" spans="1:9" ht="18" customHeight="1" x14ac:dyDescent="0.25">
      <c r="B32" s="4"/>
      <c r="H32" s="19"/>
    </row>
    <row r="33" spans="1:10" ht="18" customHeight="1" x14ac:dyDescent="0.25">
      <c r="H33" s="19"/>
    </row>
    <row r="34" spans="1:10" ht="18" customHeight="1" x14ac:dyDescent="0.25">
      <c r="B34" s="4"/>
      <c r="C34" s="1"/>
    </row>
    <row r="35" spans="1:10" ht="18" customHeight="1" x14ac:dyDescent="0.25">
      <c r="B35" s="4"/>
      <c r="C35" s="1"/>
    </row>
    <row r="36" spans="1:10" ht="18" customHeight="1" x14ac:dyDescent="0.25">
      <c r="H36" s="19"/>
    </row>
    <row r="37" spans="1:10" ht="18" customHeight="1" x14ac:dyDescent="0.25">
      <c r="B37" s="4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A39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8</xdr:col>
                <xdr:colOff>38100</xdr:colOff>
                <xdr:row>22</xdr:row>
                <xdr:rowOff>9525</xdr:rowOff>
              </from>
              <to>
                <xdr:col>9</xdr:col>
                <xdr:colOff>57150</xdr:colOff>
                <xdr:row>23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1</xdr:col>
                <xdr:colOff>19050</xdr:colOff>
                <xdr:row>24</xdr:row>
                <xdr:rowOff>47625</xdr:rowOff>
              </from>
              <to>
                <xdr:col>2</xdr:col>
                <xdr:colOff>228600</xdr:colOff>
                <xdr:row>25</xdr:row>
                <xdr:rowOff>38100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1</xdr:col>
                <xdr:colOff>19050</xdr:colOff>
                <xdr:row>23</xdr:row>
                <xdr:rowOff>28575</xdr:rowOff>
              </from>
              <to>
                <xdr:col>2</xdr:col>
                <xdr:colOff>228600</xdr:colOff>
                <xdr:row>24</xdr:row>
                <xdr:rowOff>19050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0" r:id="rId26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6" name="chkRedAsh"/>
      </mc:Fallback>
    </mc:AlternateContent>
    <mc:AlternateContent xmlns:mc="http://schemas.openxmlformats.org/markup-compatibility/2006">
      <mc:Choice Requires="x14">
        <control shapeId="23559" r:id="rId27" name="cmdSave">
          <controlPr defaultSize="0" autoFill="0" autoLine="0" r:id="rId28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7" name="cmdSave"/>
      </mc:Fallback>
    </mc:AlternateContent>
    <mc:AlternateContent xmlns:mc="http://schemas.openxmlformats.org/markup-compatibility/2006">
      <mc:Choice Requires="x14">
        <control shapeId="23555" r:id="rId29" name="chkECDPinDropDepth">
          <controlPr autoLine="0" r:id="rId11">
            <anchor moveWithCells="1">
              <from>
                <xdr:col>1</xdr:col>
                <xdr:colOff>152400</xdr:colOff>
                <xdr:row>14</xdr:row>
                <xdr:rowOff>47625</xdr:rowOff>
              </from>
              <to>
                <xdr:col>1</xdr:col>
                <xdr:colOff>323850</xdr:colOff>
                <xdr:row>14</xdr:row>
                <xdr:rowOff>209550</xdr:rowOff>
              </to>
            </anchor>
          </controlPr>
        </control>
      </mc:Choice>
      <mc:Fallback>
        <control shapeId="23555" r:id="rId29" name="chkECDPinDropDepth"/>
      </mc:Fallback>
    </mc:AlternateContent>
    <mc:AlternateContent xmlns:mc="http://schemas.openxmlformats.org/markup-compatibility/2006">
      <mc:Choice Requires="x14">
        <control shapeId="23554" r:id="rId30" name="chkUSignalReceived">
          <controlPr autoLine="0" r:id="rId11">
            <anchor moveWithCells="1">
              <from>
                <xdr:col>1</xdr:col>
                <xdr:colOff>152400</xdr:colOff>
                <xdr:row>13</xdr:row>
                <xdr:rowOff>28575</xdr:rowOff>
              </from>
              <to>
                <xdr:col>1</xdr:col>
                <xdr:colOff>323850</xdr:colOff>
                <xdr:row>13</xdr:row>
                <xdr:rowOff>190500</xdr:rowOff>
              </to>
            </anchor>
          </controlPr>
        </control>
      </mc:Choice>
      <mc:Fallback>
        <control shapeId="23554" r:id="rId30" name="chkUSignalReceived"/>
      </mc:Fallback>
    </mc:AlternateContent>
    <mc:AlternateContent xmlns:mc="http://schemas.openxmlformats.org/markup-compatibility/2006">
      <mc:Choice Requires="x14">
        <control shapeId="23553" r:id="rId31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1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workbookViewId="0">
      <selection activeCell="C8" sqref="C8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3" t="s">
        <v>205</v>
      </c>
      <c r="C3" s="1">
        <v>50</v>
      </c>
    </row>
    <row r="4" spans="2:9" ht="18.75" x14ac:dyDescent="0.3">
      <c r="I4" s="45"/>
    </row>
    <row r="5" spans="2:9" x14ac:dyDescent="0.25">
      <c r="B5" s="107" t="s">
        <v>16</v>
      </c>
      <c r="C5" s="108">
        <v>9</v>
      </c>
      <c r="D5" s="61"/>
      <c r="E5" s="61" t="s">
        <v>207</v>
      </c>
      <c r="F5" s="94"/>
      <c r="G5" s="95" t="s">
        <v>91</v>
      </c>
      <c r="H5" s="64"/>
    </row>
    <row r="6" spans="2:9" x14ac:dyDescent="0.25">
      <c r="B6" s="96" t="s">
        <v>18</v>
      </c>
      <c r="C6" s="97">
        <v>11</v>
      </c>
      <c r="D6" s="64"/>
      <c r="E6" s="64" t="s">
        <v>206</v>
      </c>
      <c r="F6" s="98"/>
      <c r="G6" s="67" t="s">
        <v>92</v>
      </c>
      <c r="H6" s="64"/>
    </row>
    <row r="7" spans="2:9" x14ac:dyDescent="0.25">
      <c r="B7" s="99" t="s">
        <v>168</v>
      </c>
      <c r="C7" s="97">
        <f>(3.14*(SubDiameter/2)^2)*(SubLength)*(1/12)^3</f>
        <v>0.40476562500000002</v>
      </c>
      <c r="D7" s="100"/>
      <c r="E7" s="64" t="s">
        <v>208</v>
      </c>
      <c r="F7" s="98">
        <f>(Volume*MaxSpaceVelocity)*(1/60)*(61.7)/(2350*0.395)</f>
        <v>0</v>
      </c>
      <c r="G7" s="67" t="s">
        <v>92</v>
      </c>
      <c r="H7" s="64"/>
    </row>
    <row r="8" spans="2:9" x14ac:dyDescent="0.25">
      <c r="B8" s="101" t="s">
        <v>169</v>
      </c>
      <c r="C8" s="102">
        <f>Volume*28.317</f>
        <v>11.461748203125001</v>
      </c>
      <c r="D8" s="103"/>
      <c r="E8" s="104" t="s">
        <v>209</v>
      </c>
      <c r="F8" s="106">
        <f>IF(F7&gt;MaxHertz,"60",F7)</f>
        <v>0</v>
      </c>
      <c r="G8" s="105" t="s">
        <v>92</v>
      </c>
      <c r="H8" s="64"/>
    </row>
    <row r="9" spans="2:9" x14ac:dyDescent="0.25">
      <c r="H9" s="64"/>
    </row>
    <row r="11" spans="2:9" x14ac:dyDescent="0.25">
      <c r="B11" s="87" t="s">
        <v>71</v>
      </c>
      <c r="C11" s="61"/>
      <c r="D11" s="88"/>
      <c r="E11" s="61" t="s">
        <v>72</v>
      </c>
      <c r="F11" s="61"/>
      <c r="G11" s="62" t="s">
        <v>87</v>
      </c>
      <c r="H11" s="62" t="s">
        <v>88</v>
      </c>
      <c r="I11" s="91"/>
    </row>
    <row r="12" spans="2:9" x14ac:dyDescent="0.25">
      <c r="B12" s="63" t="s">
        <v>73</v>
      </c>
      <c r="C12" s="64"/>
      <c r="D12" s="65"/>
      <c r="E12" s="64" t="s">
        <v>74</v>
      </c>
      <c r="F12" s="64"/>
      <c r="G12" s="64"/>
      <c r="H12" s="66" t="s">
        <v>89</v>
      </c>
      <c r="I12" s="92"/>
    </row>
    <row r="13" spans="2:9" x14ac:dyDescent="0.25">
      <c r="B13" s="63" t="s">
        <v>75</v>
      </c>
      <c r="C13" s="64"/>
      <c r="D13" s="68"/>
      <c r="E13" s="64"/>
      <c r="F13" s="64"/>
      <c r="G13" s="64"/>
      <c r="H13" s="66" t="s">
        <v>90</v>
      </c>
      <c r="I13" s="92"/>
    </row>
    <row r="14" spans="2:9" x14ac:dyDescent="0.25">
      <c r="B14" s="69" t="s">
        <v>76</v>
      </c>
      <c r="C14" s="70" t="s">
        <v>77</v>
      </c>
      <c r="D14" s="70" t="s">
        <v>78</v>
      </c>
      <c r="E14" s="70" t="s">
        <v>79</v>
      </c>
      <c r="F14" s="64"/>
      <c r="G14" s="70" t="s">
        <v>80</v>
      </c>
      <c r="H14" s="70"/>
      <c r="I14" s="71"/>
    </row>
    <row r="15" spans="2:9" x14ac:dyDescent="0.25">
      <c r="B15" s="72" t="s">
        <v>81</v>
      </c>
      <c r="C15" s="73" t="s">
        <v>82</v>
      </c>
      <c r="D15" s="73" t="s">
        <v>83</v>
      </c>
      <c r="E15" s="73" t="s">
        <v>82</v>
      </c>
      <c r="F15" s="73" t="s">
        <v>84</v>
      </c>
      <c r="G15" s="70" t="s">
        <v>85</v>
      </c>
      <c r="H15" s="70" t="s">
        <v>82</v>
      </c>
      <c r="I15" s="71" t="s">
        <v>86</v>
      </c>
    </row>
    <row r="16" spans="2:9" x14ac:dyDescent="0.25">
      <c r="B16" s="74">
        <f>0.25*$F$8</f>
        <v>0</v>
      </c>
      <c r="C16" s="75">
        <f>(2350/61.7)*B16*0.395</f>
        <v>0</v>
      </c>
      <c r="D16" s="68"/>
      <c r="E16" s="75">
        <f t="shared" ref="E16:E26" si="0">C16-(34.4764881*D16-4.325744048*D16^2+0.369475446*D16^3-0.01733631*D16^4+0.000339472*D16^5)</f>
        <v>0</v>
      </c>
      <c r="F16" s="76">
        <f t="shared" ref="F16:F26" si="1">(E16*60)/Volume</f>
        <v>0</v>
      </c>
      <c r="G16" s="89">
        <v>20000</v>
      </c>
      <c r="H16" s="77">
        <f t="shared" ref="H16:H26" si="2">G16*Volume/60</f>
        <v>134.921875</v>
      </c>
      <c r="I16" s="78">
        <f t="shared" ref="I16:I26" si="3">G16^2*P0a+G16*P0b+P0c</f>
        <v>0</v>
      </c>
    </row>
    <row r="17" spans="2:9" x14ac:dyDescent="0.25">
      <c r="B17" s="74">
        <f>0.4*$F$8</f>
        <v>0</v>
      </c>
      <c r="C17" s="75">
        <f t="shared" ref="C17:C26" si="4">(2350/61.7)*B17*0.395</f>
        <v>0</v>
      </c>
      <c r="D17" s="68"/>
      <c r="E17" s="75">
        <f t="shared" si="0"/>
        <v>0</v>
      </c>
      <c r="F17" s="76">
        <f t="shared" si="1"/>
        <v>0</v>
      </c>
      <c r="G17" s="89">
        <v>35000</v>
      </c>
      <c r="H17" s="77">
        <f t="shared" si="2"/>
        <v>236.11328125</v>
      </c>
      <c r="I17" s="78">
        <f t="shared" si="3"/>
        <v>0</v>
      </c>
    </row>
    <row r="18" spans="2:9" x14ac:dyDescent="0.25">
      <c r="B18" s="74">
        <f>0.5*$F$8</f>
        <v>0</v>
      </c>
      <c r="C18" s="75">
        <f t="shared" si="4"/>
        <v>0</v>
      </c>
      <c r="D18" s="68"/>
      <c r="E18" s="75">
        <f t="shared" si="0"/>
        <v>0</v>
      </c>
      <c r="F18" s="76">
        <f t="shared" si="1"/>
        <v>0</v>
      </c>
      <c r="G18" s="89">
        <v>50000</v>
      </c>
      <c r="H18" s="77">
        <f t="shared" si="2"/>
        <v>337.3046875</v>
      </c>
      <c r="I18" s="78">
        <f t="shared" si="3"/>
        <v>0</v>
      </c>
    </row>
    <row r="19" spans="2:9" x14ac:dyDescent="0.25">
      <c r="B19" s="74">
        <f>0.6*$F$8</f>
        <v>0</v>
      </c>
      <c r="C19" s="75">
        <f t="shared" si="4"/>
        <v>0</v>
      </c>
      <c r="D19" s="68"/>
      <c r="E19" s="75">
        <f t="shared" si="0"/>
        <v>0</v>
      </c>
      <c r="F19" s="76">
        <f t="shared" si="1"/>
        <v>0</v>
      </c>
      <c r="G19" s="89">
        <v>60000</v>
      </c>
      <c r="H19" s="77">
        <f t="shared" si="2"/>
        <v>404.765625</v>
      </c>
      <c r="I19" s="78">
        <f t="shared" si="3"/>
        <v>0</v>
      </c>
    </row>
    <row r="20" spans="2:9" x14ac:dyDescent="0.25">
      <c r="B20" s="74">
        <f>0.7*$F$8</f>
        <v>0</v>
      </c>
      <c r="C20" s="75">
        <f t="shared" si="4"/>
        <v>0</v>
      </c>
      <c r="D20" s="68"/>
      <c r="E20" s="75">
        <f t="shared" si="0"/>
        <v>0</v>
      </c>
      <c r="F20" s="76">
        <f t="shared" si="1"/>
        <v>0</v>
      </c>
      <c r="G20" s="89">
        <v>70000</v>
      </c>
      <c r="H20" s="77">
        <f t="shared" si="2"/>
        <v>472.2265625</v>
      </c>
      <c r="I20" s="78">
        <f t="shared" si="3"/>
        <v>0</v>
      </c>
    </row>
    <row r="21" spans="2:9" x14ac:dyDescent="0.25">
      <c r="B21" s="74">
        <f>0.75*$F$8</f>
        <v>0</v>
      </c>
      <c r="C21" s="75">
        <f t="shared" si="4"/>
        <v>0</v>
      </c>
      <c r="D21" s="68"/>
      <c r="E21" s="75">
        <f t="shared" si="0"/>
        <v>0</v>
      </c>
      <c r="F21" s="76">
        <f t="shared" si="1"/>
        <v>0</v>
      </c>
      <c r="G21" s="89">
        <v>75000</v>
      </c>
      <c r="H21" s="77">
        <f t="shared" si="2"/>
        <v>505.95703125</v>
      </c>
      <c r="I21" s="78">
        <f t="shared" si="3"/>
        <v>0</v>
      </c>
    </row>
    <row r="22" spans="2:9" x14ac:dyDescent="0.25">
      <c r="B22" s="74">
        <f>0.8*$F$8</f>
        <v>0</v>
      </c>
      <c r="C22" s="75">
        <f t="shared" si="4"/>
        <v>0</v>
      </c>
      <c r="D22" s="68"/>
      <c r="E22" s="75">
        <f t="shared" si="0"/>
        <v>0</v>
      </c>
      <c r="F22" s="76">
        <f t="shared" si="1"/>
        <v>0</v>
      </c>
      <c r="G22" s="89">
        <v>80000</v>
      </c>
      <c r="H22" s="77">
        <f t="shared" si="2"/>
        <v>539.6875</v>
      </c>
      <c r="I22" s="78">
        <f t="shared" si="3"/>
        <v>0</v>
      </c>
    </row>
    <row r="23" spans="2:9" x14ac:dyDescent="0.25">
      <c r="B23" s="74">
        <f>0.85*$F$8</f>
        <v>0</v>
      </c>
      <c r="C23" s="75">
        <f t="shared" si="4"/>
        <v>0</v>
      </c>
      <c r="D23" s="68"/>
      <c r="E23" s="75">
        <f t="shared" si="0"/>
        <v>0</v>
      </c>
      <c r="F23" s="76">
        <f t="shared" si="1"/>
        <v>0</v>
      </c>
      <c r="G23" s="89">
        <v>85000</v>
      </c>
      <c r="H23" s="77">
        <f t="shared" si="2"/>
        <v>573.41796875</v>
      </c>
      <c r="I23" s="78">
        <f t="shared" si="3"/>
        <v>0</v>
      </c>
    </row>
    <row r="24" spans="2:9" x14ac:dyDescent="0.25">
      <c r="B24" s="74">
        <f>0.9*$F$8</f>
        <v>0</v>
      </c>
      <c r="C24" s="75">
        <f t="shared" si="4"/>
        <v>0</v>
      </c>
      <c r="D24" s="68"/>
      <c r="E24" s="75">
        <f t="shared" si="0"/>
        <v>0</v>
      </c>
      <c r="F24" s="76">
        <f t="shared" si="1"/>
        <v>0</v>
      </c>
      <c r="G24" s="89">
        <v>90000</v>
      </c>
      <c r="H24" s="77">
        <f t="shared" si="2"/>
        <v>607.1484375</v>
      </c>
      <c r="I24" s="78">
        <f t="shared" si="3"/>
        <v>0</v>
      </c>
    </row>
    <row r="25" spans="2:9" x14ac:dyDescent="0.25">
      <c r="B25" s="74">
        <f>0.95*$F$8</f>
        <v>0</v>
      </c>
      <c r="C25" s="75">
        <f t="shared" si="4"/>
        <v>0</v>
      </c>
      <c r="D25" s="68"/>
      <c r="E25" s="75">
        <f t="shared" si="0"/>
        <v>0</v>
      </c>
      <c r="F25" s="76">
        <f t="shared" si="1"/>
        <v>0</v>
      </c>
      <c r="G25" s="89">
        <v>95000</v>
      </c>
      <c r="H25" s="77">
        <f t="shared" si="2"/>
        <v>640.87890625</v>
      </c>
      <c r="I25" s="78">
        <f t="shared" si="3"/>
        <v>0</v>
      </c>
    </row>
    <row r="26" spans="2:9" x14ac:dyDescent="0.25">
      <c r="B26" s="79">
        <f>1*$F$8</f>
        <v>0</v>
      </c>
      <c r="C26" s="80">
        <f t="shared" si="4"/>
        <v>0</v>
      </c>
      <c r="D26" s="81"/>
      <c r="E26" s="80">
        <f t="shared" si="0"/>
        <v>0</v>
      </c>
      <c r="F26" s="82">
        <f t="shared" si="1"/>
        <v>0</v>
      </c>
      <c r="G26" s="90">
        <v>100000</v>
      </c>
      <c r="H26" s="83">
        <f t="shared" si="2"/>
        <v>674.609375</v>
      </c>
      <c r="I26" s="84">
        <f t="shared" si="3"/>
        <v>0</v>
      </c>
    </row>
    <row r="28" spans="2:9" x14ac:dyDescent="0.25">
      <c r="B28" s="87" t="s">
        <v>71</v>
      </c>
      <c r="C28" s="61"/>
      <c r="D28" s="88"/>
      <c r="E28" s="61" t="s">
        <v>72</v>
      </c>
      <c r="F28" s="61"/>
      <c r="G28" s="62" t="s">
        <v>87</v>
      </c>
      <c r="H28" s="62" t="s">
        <v>88</v>
      </c>
      <c r="I28" s="91"/>
    </row>
    <row r="29" spans="2:9" x14ac:dyDescent="0.25">
      <c r="B29" s="63" t="s">
        <v>73</v>
      </c>
      <c r="C29" s="64"/>
      <c r="D29" s="65"/>
      <c r="E29" s="64" t="s">
        <v>74</v>
      </c>
      <c r="F29" s="64"/>
      <c r="G29" s="64"/>
      <c r="H29" s="66" t="s">
        <v>89</v>
      </c>
      <c r="I29" s="92"/>
    </row>
    <row r="30" spans="2:9" x14ac:dyDescent="0.25">
      <c r="B30" s="63" t="s">
        <v>75</v>
      </c>
      <c r="C30" s="64"/>
      <c r="D30" s="68"/>
      <c r="E30" s="64"/>
      <c r="F30" s="64"/>
      <c r="G30" s="64"/>
      <c r="H30" s="66" t="s">
        <v>90</v>
      </c>
      <c r="I30" s="92"/>
    </row>
    <row r="31" spans="2:9" x14ac:dyDescent="0.25">
      <c r="B31" s="69" t="s">
        <v>76</v>
      </c>
      <c r="C31" s="70" t="s">
        <v>77</v>
      </c>
      <c r="D31" s="70" t="s">
        <v>78</v>
      </c>
      <c r="E31" s="70" t="s">
        <v>79</v>
      </c>
      <c r="F31" s="85"/>
      <c r="G31" s="70" t="s">
        <v>80</v>
      </c>
      <c r="H31" s="70"/>
      <c r="I31" s="71"/>
    </row>
    <row r="32" spans="2:9" x14ac:dyDescent="0.25">
      <c r="B32" s="86" t="s">
        <v>81</v>
      </c>
      <c r="C32" s="70" t="s">
        <v>82</v>
      </c>
      <c r="D32" s="70" t="s">
        <v>83</v>
      </c>
      <c r="E32" s="70" t="s">
        <v>82</v>
      </c>
      <c r="F32" s="70" t="s">
        <v>84</v>
      </c>
      <c r="G32" s="70" t="s">
        <v>85</v>
      </c>
      <c r="H32" s="70" t="s">
        <v>82</v>
      </c>
      <c r="I32" s="71" t="s">
        <v>86</v>
      </c>
    </row>
    <row r="33" spans="2:9" x14ac:dyDescent="0.25">
      <c r="B33" s="74">
        <f>0.25*$F$8</f>
        <v>0</v>
      </c>
      <c r="C33" s="75">
        <f>(2350/61.7)*B33*0.395</f>
        <v>0</v>
      </c>
      <c r="D33" s="68"/>
      <c r="E33" s="75">
        <f t="shared" ref="E33:E43" si="5">C33-(34.4764881*D33-4.325744048*D33^2+0.369475446*D33^3-0.01733631*D33^4+0.000339472*D33^5)</f>
        <v>0</v>
      </c>
      <c r="F33" s="76">
        <f t="shared" ref="F33:F43" si="6">(E33*60)/Volume</f>
        <v>0</v>
      </c>
      <c r="G33" s="68">
        <v>20000</v>
      </c>
      <c r="H33" s="77">
        <f t="shared" ref="H33:H43" si="7">G33*Volume/60</f>
        <v>134.921875</v>
      </c>
      <c r="I33" s="78">
        <f t="shared" ref="I33:I43" si="8">G33^2*P1a+G33*P1b+P1c</f>
        <v>0</v>
      </c>
    </row>
    <row r="34" spans="2:9" x14ac:dyDescent="0.25">
      <c r="B34" s="74">
        <f>0.4*$F$8</f>
        <v>0</v>
      </c>
      <c r="C34" s="75">
        <f t="shared" ref="C34:C42" si="9">(2350/61.7)*B34*0.395</f>
        <v>0</v>
      </c>
      <c r="D34" s="68"/>
      <c r="E34" s="75">
        <f t="shared" si="5"/>
        <v>0</v>
      </c>
      <c r="F34" s="76">
        <f t="shared" si="6"/>
        <v>0</v>
      </c>
      <c r="G34" s="68">
        <v>35000</v>
      </c>
      <c r="H34" s="77">
        <f t="shared" si="7"/>
        <v>236.11328125</v>
      </c>
      <c r="I34" s="78">
        <f t="shared" si="8"/>
        <v>0</v>
      </c>
    </row>
    <row r="35" spans="2:9" x14ac:dyDescent="0.25">
      <c r="B35" s="74">
        <f>0.5*$F$8</f>
        <v>0</v>
      </c>
      <c r="C35" s="75">
        <f t="shared" si="9"/>
        <v>0</v>
      </c>
      <c r="D35" s="68"/>
      <c r="E35" s="75">
        <f t="shared" si="5"/>
        <v>0</v>
      </c>
      <c r="F35" s="76">
        <f t="shared" si="6"/>
        <v>0</v>
      </c>
      <c r="G35" s="68">
        <v>50000</v>
      </c>
      <c r="H35" s="77">
        <f t="shared" si="7"/>
        <v>337.3046875</v>
      </c>
      <c r="I35" s="78">
        <f t="shared" si="8"/>
        <v>0</v>
      </c>
    </row>
    <row r="36" spans="2:9" x14ac:dyDescent="0.25">
      <c r="B36" s="74">
        <f>0.6*$F$8</f>
        <v>0</v>
      </c>
      <c r="C36" s="75">
        <f t="shared" si="9"/>
        <v>0</v>
      </c>
      <c r="D36" s="68"/>
      <c r="E36" s="75">
        <f t="shared" si="5"/>
        <v>0</v>
      </c>
      <c r="F36" s="76">
        <f t="shared" si="6"/>
        <v>0</v>
      </c>
      <c r="G36" s="68">
        <v>60000</v>
      </c>
      <c r="H36" s="77">
        <f t="shared" si="7"/>
        <v>404.765625</v>
      </c>
      <c r="I36" s="78">
        <f t="shared" si="8"/>
        <v>0</v>
      </c>
    </row>
    <row r="37" spans="2:9" x14ac:dyDescent="0.25">
      <c r="B37" s="74">
        <f>0.7*$F$8</f>
        <v>0</v>
      </c>
      <c r="C37" s="75">
        <f t="shared" si="9"/>
        <v>0</v>
      </c>
      <c r="D37" s="68"/>
      <c r="E37" s="75">
        <f t="shared" si="5"/>
        <v>0</v>
      </c>
      <c r="F37" s="76">
        <f t="shared" si="6"/>
        <v>0</v>
      </c>
      <c r="G37" s="68">
        <v>70000</v>
      </c>
      <c r="H37" s="77">
        <f t="shared" si="7"/>
        <v>472.2265625</v>
      </c>
      <c r="I37" s="78">
        <f t="shared" si="8"/>
        <v>0</v>
      </c>
    </row>
    <row r="38" spans="2:9" x14ac:dyDescent="0.25">
      <c r="B38" s="74">
        <f>0.75*$F$8</f>
        <v>0</v>
      </c>
      <c r="C38" s="75">
        <f t="shared" si="9"/>
        <v>0</v>
      </c>
      <c r="D38" s="68"/>
      <c r="E38" s="75">
        <f t="shared" si="5"/>
        <v>0</v>
      </c>
      <c r="F38" s="76">
        <f t="shared" si="6"/>
        <v>0</v>
      </c>
      <c r="G38" s="68">
        <v>75000</v>
      </c>
      <c r="H38" s="77">
        <f t="shared" si="7"/>
        <v>505.95703125</v>
      </c>
      <c r="I38" s="78">
        <f t="shared" si="8"/>
        <v>0</v>
      </c>
    </row>
    <row r="39" spans="2:9" x14ac:dyDescent="0.25">
      <c r="B39" s="74">
        <f>0.8*$F$8</f>
        <v>0</v>
      </c>
      <c r="C39" s="75">
        <f t="shared" si="9"/>
        <v>0</v>
      </c>
      <c r="D39" s="68"/>
      <c r="E39" s="75">
        <f t="shared" si="5"/>
        <v>0</v>
      </c>
      <c r="F39" s="76">
        <f t="shared" si="6"/>
        <v>0</v>
      </c>
      <c r="G39" s="68">
        <v>80000</v>
      </c>
      <c r="H39" s="77">
        <f t="shared" si="7"/>
        <v>539.6875</v>
      </c>
      <c r="I39" s="78">
        <f t="shared" si="8"/>
        <v>0</v>
      </c>
    </row>
    <row r="40" spans="2:9" x14ac:dyDescent="0.25">
      <c r="B40" s="74">
        <f>0.85*$F$8</f>
        <v>0</v>
      </c>
      <c r="C40" s="75">
        <f t="shared" si="9"/>
        <v>0</v>
      </c>
      <c r="D40" s="68"/>
      <c r="E40" s="75">
        <f t="shared" si="5"/>
        <v>0</v>
      </c>
      <c r="F40" s="76">
        <f t="shared" si="6"/>
        <v>0</v>
      </c>
      <c r="G40" s="68">
        <v>85000</v>
      </c>
      <c r="H40" s="77">
        <f t="shared" si="7"/>
        <v>573.41796875</v>
      </c>
      <c r="I40" s="78">
        <f t="shared" si="8"/>
        <v>0</v>
      </c>
    </row>
    <row r="41" spans="2:9" x14ac:dyDescent="0.25">
      <c r="B41" s="74">
        <f>0.9*$F$8</f>
        <v>0</v>
      </c>
      <c r="C41" s="75">
        <f t="shared" si="9"/>
        <v>0</v>
      </c>
      <c r="D41" s="68"/>
      <c r="E41" s="75">
        <f t="shared" si="5"/>
        <v>0</v>
      </c>
      <c r="F41" s="76">
        <f t="shared" si="6"/>
        <v>0</v>
      </c>
      <c r="G41" s="68">
        <v>90000</v>
      </c>
      <c r="H41" s="77">
        <f t="shared" si="7"/>
        <v>607.1484375</v>
      </c>
      <c r="I41" s="78">
        <f t="shared" si="8"/>
        <v>0</v>
      </c>
    </row>
    <row r="42" spans="2:9" x14ac:dyDescent="0.25">
      <c r="B42" s="74">
        <f>0.95*$F$8</f>
        <v>0</v>
      </c>
      <c r="C42" s="75">
        <f t="shared" si="9"/>
        <v>0</v>
      </c>
      <c r="D42" s="68"/>
      <c r="E42" s="75">
        <f t="shared" si="5"/>
        <v>0</v>
      </c>
      <c r="F42" s="76">
        <f t="shared" si="6"/>
        <v>0</v>
      </c>
      <c r="G42" s="68">
        <v>95000</v>
      </c>
      <c r="H42" s="77">
        <f t="shared" si="7"/>
        <v>640.87890625</v>
      </c>
      <c r="I42" s="78">
        <f t="shared" si="8"/>
        <v>0</v>
      </c>
    </row>
    <row r="43" spans="2:9" x14ac:dyDescent="0.25">
      <c r="B43" s="79">
        <f>1*$F$8</f>
        <v>0</v>
      </c>
      <c r="C43" s="80">
        <f>(2350/61.7)*B43*0.395</f>
        <v>0</v>
      </c>
      <c r="D43" s="81"/>
      <c r="E43" s="80">
        <f t="shared" si="5"/>
        <v>0</v>
      </c>
      <c r="F43" s="82">
        <f t="shared" si="6"/>
        <v>0</v>
      </c>
      <c r="G43" s="81">
        <v>100000</v>
      </c>
      <c r="H43" s="83">
        <f t="shared" si="7"/>
        <v>674.609375</v>
      </c>
      <c r="I43" s="84">
        <f t="shared" si="8"/>
        <v>0</v>
      </c>
    </row>
    <row r="45" spans="2:9" x14ac:dyDescent="0.25">
      <c r="B45" s="87" t="s">
        <v>71</v>
      </c>
      <c r="C45" s="61"/>
      <c r="D45" s="88"/>
      <c r="E45" s="61" t="s">
        <v>72</v>
      </c>
      <c r="F45" s="61"/>
      <c r="G45" s="62" t="s">
        <v>87</v>
      </c>
      <c r="H45" s="62" t="s">
        <v>88</v>
      </c>
      <c r="I45" s="91"/>
    </row>
    <row r="46" spans="2:9" x14ac:dyDescent="0.25">
      <c r="B46" s="63" t="s">
        <v>73</v>
      </c>
      <c r="C46" s="64"/>
      <c r="D46" s="65"/>
      <c r="E46" s="64" t="s">
        <v>74</v>
      </c>
      <c r="F46" s="64"/>
      <c r="G46" s="64"/>
      <c r="H46" s="66" t="s">
        <v>89</v>
      </c>
      <c r="I46" s="92"/>
    </row>
    <row r="47" spans="2:9" x14ac:dyDescent="0.25">
      <c r="B47" s="63" t="s">
        <v>75</v>
      </c>
      <c r="C47" s="64"/>
      <c r="D47" s="68"/>
      <c r="E47" s="64"/>
      <c r="F47" s="64"/>
      <c r="G47" s="64"/>
      <c r="H47" s="66" t="s">
        <v>90</v>
      </c>
      <c r="I47" s="92"/>
    </row>
    <row r="48" spans="2:9" x14ac:dyDescent="0.25">
      <c r="B48" s="69" t="s">
        <v>76</v>
      </c>
      <c r="C48" s="70" t="s">
        <v>77</v>
      </c>
      <c r="D48" s="70" t="s">
        <v>78</v>
      </c>
      <c r="E48" s="70" t="s">
        <v>79</v>
      </c>
      <c r="F48" s="85"/>
      <c r="G48" s="70" t="s">
        <v>80</v>
      </c>
      <c r="H48" s="70"/>
      <c r="I48" s="71"/>
    </row>
    <row r="49" spans="2:9" x14ac:dyDescent="0.25">
      <c r="B49" s="86" t="s">
        <v>81</v>
      </c>
      <c r="C49" s="70" t="s">
        <v>82</v>
      </c>
      <c r="D49" s="70" t="s">
        <v>83</v>
      </c>
      <c r="E49" s="70" t="s">
        <v>82</v>
      </c>
      <c r="F49" s="70" t="s">
        <v>84</v>
      </c>
      <c r="G49" s="70" t="s">
        <v>85</v>
      </c>
      <c r="H49" s="70" t="s">
        <v>82</v>
      </c>
      <c r="I49" s="71" t="s">
        <v>86</v>
      </c>
    </row>
    <row r="50" spans="2:9" x14ac:dyDescent="0.25">
      <c r="B50" s="74">
        <f>0.25*$F$8</f>
        <v>0</v>
      </c>
      <c r="C50" s="75">
        <f>(2350/61.7)*B50*0.395</f>
        <v>0</v>
      </c>
      <c r="D50" s="68"/>
      <c r="E50" s="75">
        <f t="shared" ref="E50:E60" si="10">C50-(34.4764881*D50-4.325744048*D50^2+0.369475446*D50^3-0.01733631*D50^4+0.000339472*D50^5)</f>
        <v>0</v>
      </c>
      <c r="F50" s="75">
        <f t="shared" ref="F50:F60" si="11">(E50*60)/Volume</f>
        <v>0</v>
      </c>
      <c r="G50" s="68">
        <v>20000</v>
      </c>
      <c r="H50" s="77">
        <f t="shared" ref="H50:H60" si="12">G50*Volume/60</f>
        <v>134.921875</v>
      </c>
      <c r="I50" s="78">
        <f t="shared" ref="I50:I60" si="13">G50^2*P2a+G50*P2b+P2c</f>
        <v>0</v>
      </c>
    </row>
    <row r="51" spans="2:9" x14ac:dyDescent="0.25">
      <c r="B51" s="74">
        <f>0.4*$F$8</f>
        <v>0</v>
      </c>
      <c r="C51" s="75">
        <f t="shared" ref="C51:C60" si="14">(2350/61.7)*B51*0.395</f>
        <v>0</v>
      </c>
      <c r="D51" s="68"/>
      <c r="E51" s="75">
        <f t="shared" si="10"/>
        <v>0</v>
      </c>
      <c r="F51" s="75">
        <f t="shared" si="11"/>
        <v>0</v>
      </c>
      <c r="G51" s="68">
        <v>35000</v>
      </c>
      <c r="H51" s="77">
        <f t="shared" si="12"/>
        <v>236.11328125</v>
      </c>
      <c r="I51" s="78">
        <f t="shared" si="13"/>
        <v>0</v>
      </c>
    </row>
    <row r="52" spans="2:9" x14ac:dyDescent="0.25">
      <c r="B52" s="74">
        <f>0.5*$F$8</f>
        <v>0</v>
      </c>
      <c r="C52" s="75">
        <f t="shared" si="14"/>
        <v>0</v>
      </c>
      <c r="D52" s="68"/>
      <c r="E52" s="75">
        <f t="shared" si="10"/>
        <v>0</v>
      </c>
      <c r="F52" s="75">
        <f t="shared" si="11"/>
        <v>0</v>
      </c>
      <c r="G52" s="68">
        <v>50000</v>
      </c>
      <c r="H52" s="77">
        <f t="shared" si="12"/>
        <v>337.3046875</v>
      </c>
      <c r="I52" s="78">
        <f t="shared" si="13"/>
        <v>0</v>
      </c>
    </row>
    <row r="53" spans="2:9" x14ac:dyDescent="0.25">
      <c r="B53" s="74">
        <f>0.6*$F$8</f>
        <v>0</v>
      </c>
      <c r="C53" s="75">
        <f t="shared" si="14"/>
        <v>0</v>
      </c>
      <c r="D53" s="68"/>
      <c r="E53" s="75">
        <f t="shared" si="10"/>
        <v>0</v>
      </c>
      <c r="F53" s="75">
        <f t="shared" si="11"/>
        <v>0</v>
      </c>
      <c r="G53" s="68">
        <v>60000</v>
      </c>
      <c r="H53" s="77">
        <f t="shared" si="12"/>
        <v>404.765625</v>
      </c>
      <c r="I53" s="78">
        <f t="shared" si="13"/>
        <v>0</v>
      </c>
    </row>
    <row r="54" spans="2:9" x14ac:dyDescent="0.25">
      <c r="B54" s="74">
        <f>0.7*$F$8</f>
        <v>0</v>
      </c>
      <c r="C54" s="75">
        <f t="shared" si="14"/>
        <v>0</v>
      </c>
      <c r="D54" s="68"/>
      <c r="E54" s="75">
        <f t="shared" si="10"/>
        <v>0</v>
      </c>
      <c r="F54" s="75">
        <f t="shared" si="11"/>
        <v>0</v>
      </c>
      <c r="G54" s="68">
        <v>70000</v>
      </c>
      <c r="H54" s="77">
        <f t="shared" si="12"/>
        <v>472.2265625</v>
      </c>
      <c r="I54" s="78">
        <f t="shared" si="13"/>
        <v>0</v>
      </c>
    </row>
    <row r="55" spans="2:9" x14ac:dyDescent="0.25">
      <c r="B55" s="74">
        <f>0.75*$F$8</f>
        <v>0</v>
      </c>
      <c r="C55" s="75">
        <f t="shared" si="14"/>
        <v>0</v>
      </c>
      <c r="D55" s="68"/>
      <c r="E55" s="75">
        <f t="shared" si="10"/>
        <v>0</v>
      </c>
      <c r="F55" s="75">
        <f t="shared" si="11"/>
        <v>0</v>
      </c>
      <c r="G55" s="68">
        <v>75000</v>
      </c>
      <c r="H55" s="77">
        <f t="shared" si="12"/>
        <v>505.95703125</v>
      </c>
      <c r="I55" s="78">
        <f t="shared" si="13"/>
        <v>0</v>
      </c>
    </row>
    <row r="56" spans="2:9" x14ac:dyDescent="0.25">
      <c r="B56" s="74">
        <f>0.8*$F$8</f>
        <v>0</v>
      </c>
      <c r="C56" s="75">
        <f t="shared" si="14"/>
        <v>0</v>
      </c>
      <c r="D56" s="68"/>
      <c r="E56" s="75">
        <f t="shared" si="10"/>
        <v>0</v>
      </c>
      <c r="F56" s="75">
        <f t="shared" si="11"/>
        <v>0</v>
      </c>
      <c r="G56" s="68">
        <v>80000</v>
      </c>
      <c r="H56" s="77">
        <f t="shared" si="12"/>
        <v>539.6875</v>
      </c>
      <c r="I56" s="78">
        <f t="shared" si="13"/>
        <v>0</v>
      </c>
    </row>
    <row r="57" spans="2:9" x14ac:dyDescent="0.25">
      <c r="B57" s="74">
        <f>0.85*$F$8</f>
        <v>0</v>
      </c>
      <c r="C57" s="75">
        <f t="shared" si="14"/>
        <v>0</v>
      </c>
      <c r="D57" s="68"/>
      <c r="E57" s="75">
        <f t="shared" si="10"/>
        <v>0</v>
      </c>
      <c r="F57" s="75">
        <f t="shared" si="11"/>
        <v>0</v>
      </c>
      <c r="G57" s="68">
        <v>85000</v>
      </c>
      <c r="H57" s="77">
        <f t="shared" si="12"/>
        <v>573.41796875</v>
      </c>
      <c r="I57" s="78">
        <f t="shared" si="13"/>
        <v>0</v>
      </c>
    </row>
    <row r="58" spans="2:9" x14ac:dyDescent="0.25">
      <c r="B58" s="74">
        <f>0.9*$F$8</f>
        <v>0</v>
      </c>
      <c r="C58" s="75">
        <f t="shared" si="14"/>
        <v>0</v>
      </c>
      <c r="D58" s="68"/>
      <c r="E58" s="75">
        <f t="shared" si="10"/>
        <v>0</v>
      </c>
      <c r="F58" s="75">
        <f t="shared" si="11"/>
        <v>0</v>
      </c>
      <c r="G58" s="68">
        <v>90000</v>
      </c>
      <c r="H58" s="77">
        <f t="shared" si="12"/>
        <v>607.1484375</v>
      </c>
      <c r="I58" s="78">
        <f t="shared" si="13"/>
        <v>0</v>
      </c>
    </row>
    <row r="59" spans="2:9" x14ac:dyDescent="0.25">
      <c r="B59" s="74">
        <f>0.95*$F$8</f>
        <v>0</v>
      </c>
      <c r="C59" s="75">
        <f t="shared" si="14"/>
        <v>0</v>
      </c>
      <c r="D59" s="68"/>
      <c r="E59" s="75">
        <f t="shared" si="10"/>
        <v>0</v>
      </c>
      <c r="F59" s="75">
        <f t="shared" si="11"/>
        <v>0</v>
      </c>
      <c r="G59" s="68">
        <v>95000</v>
      </c>
      <c r="H59" s="77">
        <f t="shared" si="12"/>
        <v>640.87890625</v>
      </c>
      <c r="I59" s="78">
        <f t="shared" si="13"/>
        <v>0</v>
      </c>
    </row>
    <row r="60" spans="2:9" x14ac:dyDescent="0.25">
      <c r="B60" s="79">
        <f>1*$F$8</f>
        <v>0</v>
      </c>
      <c r="C60" s="80">
        <f t="shared" si="14"/>
        <v>0</v>
      </c>
      <c r="D60" s="81"/>
      <c r="E60" s="80">
        <f t="shared" si="10"/>
        <v>0</v>
      </c>
      <c r="F60" s="80">
        <f t="shared" si="11"/>
        <v>0</v>
      </c>
      <c r="G60" s="81">
        <v>100000</v>
      </c>
      <c r="H60" s="83">
        <f t="shared" si="12"/>
        <v>674.609375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62</vt:i4>
      </vt:variant>
    </vt:vector>
  </HeadingPairs>
  <TitlesOfParts>
    <vt:vector size="75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SubDiameter</vt:lpstr>
      <vt:lpstr>QAProcess!SubLength</vt:lpstr>
      <vt:lpstr>SubLength</vt:lpstr>
      <vt:lpstr>Vehicle!vehicle</vt:lpstr>
      <vt:lpstr>QAProcess!Volume</vt:lpstr>
      <vt:lpstr>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2019-06-30T18:43:20Z</dcterms:modified>
</cp:coreProperties>
</file>