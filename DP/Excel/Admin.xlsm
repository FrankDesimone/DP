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3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43E7F7BF-2FEE-4A6B-A7F7-38F5511C37A0}" xr6:coauthVersionLast="43" xr6:coauthVersionMax="43" xr10:uidLastSave="{00000000-0000-0000-0000-000000000000}"/>
  <bookViews>
    <workbookView xWindow="-120" yWindow="-120" windowWidth="29040" windowHeight="15990" activeTab="12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OSNotes">Quality!$I$24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8">[1]QAProcess!$I$13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8">[1]Quality!$B$5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8">[1]Quality!$B$6</definedName>
    <definedName name="SubLength" localSheetId="13">QAProcess!$C$6</definedName>
    <definedName name="SubLength" localSheetId="12">Quality!$B$6</definedName>
    <definedName name="SubLength">#REF!</definedName>
    <definedName name="vehicle" localSheetId="8">DPF!#REF!</definedName>
    <definedName name="vehicle" localSheetId="4">Vehicle!$B$3:$B$9</definedName>
    <definedName name="Volume" localSheetId="8">[1]Quality!$B$7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<sst xmlns="http://schemas.openxmlformats.org/spreadsheetml/2006/main" count="585" uniqueCount="327">
  <si>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</si>
  <si>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</si>
  <si>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</si>
  <si>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</si>
  <si>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</si>
  <si>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</si>
  <si>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</si>
  <si>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</si>
  <si>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</si>
  <si>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</si>
  <si>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</si>
  <si>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</si>
  <si>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</si>
  <si>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</si>
  <si>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</si>
  <si>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</si>
  <si>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</si>
  <si>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</si>
  <si>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</si>
  <si>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</si>
  <si>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</si>
  <si>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</si>
  <si>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</si>
  <si>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</si>
  <si>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</si>
  <si>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</si>
  <si>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</si>
  <si>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</si>
  <si>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</si>
  <si>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</si>
  <si>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</si>
  <si>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</si>
  <si>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</si>
  <si>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</si>
  <si>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</si>
  <si>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</si>
  <si>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</si>
  <si>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</si>
  <si>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</si>
  <si>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</si>
  <si>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</si>
  <si>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</si>
  <si>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</si>
  <si>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</si>
  <si>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</si>
  <si>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</si>
  <si>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</si>
  <si>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</si>
  <si>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</si>
  <si>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</si>
  <si>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</si>
  <si>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</si>
  <si>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</si>
  <si>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</si>
  <si>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</si>
  <si>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</si>
  <si>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</si>
  <si>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</si>
  <si>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</si>
  <si>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</si>
  <si>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</si>
  <si>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</si>
  <si>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</si>
  <si>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</si>
  <si>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</si>
  <si>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</si>
  <si>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</si>
  <si>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</si>
  <si>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</si>
  <si>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</si>
  <si>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</si>
  <si>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</si>
  <si>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</si>
  <si>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</si>
  <si>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</si>
  <si>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</si>
  <si>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</si>
  <si>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</si>
  <si>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</si>
  <si>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</si>
  <si>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</si>
  <si>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</si>
  <si>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</si>
  <si>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</si>
  <si>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</si>
  <si>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</si>
  <si>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</si>
  <si>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</si>
  <si>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</si>
  <si>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</si>
  <si>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</si>
  <si>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</si>
  <si>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</si>
  <si>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</si>
  <si>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</si>
  <si>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</si>
  <si>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</si>
  <si>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</si>
  <si>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</si>
  <si>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</si>
  <si>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</si>
  <si>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</si>
  <si>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</si>
  <si>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</si>
  <si>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</si>
  <si>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</si>
  <si>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</si>
  <si>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</si>
  <si>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</si>
  <si>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</si>
  <si>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</si>
  <si>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</si>
  <si>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</si>
  <si>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</si>
  <si>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</si>
  <si>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</si>
  <si>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</si>
  <si>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</si>
  <si>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</si>
  <si>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</si>
  <si>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</si>
  <si>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</si>
  <si>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</si>
  <si>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</si>
  <si>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</si>
  <si>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</si>
  <si>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</si>
  <si>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</si>
  <si>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</si>
  <si>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</si>
  <si>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</si>
  <si>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</si>
  <si>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</si>
  <si>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</si>
  <si>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</si>
  <si>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</si>
  <si>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</si>
  <si>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</si>
  <si>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</si>
  <si>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</si>
  <si>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</si>
  <si>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</si>
  <si>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</si>
  <si>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</si>
  <si>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</si>
  <si>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</si>
  <si>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</si>
  <si>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</si>
  <si>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</si>
  <si>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</si>
  <si>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</si>
  <si>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</si>
  <si>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</si>
  <si>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</si>
  <si>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</si>
  <si>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</si>
  <si>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</si>
  <si>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</si>
  <si>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</si>
  <si>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</si>
  <si>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</si>
  <si>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</si>
  <si>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</si>
  <si>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</si>
  <si>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</si>
  <si>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</si>
  <si>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</si>
  <si>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</si>
  <si>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</si>
  <si>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</si>
  <si>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</si>
  <si>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</si>
  <si>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</si>
  <si>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</si>
  <si>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</si>
  <si>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</si>
  <si>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</si>
  <si>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</si>
  <si>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</si>
  <si>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</si>
  <si>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</si>
  <si>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</si>
  <si>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</si>
  <si>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</si>
  <si>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</si>
  <si>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</si>
  <si>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</si>
  <si>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</si>
  <si>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</si>
  <si>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</si>
  <si>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</si>
  <si>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</si>
  <si>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</si>
  <si>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</si>
  <si>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</si>
  <si>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</si>
  <si>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</si>
  <si>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</si>
  <si>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</si>
  <si>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</si>
  <si>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</si>
  <si>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</si>
  <si>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</si>
  <si>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</si>
  <si>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</si>
  <si>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</si>
  <si>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</si>
  <si>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</si>
  <si>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</si>
  <si>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</si>
  <si>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</si>
  <si>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</si>
  <si>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</si>
  <si>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</si>
  <si>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</si>
  <si>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</si>
  <si>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</si>
  <si>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</si>
  <si>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</si>
  <si>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</si>
  <si>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</si>
  <si>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</si>
  <si>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</si>
  <si>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</si>
  <si>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</si>
  <si>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</si>
  <si>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</si>
  <si>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</si>
  <si>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</si>
  <si>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</si>
  <si>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</si>
  <si>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</si>
  <si>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</si>
  <si>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</si>
  <si>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</si>
  <si>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</si>
  <si>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</si>
  <si>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</si>
  <si>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</si>
  <si>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</si>
  <si>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</si>
  <si>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</si>
  <si>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</si>
  <si>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</si>
  <si>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</si>
  <si>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</si>
  <si>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</si>
  <si>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</si>
  <si>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</si>
  <si>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</si>
  <si>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</si>
  <si>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</si>
  <si>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</si>
  <si>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</si>
  <si>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</si>
  <si>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</si>
  <si>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</si>
  <si>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</si>
  <si>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</si>
  <si>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</si>
  <si>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</si>
  <si>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</si>
  <si>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</si>
  <si>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</si>
  <si>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</si>
  <si>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</si>
  <si>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</si>
  <si>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</si>
  <si>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</si>
  <si>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</si>
  <si>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</si>
  <si>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</si>
  <si>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</si>
  <si>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</si>
  <si>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</si>
  <si>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Additional Information that will need to be collected on this page:</t>
  </si>
  <si>
    <t>Vehicle / Equipment Fuel Economy</t>
  </si>
  <si>
    <t>(mpg)</t>
  </si>
  <si>
    <t xml:space="preserve">     after current mileage/ hours</t>
  </si>
  <si>
    <t>Date</t>
  </si>
  <si>
    <t>( Time Stamp )</t>
  </si>
  <si>
    <t>Hunsicker Emissions Services Cleaning Location</t>
  </si>
  <si>
    <t>(Drop Down Bar. a = Fogelsville, b = Allentown prior to App, B = Allentown ,…)</t>
  </si>
  <si>
    <t>Hunsicker Emissions Services Old Job ID</t>
  </si>
  <si>
    <t>( ex 0001 - 2000 ).</t>
  </si>
  <si>
    <t>The fuel economy is needed for quality control and the report</t>
  </si>
  <si>
    <t xml:space="preserve">The Date and Cleaning Location (a, b, B,… can be built into the Sales Order Number for easy reference. </t>
  </si>
  <si>
    <t>The  Old Job ID will allow for uploading old records for jobs completed before the App needed for reports, searches,..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</si>
  <si>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</si>
  <si>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</si>
  <si>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</si>
  <si>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</si>
  <si>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</si>
  <si>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</si>
  <si>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</si>
  <si>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</si>
  <si>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</si>
  <si>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</si>
  <si>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</si>
  <si>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</si>
  <si>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</si>
  <si>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</si>
  <si>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</si>
  <si>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</si>
  <si>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</si>
  <si>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</si>
  <si>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</si>
  <si>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</si>
  <si>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</si>
  <si>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</si>
  <si>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</si>
  <si>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</si>
  <si>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</si>
  <si>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</si>
  <si>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Vehicle / Equipment Current Mileage (x,xxx,xxx)</t>
  </si>
  <si>
    <t>Vehicle / Equipment Current Hours (xx,xxx)</t>
  </si>
  <si>
    <t>Vin #</t>
  </si>
  <si>
    <t xml:space="preserve">Asset # </t>
  </si>
  <si>
    <t>engin serial</t>
  </si>
  <si>
    <t>Model 2019</t>
  </si>
  <si>
    <t>part #</t>
  </si>
  <si>
    <t>other #</t>
  </si>
  <si>
    <t>DOC</t>
  </si>
  <si>
    <t>Serial # / part #</t>
  </si>
  <si>
    <t>Van-60</t>
  </si>
  <si>
    <t>Center</t>
  </si>
  <si>
    <t>test opps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</si>
</sst>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Times New Roman"/>
      <family val="1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6" fillId="0" borderId="0" xfId="0" applyFont="1" applyAlignment="1">
      <alignment horizontal="left" vertical="top" indent="2"/>
    </xf>
    <xf numFmtId="0" fontId="14" fillId="0" borderId="0" xfId="0" applyFont="1"/>
    <xf numFmtId="0" fontId="15" fillId="0" borderId="0" xfId="0" applyFont="1" applyAlignment="1">
      <alignment horizontal="right" vertical="center" indent="2"/>
    </xf>
    <xf numFmtId="0" fontId="14" fillId="3" borderId="0" xfId="0" applyFont="1" applyFill="1"/>
    <xf numFmtId="0" fontId="15" fillId="0" borderId="0" xfId="0" applyFont="1" applyAlignment="1">
      <alignment horizontal="left" vertical="center" indent="2"/>
    </xf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165" fontId="14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7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18" fillId="0" borderId="0" xfId="0" applyFont="1" applyAlignment="1">
      <alignment horizontal="right" vertical="center" indent="2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2.emf"/><Relationship Id="rId18" Type="http://schemas.openxmlformats.org/officeDocument/2006/relationships/image" Target="../media/image67.emf"/><Relationship Id="rId3" Type="http://schemas.openxmlformats.org/officeDocument/2006/relationships/image" Target="../media/image52.emf"/><Relationship Id="rId21" Type="http://schemas.openxmlformats.org/officeDocument/2006/relationships/image" Target="../media/image70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66.emf"/><Relationship Id="rId2" Type="http://schemas.openxmlformats.org/officeDocument/2006/relationships/image" Target="../media/image51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5" Type="http://schemas.openxmlformats.org/officeDocument/2006/relationships/image" Target="../media/image64.emf"/><Relationship Id="rId10" Type="http://schemas.openxmlformats.org/officeDocument/2006/relationships/image" Target="../media/image59.emf"/><Relationship Id="rId19" Type="http://schemas.openxmlformats.org/officeDocument/2006/relationships/image" Target="../media/image68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7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82.emf"/><Relationship Id="rId7" Type="http://schemas.openxmlformats.org/officeDocument/2006/relationships/image" Target="../media/image86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6" Type="http://schemas.openxmlformats.org/officeDocument/2006/relationships/image" Target="../media/image85.emf"/><Relationship Id="rId11" Type="http://schemas.openxmlformats.org/officeDocument/2006/relationships/image" Target="../media/image90.emf"/><Relationship Id="rId5" Type="http://schemas.openxmlformats.org/officeDocument/2006/relationships/image" Target="../media/image84.emf"/><Relationship Id="rId10" Type="http://schemas.openxmlformats.org/officeDocument/2006/relationships/image" Target="../media/image89.emf"/><Relationship Id="rId4" Type="http://schemas.openxmlformats.org/officeDocument/2006/relationships/image" Target="../media/image83.emf"/><Relationship Id="rId9" Type="http://schemas.openxmlformats.org/officeDocument/2006/relationships/image" Target="../media/image8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276225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323850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1381125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123825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123825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123825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123825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34</xdr:row>
          <xdr:rowOff>28575</xdr:rowOff>
        </xdr:from>
        <xdr:to>
          <xdr:col>1</xdr:col>
          <xdr:colOff>1162050</xdr:colOff>
          <xdr:row>35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35</xdr:row>
          <xdr:rowOff>47625</xdr:rowOff>
        </xdr:from>
        <xdr:to>
          <xdr:col>1</xdr:col>
          <xdr:colOff>1162050</xdr:colOff>
          <xdr:row>36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276225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276225</xdr:colOff>
          <xdr:row>15</xdr:row>
          <xdr:rowOff>200025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1381125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34" Type="http://schemas.openxmlformats.org/officeDocument/2006/relationships/control" Target="../activeX/activeX67.xml"/><Relationship Id="rId42" Type="http://schemas.openxmlformats.org/officeDocument/2006/relationships/control" Target="../activeX/activeX71.xml"/><Relationship Id="rId47" Type="http://schemas.openxmlformats.org/officeDocument/2006/relationships/image" Target="../media/image69.emf"/><Relationship Id="rId50" Type="http://schemas.openxmlformats.org/officeDocument/2006/relationships/control" Target="../activeX/activeX75.xml"/><Relationship Id="rId7" Type="http://schemas.openxmlformats.org/officeDocument/2006/relationships/image" Target="../media/image51.emf"/><Relationship Id="rId12" Type="http://schemas.openxmlformats.org/officeDocument/2006/relationships/control" Target="../activeX/activeX56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ntrol" Target="../activeX/activeX69.xml"/><Relationship Id="rId46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60.emf"/><Relationship Id="rId41" Type="http://schemas.openxmlformats.org/officeDocument/2006/relationships/image" Target="../media/image66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37" Type="http://schemas.openxmlformats.org/officeDocument/2006/relationships/image" Target="../media/image64.emf"/><Relationship Id="rId40" Type="http://schemas.openxmlformats.org/officeDocument/2006/relationships/control" Target="../activeX/activeX70.xml"/><Relationship Id="rId45" Type="http://schemas.openxmlformats.org/officeDocument/2006/relationships/image" Target="../media/image68.emf"/><Relationship Id="rId5" Type="http://schemas.openxmlformats.org/officeDocument/2006/relationships/image" Target="../media/image50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64.xml"/><Relationship Id="rId36" Type="http://schemas.openxmlformats.org/officeDocument/2006/relationships/control" Target="../activeX/activeX68.xml"/><Relationship Id="rId49" Type="http://schemas.openxmlformats.org/officeDocument/2006/relationships/image" Target="../media/image70.emf"/><Relationship Id="rId10" Type="http://schemas.openxmlformats.org/officeDocument/2006/relationships/control" Target="../activeX/activeX54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1.xml"/><Relationship Id="rId27" Type="http://schemas.openxmlformats.org/officeDocument/2006/relationships/image" Target="../media/image59.emf"/><Relationship Id="rId30" Type="http://schemas.openxmlformats.org/officeDocument/2006/relationships/control" Target="../activeX/activeX65.xml"/><Relationship Id="rId35" Type="http://schemas.openxmlformats.org/officeDocument/2006/relationships/image" Target="../media/image63.emf"/><Relationship Id="rId43" Type="http://schemas.openxmlformats.org/officeDocument/2006/relationships/image" Target="../media/image67.emf"/><Relationship Id="rId48" Type="http://schemas.openxmlformats.org/officeDocument/2006/relationships/control" Target="../activeX/activeX74.xml"/><Relationship Id="rId8" Type="http://schemas.openxmlformats.org/officeDocument/2006/relationships/control" Target="../activeX/activeX52.xml"/><Relationship Id="rId51" Type="http://schemas.openxmlformats.org/officeDocument/2006/relationships/image" Target="../media/image7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2.emf"/><Relationship Id="rId4" Type="http://schemas.openxmlformats.org/officeDocument/2006/relationships/control" Target="../activeX/activeX76.xml"/><Relationship Id="rId9" Type="http://schemas.openxmlformats.org/officeDocument/2006/relationships/image" Target="../media/image7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9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13" Type="http://schemas.openxmlformats.org/officeDocument/2006/relationships/image" Target="../media/image83.emf"/><Relationship Id="rId18" Type="http://schemas.openxmlformats.org/officeDocument/2006/relationships/control" Target="../activeX/activeX92.xml"/><Relationship Id="rId26" Type="http://schemas.openxmlformats.org/officeDocument/2006/relationships/image" Target="../media/image88.emf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7.emf"/><Relationship Id="rId7" Type="http://schemas.openxmlformats.org/officeDocument/2006/relationships/control" Target="../activeX/activeX86.xml"/><Relationship Id="rId12" Type="http://schemas.openxmlformats.org/officeDocument/2006/relationships/control" Target="../activeX/activeX89.xml"/><Relationship Id="rId17" Type="http://schemas.openxmlformats.org/officeDocument/2006/relationships/image" Target="../media/image85.emf"/><Relationship Id="rId25" Type="http://schemas.openxmlformats.org/officeDocument/2006/relationships/control" Target="../activeX/activeX97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29" Type="http://schemas.openxmlformats.org/officeDocument/2006/relationships/control" Target="../activeX/activeX9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82.emf"/><Relationship Id="rId24" Type="http://schemas.openxmlformats.org/officeDocument/2006/relationships/control" Target="../activeX/activeX96.xml"/><Relationship Id="rId5" Type="http://schemas.openxmlformats.org/officeDocument/2006/relationships/image" Target="../media/image80.emf"/><Relationship Id="rId15" Type="http://schemas.openxmlformats.org/officeDocument/2006/relationships/image" Target="../media/image84.emf"/><Relationship Id="rId23" Type="http://schemas.openxmlformats.org/officeDocument/2006/relationships/control" Target="../activeX/activeX95.xml"/><Relationship Id="rId28" Type="http://schemas.openxmlformats.org/officeDocument/2006/relationships/image" Target="../media/image89.emf"/><Relationship Id="rId10" Type="http://schemas.openxmlformats.org/officeDocument/2006/relationships/control" Target="../activeX/activeX88.xml"/><Relationship Id="rId19" Type="http://schemas.openxmlformats.org/officeDocument/2006/relationships/image" Target="../media/image86.emf"/><Relationship Id="rId4" Type="http://schemas.openxmlformats.org/officeDocument/2006/relationships/control" Target="../activeX/activeX84.xml"/><Relationship Id="rId9" Type="http://schemas.openxmlformats.org/officeDocument/2006/relationships/control" Target="../activeX/activeX87.xml"/><Relationship Id="rId14" Type="http://schemas.openxmlformats.org/officeDocument/2006/relationships/control" Target="../activeX/activeX90.xml"/><Relationship Id="rId22" Type="http://schemas.openxmlformats.org/officeDocument/2006/relationships/control" Target="../activeX/activeX94.xml"/><Relationship Id="rId27" Type="http://schemas.openxmlformats.org/officeDocument/2006/relationships/control" Target="../activeX/activeX98.xml"/><Relationship Id="rId30" Type="http://schemas.openxmlformats.org/officeDocument/2006/relationships/image" Target="../media/image90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1.xml"/><Relationship Id="rId5" Type="http://schemas.openxmlformats.org/officeDocument/2006/relationships/image" Target="../media/image91.emf"/><Relationship Id="rId4" Type="http://schemas.openxmlformats.org/officeDocument/2006/relationships/control" Target="../activeX/activeX100.xml"/><Relationship Id="rId9" Type="http://schemas.openxmlformats.org/officeDocument/2006/relationships/image" Target="../media/image9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251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175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158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241</v>
      </c>
      <c r="D4" s="37"/>
    </row>
    <row r="5" spans="1:4" ht="30" customHeight="1" x14ac:dyDescent="0.25">
      <c r="A5" s="5" t="s">
        <v>1</v>
      </c>
      <c r="B5" s="14" t="s">
        <v>241</v>
      </c>
    </row>
    <row r="6" spans="1:4" ht="30" customHeight="1" x14ac:dyDescent="0.25">
      <c r="A6" s="5" t="s">
        <v>28</v>
      </c>
      <c r="B6" s="14" t="s">
        <v>176</v>
      </c>
    </row>
    <row r="7" spans="1:4" ht="30" customHeight="1" x14ac:dyDescent="0.25">
      <c r="A7" s="5" t="s">
        <v>2</v>
      </c>
      <c r="B7" s="14" t="s">
        <v>242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243</v>
      </c>
    </row>
    <row r="10" spans="1:4" ht="30" customHeight="1" x14ac:dyDescent="0.25">
      <c r="A10" s="5" t="s">
        <v>154</v>
      </c>
      <c r="B10" s="14" t="s">
        <v>236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185</v>
      </c>
      <c r="B3" s="57" t="s">
        <v>316</v>
      </c>
      <c r="D3" s="37"/>
    </row>
    <row r="4" spans="1:4" ht="30" customHeight="1" x14ac:dyDescent="0.25">
      <c r="A4" s="5" t="s">
        <v>237</v>
      </c>
      <c r="B4" s="57" t="s">
        <v>317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10</v>
      </c>
    </row>
    <row r="7" spans="1:4" ht="30" customHeight="1" x14ac:dyDescent="0.25">
      <c r="A7" s="5" t="s">
        <v>11</v>
      </c>
      <c r="B7" s="14">
        <v>2019</v>
      </c>
    </row>
    <row r="8" spans="1:4" ht="30" customHeight="1" x14ac:dyDescent="0.25">
      <c r="A8" s="5" t="s">
        <v>238</v>
      </c>
      <c r="B8" s="14">
        <v>100</v>
      </c>
    </row>
    <row r="9" spans="1:4" ht="30" customHeight="1" x14ac:dyDescent="0.25">
      <c r="A9" s="111" t="s">
        <v>239</v>
      </c>
      <c r="B9" s="14">
        <v>1000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318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319</v>
      </c>
    </row>
    <row r="6" spans="1:4" ht="30" customHeight="1" x14ac:dyDescent="0.25">
      <c r="A6" s="5" t="s">
        <v>11</v>
      </c>
      <c r="B6" s="35">
        <v>2019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183</v>
      </c>
      <c r="B3" s="14" t="s">
        <v>184</v>
      </c>
      <c r="E3" t="s">
        <v>177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31</v>
      </c>
      <c r="E3" s="37"/>
    </row>
    <row r="4" spans="1:5" ht="30" customHeight="1" x14ac:dyDescent="0.25">
      <c r="A4" s="5" t="s">
        <v>36</v>
      </c>
      <c r="B4" s="58" t="s">
        <v>320</v>
      </c>
    </row>
    <row r="5" spans="1:5" ht="30" customHeight="1" x14ac:dyDescent="0.25">
      <c r="A5" s="5" t="s">
        <v>13</v>
      </c>
      <c r="B5" s="14" t="s">
        <v>321</v>
      </c>
    </row>
    <row r="6" spans="1:5" ht="30" customHeight="1" x14ac:dyDescent="0.25">
      <c r="A6" s="5" t="s">
        <v>34</v>
      </c>
      <c r="B6" s="14" t="s">
        <v>184</v>
      </c>
    </row>
    <row r="7" spans="1:5" ht="30" customHeight="1" x14ac:dyDescent="0.25">
      <c r="A7" s="5" t="s">
        <v>14</v>
      </c>
      <c r="B7" s="14" t="s">
        <v>322</v>
      </c>
    </row>
    <row r="8" spans="1:5" ht="30" customHeight="1" x14ac:dyDescent="0.25">
      <c r="A8" s="5" t="s">
        <v>37</v>
      </c>
      <c r="B8" s="107" t="s">
        <v>240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9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3A384-6C7C-4D09-BE74-EEF70E8A6284}">
  <sheetPr codeName="S7"/>
  <dimension ref="B1:J37"/>
  <sheetViews>
    <sheetView showGridLines="0" workbookViewId="0">
      <selection activeCell="G7" sqref="G7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161</v>
      </c>
      <c r="E4" s="45"/>
    </row>
    <row r="5" spans="2:10" ht="18" customHeight="1" x14ac:dyDescent="0.25">
      <c r="B5" s="152" t="s">
        <v>313</v>
      </c>
      <c r="C5" s="1"/>
      <c r="J5" s="5"/>
    </row>
    <row r="6" spans="2:10" ht="18" customHeight="1" x14ac:dyDescent="0.25">
      <c r="B6" s="5" t="s">
        <v>202</v>
      </c>
      <c r="C6" s="53">
        <v>43674.803122800928</v>
      </c>
      <c r="J6" s="5"/>
    </row>
    <row r="7" spans="2:10" ht="18" customHeight="1" x14ac:dyDescent="0.25">
      <c r="B7" s="5" t="s">
        <v>199</v>
      </c>
      <c r="C7" s="2"/>
    </row>
    <row r="8" spans="2:10" ht="18" customHeight="1" x14ac:dyDescent="0.25">
      <c r="B8" s="5" t="s">
        <v>200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162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201</v>
      </c>
      <c r="C13" s="1"/>
    </row>
    <row r="14" spans="2:10" ht="18" customHeight="1" x14ac:dyDescent="0.25">
      <c r="B14" s="152" t="s">
        <v>314</v>
      </c>
      <c r="C14" s="54">
        <v>100</v>
      </c>
    </row>
    <row r="15" spans="2:10" ht="18" customHeight="1" x14ac:dyDescent="0.25">
      <c r="B15" s="152" t="s">
        <v>315</v>
      </c>
      <c r="C15" s="53">
        <v>101</v>
      </c>
    </row>
    <row r="16" spans="2:10" ht="18" customHeight="1" x14ac:dyDescent="0.25">
      <c r="C16" s="1"/>
    </row>
    <row r="17" spans="2:5" ht="18" customHeight="1" x14ac:dyDescent="0.25">
      <c r="B17" s="5" t="s">
        <v>19</v>
      </c>
      <c r="C17" s="52"/>
    </row>
    <row r="18" spans="2:5" ht="18" customHeight="1" x14ac:dyDescent="0.25">
      <c r="B18" s="5" t="s">
        <v>20</v>
      </c>
      <c r="C18" s="53"/>
    </row>
    <row r="19" spans="2:5" ht="18" customHeight="1" x14ac:dyDescent="0.25">
      <c r="B19" s="5" t="s">
        <v>21</v>
      </c>
      <c r="C19" s="53"/>
    </row>
    <row r="20" spans="2:5" ht="18" customHeight="1" x14ac:dyDescent="0.25">
      <c r="B20" s="5" t="s">
        <v>22</v>
      </c>
      <c r="C20" s="1"/>
    </row>
    <row r="21" spans="2:5" ht="18" customHeight="1" x14ac:dyDescent="0.25">
      <c r="C21" s="1"/>
    </row>
    <row r="22" spans="2:5" ht="18" customHeight="1" x14ac:dyDescent="0.25">
      <c r="B22" s="5" t="s">
        <v>23</v>
      </c>
      <c r="C22" s="52"/>
    </row>
    <row r="23" spans="2:5" ht="18" customHeight="1" x14ac:dyDescent="0.25">
      <c r="B23" s="5" t="s">
        <v>24</v>
      </c>
      <c r="C23" s="53"/>
    </row>
    <row r="24" spans="2:5" ht="18" customHeight="1" x14ac:dyDescent="0.25">
      <c r="B24" s="5" t="s">
        <v>25</v>
      </c>
      <c r="C24" s="53"/>
    </row>
    <row r="25" spans="2:5" ht="18" customHeight="1" x14ac:dyDescent="0.25">
      <c r="B25" s="5" t="s">
        <v>26</v>
      </c>
      <c r="C25" s="1"/>
    </row>
    <row r="26" spans="2:5" ht="18" customHeight="1" x14ac:dyDescent="0.25">
      <c r="B26" s="5" t="s">
        <v>7</v>
      </c>
      <c r="C26" s="1"/>
    </row>
    <row r="27" spans="2:5" ht="18" customHeight="1" x14ac:dyDescent="0.25">
      <c r="B27" s="120" t="s">
        <v>275</v>
      </c>
      <c r="C27" s="121"/>
      <c r="D27" s="121"/>
      <c r="E27" s="121"/>
    </row>
    <row r="28" spans="2:5" ht="18" customHeight="1" x14ac:dyDescent="0.25">
      <c r="B28" s="122" t="s">
        <v>276</v>
      </c>
      <c r="C28" s="123" t="s">
        <v>277</v>
      </c>
      <c r="D28" s="121"/>
      <c r="E28" s="121"/>
    </row>
    <row r="29" spans="2:5" ht="18" customHeight="1" x14ac:dyDescent="0.25">
      <c r="B29" s="124" t="s">
        <v>278</v>
      </c>
      <c r="C29" s="121"/>
      <c r="D29" s="121"/>
      <c r="E29" s="121"/>
    </row>
    <row r="30" spans="2:5" ht="18" customHeight="1" x14ac:dyDescent="0.25">
      <c r="B30" s="122" t="s">
        <v>279</v>
      </c>
      <c r="C30" s="123" t="s">
        <v>280</v>
      </c>
      <c r="D30" s="121"/>
      <c r="E30" s="121"/>
    </row>
    <row r="31" spans="2:5" ht="18" customHeight="1" x14ac:dyDescent="0.25">
      <c r="B31" s="122" t="s">
        <v>281</v>
      </c>
      <c r="C31" s="123" t="s">
        <v>282</v>
      </c>
      <c r="D31" s="121"/>
      <c r="E31" s="121"/>
    </row>
    <row r="32" spans="2:5" ht="18" customHeight="1" x14ac:dyDescent="0.25">
      <c r="B32" s="122" t="s">
        <v>283</v>
      </c>
      <c r="C32" s="123" t="s">
        <v>284</v>
      </c>
    </row>
    <row r="35" spans="2:2" ht="18" customHeight="1" x14ac:dyDescent="0.25">
      <c r="B35" s="124" t="s">
        <v>285</v>
      </c>
    </row>
    <row r="36" spans="2:2" ht="18" customHeight="1" x14ac:dyDescent="0.25">
      <c r="B36" s="124" t="s">
        <v>286</v>
      </c>
    </row>
    <row r="37" spans="2:2" ht="18" customHeight="1" x14ac:dyDescent="0.25">
      <c r="B37" s="124" t="s">
        <v>287</v>
      </c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3" r:id="rId4" name="chkOvrRdHw">
          <controlPr autoLine="0" r:id="rId5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33793" r:id="rId4" name="chkOvrRdHw"/>
      </mc:Fallback>
    </mc:AlternateContent>
    <mc:AlternateContent xmlns:mc="http://schemas.openxmlformats.org/markup-compatibility/2006">
      <mc:Choice Requires="x14">
        <control shapeId="33794" r:id="rId6" name="chkStartStop">
          <controlPr autoLine="0" r:id="rId7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33794" r:id="rId6" name="chkStartStop"/>
      </mc:Fallback>
    </mc:AlternateContent>
    <mc:AlternateContent xmlns:mc="http://schemas.openxmlformats.org/markup-compatibility/2006">
      <mc:Choice Requires="x14">
        <control shapeId="33795" r:id="rId8" name="chkHighIdle">
          <controlPr autoLine="0" r:id="rId7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33795" r:id="rId8" name="chkHighIdle"/>
      </mc:Fallback>
    </mc:AlternateContent>
    <mc:AlternateContent xmlns:mc="http://schemas.openxmlformats.org/markup-compatibility/2006">
      <mc:Choice Requires="x14">
        <control shapeId="33796" r:id="rId9" name="chkPreventMaint">
          <controlPr autoLine="0" r:id="rId7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33796" r:id="rId9" name="chkPreventMaint"/>
      </mc:Fallback>
    </mc:AlternateContent>
    <mc:AlternateContent xmlns:mc="http://schemas.openxmlformats.org/markup-compatibility/2006">
      <mc:Choice Requires="x14">
        <control shapeId="33797" r:id="rId10" name="chkHighSootLoad">
          <controlPr autoLine="0" r:id="rId7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33797" r:id="rId10" name="chkHighSootLoad"/>
      </mc:Fallback>
    </mc:AlternateContent>
    <mc:AlternateContent xmlns:mc="http://schemas.openxmlformats.org/markup-compatibility/2006">
      <mc:Choice Requires="x14">
        <control shapeId="33798" r:id="rId11" name="chkEngineFail">
          <controlPr autoLine="0" r:id="rId7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33798" r:id="rId11" name="chkEngineFail"/>
      </mc:Fallback>
    </mc:AlternateContent>
    <mc:AlternateContent xmlns:mc="http://schemas.openxmlformats.org/markup-compatibility/2006">
      <mc:Choice Requires="x14">
        <control shapeId="33799" r:id="rId12" name="cmdSave">
          <controlPr defaultSize="0" autoFill="0" autoLine="0" r:id="rId13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33799" r:id="rId12" name="cmdSave"/>
      </mc:Fallback>
    </mc:AlternateContent>
    <mc:AlternateContent xmlns:mc="http://schemas.openxmlformats.org/markup-compatibility/2006">
      <mc:Choice Requires="x14">
        <control shapeId="33800" r:id="rId14" name="cbDPF">
          <controlPr defaultSize="0" autoFill="0" autoLine="0" r:id="rId15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33800" r:id="rId14" name="cbDPF"/>
      </mc:Fallback>
    </mc:AlternateContent>
    <mc:AlternateContent xmlns:mc="http://schemas.openxmlformats.org/markup-compatibility/2006">
      <mc:Choice Requires="x14">
        <control shapeId="33801" r:id="rId16" name="cbCompany">
          <controlPr defaultSize="0" autoFill="0" autoLine="0" r:id="rId17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33801" r:id="rId16" name="cbCompany"/>
      </mc:Fallback>
    </mc:AlternateContent>
    <mc:AlternateContent xmlns:mc="http://schemas.openxmlformats.org/markup-compatibility/2006">
      <mc:Choice Requires="x14">
        <control shapeId="33802" r:id="rId18" name="cbCompLocation">
          <controlPr defaultSize="0" autoFill="0" autoLine="0" r:id="rId19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33802" r:id="rId18" name="cbCompLocation"/>
      </mc:Fallback>
    </mc:AlternateContent>
    <mc:AlternateContent xmlns:mc="http://schemas.openxmlformats.org/markup-compatibility/2006">
      <mc:Choice Requires="x14">
        <control shapeId="33803" r:id="rId20" name="cbVehicle">
          <controlPr defaultSize="0" autoFill="0" autoLine="0" r:id="rId2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33803" r:id="rId20" name="cbVehicle"/>
      </mc:Fallback>
    </mc:AlternateContent>
    <mc:AlternateContent xmlns:mc="http://schemas.openxmlformats.org/markup-compatibility/2006">
      <mc:Choice Requires="x14">
        <control shapeId="33804" r:id="rId22" name="cbEngine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33804" r:id="rId22" name="cbEngine"/>
      </mc:Fallback>
    </mc:AlternateContent>
    <mc:AlternateContent xmlns:mc="http://schemas.openxmlformats.org/markup-compatibility/2006">
      <mc:Choice Requires="x14">
        <control shapeId="33805" r:id="rId24" name="cbECD">
          <controlPr defaultSize="0" autoFill="0" autoLine="0" r:id="rId25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33805" r:id="rId24" name="cbECD"/>
      </mc:Fallback>
    </mc:AlternateContent>
    <mc:AlternateContent xmlns:mc="http://schemas.openxmlformats.org/markup-compatibility/2006">
      <mc:Choice Requires="x14">
        <control shapeId="33806" r:id="rId26" name="cbDrivingType">
          <controlPr defaultSize="0" autoFill="0" autoLine="0" r:id="rId27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33806" r:id="rId26" name="cbDrivingType"/>
      </mc:Fallback>
    </mc:AlternateContent>
    <mc:AlternateContent xmlns:mc="http://schemas.openxmlformats.org/markup-compatibility/2006">
      <mc:Choice Requires="x14">
        <control shapeId="33807" r:id="rId28" name="cbCleaningReason">
          <controlPr defaultSize="0" autoFill="0" autoLine="0" r:id="rId29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33807" r:id="rId28" name="cbCleaningReason"/>
      </mc:Fallback>
    </mc:AlternateContent>
    <mc:AlternateContent xmlns:mc="http://schemas.openxmlformats.org/markup-compatibility/2006">
      <mc:Choice Requires="x14">
        <control shapeId="33808" r:id="rId30" name="cmdMenu">
          <controlPr autoLine="0" r:id="rId31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33808" r:id="rId30" name="cmdMenu"/>
      </mc:Fallback>
    </mc:AlternateContent>
    <mc:AlternateContent xmlns:mc="http://schemas.openxmlformats.org/markup-compatibility/2006">
      <mc:Choice Requires="x14">
        <control shapeId="33809" r:id="rId32" name="cbBillingCompany">
          <controlPr defaultSize="0" autoFill="0" autoLine="0" r:id="rId3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33809" r:id="rId32" name="cbBillingCompany"/>
      </mc:Fallback>
    </mc:AlternateContent>
    <mc:AlternateContent xmlns:mc="http://schemas.openxmlformats.org/markup-compatibility/2006">
      <mc:Choice Requires="x14">
        <control shapeId="33810" r:id="rId34" name="cbSalesID">
          <controlPr defaultSize="0" autoFill="0" autoLine="0" r:id="rId3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33810" r:id="rId34" name="cbSalesID"/>
      </mc:Fallback>
    </mc:AlternateContent>
    <mc:AlternateContent xmlns:mc="http://schemas.openxmlformats.org/markup-compatibility/2006">
      <mc:Choice Requires="x14">
        <control shapeId="33811" r:id="rId36" name="cmdVehicle">
          <controlPr defaultSize="0" autoLine="0" r:id="rId37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33811" r:id="rId36" name="cmdVehicle"/>
      </mc:Fallback>
    </mc:AlternateContent>
    <mc:AlternateContent xmlns:mc="http://schemas.openxmlformats.org/markup-compatibility/2006">
      <mc:Choice Requires="x14">
        <control shapeId="33812" r:id="rId38" name="cmdEngine">
          <controlPr defaultSize="0" autoLine="0" r:id="rId39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33812" r:id="rId38" name="cmdEngine"/>
      </mc:Fallback>
    </mc:AlternateContent>
    <mc:AlternateContent xmlns:mc="http://schemas.openxmlformats.org/markup-compatibility/2006">
      <mc:Choice Requires="x14">
        <control shapeId="33813" r:id="rId40" name="cmdECD">
          <controlPr defaultSize="0" autoLine="0" r:id="rId41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33813" r:id="rId40" name="cmdECD"/>
      </mc:Fallback>
    </mc:AlternateContent>
    <mc:AlternateContent xmlns:mc="http://schemas.openxmlformats.org/markup-compatibility/2006">
      <mc:Choice Requires="x14">
        <control shapeId="33814" r:id="rId42" name="cmdQuality">
          <controlPr defaultSize="0" autoLine="0" altText="" r:id="rId43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33814" r:id="rId42" name="cmdQuality"/>
      </mc:Fallback>
    </mc:AlternateContent>
    <mc:AlternateContent xmlns:mc="http://schemas.openxmlformats.org/markup-compatibility/2006">
      <mc:Choice Requires="x14">
        <control shapeId="33815" r:id="rId44" name="cmdQAProcess">
          <controlPr defaultSize="0" autoLine="0" r:id="rId45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33815" r:id="rId44" name="cmdQAProcess"/>
      </mc:Fallback>
    </mc:AlternateContent>
    <mc:AlternateContent xmlns:mc="http://schemas.openxmlformats.org/markup-compatibility/2006">
      <mc:Choice Requires="x14">
        <control shapeId="33816" r:id="rId46" name="cmdReport">
          <controlPr defaultSize="0" autoLine="0" altText="" r:id="rId47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33816" r:id="rId46" name="cmdReport"/>
      </mc:Fallback>
    </mc:AlternateContent>
    <mc:AlternateContent xmlns:mc="http://schemas.openxmlformats.org/markup-compatibility/2006">
      <mc:Choice Requires="x14">
        <control shapeId="33817" r:id="rId48" name="txtTrackingNo">
          <controlPr defaultSize="0" autoLine="0" r:id="rId49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33817" r:id="rId48" name="txtTrackingNo"/>
      </mc:Fallback>
    </mc:AlternateContent>
    <mc:AlternateContent xmlns:mc="http://schemas.openxmlformats.org/markup-compatibility/2006">
      <mc:Choice Requires="x14">
        <control shapeId="33818" r:id="rId50" name="txtContact">
          <controlPr defaultSize="0" autoLine="0" r:id="rId51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33818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84</v>
      </c>
      <c r="B1" t="s">
        <v>117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126</v>
      </c>
      <c r="L1" t="s">
        <v>127</v>
      </c>
      <c r="M1" t="s">
        <v>128</v>
      </c>
      <c r="N1" t="s">
        <v>129</v>
      </c>
      <c r="O1" t="s">
        <v>130</v>
      </c>
      <c r="P1" t="s">
        <v>131</v>
      </c>
      <c r="Q1" t="s">
        <v>132</v>
      </c>
      <c r="R1" t="s">
        <v>133</v>
      </c>
      <c r="S1" t="s">
        <v>134</v>
      </c>
      <c r="T1" t="s">
        <v>135</v>
      </c>
      <c r="U1" t="s">
        <v>136</v>
      </c>
      <c r="V1" t="s">
        <v>137</v>
      </c>
      <c r="W1" t="s">
        <v>138</v>
      </c>
      <c r="X1" t="s">
        <v>139</v>
      </c>
      <c r="Y1" t="s">
        <v>140</v>
      </c>
      <c r="Z1" t="s">
        <v>141</v>
      </c>
      <c r="AA1" t="s">
        <v>142</v>
      </c>
      <c r="AB1" t="s">
        <v>143</v>
      </c>
      <c r="AC1" t="s">
        <v>144</v>
      </c>
      <c r="AD1" t="s">
        <v>145</v>
      </c>
      <c r="AE1" t="s">
        <v>146</v>
      </c>
      <c r="AF1" t="s">
        <v>147</v>
      </c>
      <c r="AG1" t="s">
        <v>148</v>
      </c>
      <c r="AH1" t="s">
        <v>149</v>
      </c>
      <c r="AI1" t="s">
        <v>150</v>
      </c>
      <c r="AJ1" t="s">
        <v>151</v>
      </c>
      <c r="AK1" t="s">
        <v>84</v>
      </c>
      <c r="AL1" t="s">
        <v>186</v>
      </c>
      <c r="AM1" t="s">
        <v>154</v>
      </c>
      <c r="AN1" t="s">
        <v>209</v>
      </c>
      <c r="AO1" t="s">
        <v>155</v>
      </c>
      <c r="AP1" t="s">
        <v>85</v>
      </c>
      <c r="AQ1" t="s">
        <v>86</v>
      </c>
      <c r="AR1" t="s">
        <v>87</v>
      </c>
      <c r="AS1" t="s">
        <v>156</v>
      </c>
      <c r="AT1" t="s">
        <v>88</v>
      </c>
      <c r="AU1" t="s">
        <v>89</v>
      </c>
      <c r="AV1" t="s">
        <v>90</v>
      </c>
      <c r="AW1" t="s">
        <v>157</v>
      </c>
      <c r="AX1" t="s">
        <v>187</v>
      </c>
      <c r="AY1" t="s">
        <v>188</v>
      </c>
      <c r="AZ1" t="s">
        <v>165</v>
      </c>
      <c r="BA1" t="s">
        <v>163</v>
      </c>
      <c r="BB1" t="s">
        <v>189</v>
      </c>
      <c r="BC1" t="s">
        <v>92</v>
      </c>
      <c r="BD1" t="s">
        <v>93</v>
      </c>
      <c r="BE1" t="s">
        <v>94</v>
      </c>
      <c r="BF1" t="s">
        <v>95</v>
      </c>
      <c r="BG1" t="s">
        <v>164</v>
      </c>
      <c r="BH1" t="s">
        <v>91</v>
      </c>
      <c r="BI1" t="s">
        <v>189</v>
      </c>
      <c r="BJ1" t="s">
        <v>96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96</v>
      </c>
      <c r="BQ1" t="s">
        <v>28</v>
      </c>
      <c r="BR1" t="s">
        <v>2</v>
      </c>
      <c r="BS1" t="s">
        <v>4</v>
      </c>
      <c r="BT1" t="s">
        <v>3</v>
      </c>
      <c r="BU1" t="s">
        <v>97</v>
      </c>
      <c r="BV1" t="s">
        <v>98</v>
      </c>
      <c r="BW1" t="s">
        <v>14</v>
      </c>
      <c r="BX1" t="s">
        <v>10</v>
      </c>
      <c r="BY1" t="s">
        <v>11</v>
      </c>
      <c r="BZ1" t="s">
        <v>190</v>
      </c>
      <c r="CA1" t="s">
        <v>191</v>
      </c>
      <c r="CB1" t="s">
        <v>14</v>
      </c>
      <c r="CC1" t="s">
        <v>97</v>
      </c>
      <c r="CD1" t="s">
        <v>10</v>
      </c>
      <c r="CE1" t="s">
        <v>11</v>
      </c>
      <c r="CF1" t="s">
        <v>99</v>
      </c>
      <c r="CG1" t="s">
        <v>217</v>
      </c>
      <c r="CH1" t="s">
        <v>100</v>
      </c>
      <c r="CI1" t="s">
        <v>101</v>
      </c>
      <c r="CJ1" t="s">
        <v>102</v>
      </c>
      <c r="CK1" t="s">
        <v>97</v>
      </c>
      <c r="CL1" t="s">
        <v>103</v>
      </c>
      <c r="CM1" t="s">
        <v>104</v>
      </c>
      <c r="CN1" t="s">
        <v>105</v>
      </c>
      <c r="CO1" t="s">
        <v>106</v>
      </c>
      <c r="CP1" t="s">
        <v>107</v>
      </c>
      <c r="CQ1" t="s">
        <v>210</v>
      </c>
      <c r="CR1" t="s">
        <v>218</v>
      </c>
      <c r="CS1" t="s">
        <v>211</v>
      </c>
      <c r="CT1" t="s">
        <v>219</v>
      </c>
      <c r="CU1" t="s">
        <v>212</v>
      </c>
      <c r="CV1" t="s">
        <v>213</v>
      </c>
      <c r="CW1" t="s">
        <v>220</v>
      </c>
      <c r="CX1" t="s">
        <v>110</v>
      </c>
      <c r="CY1" t="s">
        <v>111</v>
      </c>
      <c r="CZ1" t="s">
        <v>112</v>
      </c>
      <c r="DA1" t="s">
        <v>113</v>
      </c>
      <c r="DB1" t="s">
        <v>171</v>
      </c>
      <c r="DC1" t="s">
        <v>172</v>
      </c>
      <c r="DD1" t="s">
        <v>173</v>
      </c>
      <c r="DE1" t="s">
        <v>174</v>
      </c>
      <c r="DF1" t="s">
        <v>114</v>
      </c>
      <c r="DG1" t="s">
        <v>115</v>
      </c>
      <c r="DH1" t="s">
        <v>116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221</v>
      </c>
      <c r="AM2" t="s">
        <v>222</v>
      </c>
      <c r="AN2" t="s">
        <v>223</v>
      </c>
      <c r="AO2">
        <v>0</v>
      </c>
      <c r="AP2" t="b">
        <v>1</v>
      </c>
      <c r="AQ2" t="b">
        <v>0</v>
      </c>
      <c r="AR2" t="b">
        <v>0</v>
      </c>
      <c r="AS2" t="s">
        <v>224</v>
      </c>
      <c r="AT2" t="b">
        <v>1</v>
      </c>
      <c r="AU2" t="b">
        <v>0</v>
      </c>
      <c r="AV2" t="b">
        <v>0</v>
      </c>
      <c r="AW2" t="s">
        <v>225</v>
      </c>
      <c r="AX2">
        <v>2121</v>
      </c>
      <c r="AY2" s="36">
        <v>1212</v>
      </c>
      <c r="AZ2" s="36">
        <v>43608.71115127315</v>
      </c>
      <c r="BA2" t="s">
        <v>178</v>
      </c>
      <c r="BB2" t="s">
        <v>182</v>
      </c>
      <c r="BC2" t="s">
        <v>179</v>
      </c>
      <c r="BE2" t="s">
        <v>180</v>
      </c>
      <c r="BF2" t="s">
        <v>181</v>
      </c>
      <c r="BG2" t="s">
        <v>226</v>
      </c>
      <c r="BH2" t="s">
        <v>178</v>
      </c>
      <c r="BI2" t="s">
        <v>182</v>
      </c>
      <c r="BJ2" t="s">
        <v>179</v>
      </c>
      <c r="BL2" t="s">
        <v>180</v>
      </c>
      <c r="BM2" t="s">
        <v>181</v>
      </c>
      <c r="BN2" t="s">
        <v>226</v>
      </c>
      <c r="BO2" t="s">
        <v>179</v>
      </c>
      <c r="BP2" t="s">
        <v>179</v>
      </c>
      <c r="BR2" t="s">
        <v>180</v>
      </c>
      <c r="BS2" t="s">
        <v>192</v>
      </c>
      <c r="BT2" t="s">
        <v>226</v>
      </c>
      <c r="BU2" t="s">
        <v>214</v>
      </c>
      <c r="BV2" t="s">
        <v>215</v>
      </c>
      <c r="BW2" t="s">
        <v>108</v>
      </c>
      <c r="BX2" t="s">
        <v>216</v>
      </c>
      <c r="BY2">
        <v>2019</v>
      </c>
      <c r="BZ2">
        <v>0</v>
      </c>
      <c r="CA2">
        <v>0</v>
      </c>
      <c r="CB2" t="s">
        <v>108</v>
      </c>
      <c r="CC2" t="s">
        <v>227</v>
      </c>
      <c r="CD2" t="s">
        <v>228</v>
      </c>
      <c r="CE2">
        <v>2016</v>
      </c>
      <c r="CF2" s="110" t="s">
        <v>206</v>
      </c>
      <c r="CG2" t="s">
        <v>108</v>
      </c>
      <c r="CH2" s="110" t="s">
        <v>109</v>
      </c>
      <c r="CI2">
        <v>0</v>
      </c>
      <c r="CJ2" s="110" t="s">
        <v>208</v>
      </c>
      <c r="CK2" t="s">
        <v>207</v>
      </c>
      <c r="CM2" s="110">
        <v>13</v>
      </c>
      <c r="CN2">
        <v>12</v>
      </c>
      <c r="CO2">
        <v>12</v>
      </c>
      <c r="CP2">
        <v>11</v>
      </c>
      <c r="CQ2" t="s">
        <v>229</v>
      </c>
      <c r="CR2" t="s">
        <v>230</v>
      </c>
      <c r="CS2" t="s">
        <v>231</v>
      </c>
      <c r="CT2" t="s">
        <v>232</v>
      </c>
      <c r="CU2" t="s">
        <v>233</v>
      </c>
      <c r="CV2" t="s">
        <v>234</v>
      </c>
      <c r="CW2" t="s">
        <v>235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221</v>
      </c>
      <c r="AM3" t="s">
        <v>222</v>
      </c>
      <c r="AN3" t="s">
        <v>223</v>
      </c>
      <c r="AO3">
        <v>0</v>
      </c>
      <c r="AP3" t="b">
        <v>1</v>
      </c>
      <c r="AQ3" t="b">
        <v>0</v>
      </c>
      <c r="AR3" t="b">
        <v>0</v>
      </c>
      <c r="AS3" t="s">
        <v>224</v>
      </c>
      <c r="AT3" t="b">
        <v>1</v>
      </c>
      <c r="AU3" t="b">
        <v>0</v>
      </c>
      <c r="AV3" t="b">
        <v>0</v>
      </c>
      <c r="AW3" t="s">
        <v>225</v>
      </c>
      <c r="AX3">
        <v>2121</v>
      </c>
      <c r="AY3" s="36">
        <v>1212</v>
      </c>
      <c r="AZ3" s="36">
        <v>43608.71115127315</v>
      </c>
      <c r="BA3" t="s">
        <v>178</v>
      </c>
      <c r="BB3" t="s">
        <v>182</v>
      </c>
      <c r="BC3" t="s">
        <v>179</v>
      </c>
      <c r="BE3" t="s">
        <v>180</v>
      </c>
      <c r="BF3" t="s">
        <v>181</v>
      </c>
      <c r="BG3" t="s">
        <v>226</v>
      </c>
      <c r="BH3" t="s">
        <v>178</v>
      </c>
      <c r="BI3" t="s">
        <v>182</v>
      </c>
      <c r="BJ3" t="s">
        <v>179</v>
      </c>
      <c r="BL3" t="s">
        <v>180</v>
      </c>
      <c r="BM3" t="s">
        <v>181</v>
      </c>
      <c r="BN3" t="s">
        <v>226</v>
      </c>
      <c r="BO3" t="s">
        <v>179</v>
      </c>
      <c r="BP3" t="s">
        <v>179</v>
      </c>
      <c r="BR3" t="s">
        <v>180</v>
      </c>
      <c r="BS3" t="s">
        <v>192</v>
      </c>
      <c r="BT3" t="s">
        <v>226</v>
      </c>
      <c r="BU3" t="s">
        <v>214</v>
      </c>
      <c r="BV3" t="s">
        <v>215</v>
      </c>
      <c r="BW3" t="s">
        <v>108</v>
      </c>
      <c r="BX3" t="s">
        <v>216</v>
      </c>
      <c r="BY3">
        <v>2019</v>
      </c>
      <c r="BZ3">
        <v>0</v>
      </c>
      <c r="CA3">
        <v>0</v>
      </c>
      <c r="CB3" t="s">
        <v>108</v>
      </c>
      <c r="CC3" t="s">
        <v>227</v>
      </c>
      <c r="CD3" t="s">
        <v>228</v>
      </c>
      <c r="CE3">
        <v>2016</v>
      </c>
      <c r="CF3" s="110" t="s">
        <v>206</v>
      </c>
      <c r="CG3" t="s">
        <v>108</v>
      </c>
      <c r="CH3" s="110" t="s">
        <v>109</v>
      </c>
      <c r="CI3">
        <v>0</v>
      </c>
      <c r="CJ3" s="110" t="s">
        <v>208</v>
      </c>
      <c r="CK3" t="s">
        <v>207</v>
      </c>
      <c r="CM3" s="110">
        <v>13</v>
      </c>
      <c r="CN3">
        <v>12</v>
      </c>
      <c r="CO3">
        <v>12</v>
      </c>
      <c r="CP3">
        <v>11</v>
      </c>
      <c r="CQ3" t="s">
        <v>229</v>
      </c>
      <c r="CR3" t="s">
        <v>230</v>
      </c>
      <c r="CS3" t="s">
        <v>231</v>
      </c>
      <c r="CT3" t="s">
        <v>232</v>
      </c>
      <c r="CU3" t="s">
        <v>233</v>
      </c>
      <c r="CV3" t="s">
        <v>234</v>
      </c>
      <c r="CW3" t="s">
        <v>235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221</v>
      </c>
      <c r="AM4" t="s">
        <v>222</v>
      </c>
      <c r="AN4" t="s">
        <v>223</v>
      </c>
      <c r="AO4">
        <v>0</v>
      </c>
      <c r="AP4" t="b">
        <v>1</v>
      </c>
      <c r="AQ4" t="b">
        <v>0</v>
      </c>
      <c r="AR4" t="b">
        <v>0</v>
      </c>
      <c r="AS4" t="s">
        <v>224</v>
      </c>
      <c r="AT4" t="b">
        <v>1</v>
      </c>
      <c r="AU4" t="b">
        <v>0</v>
      </c>
      <c r="AV4" t="b">
        <v>0</v>
      </c>
      <c r="AW4" t="s">
        <v>225</v>
      </c>
      <c r="AX4">
        <v>2121</v>
      </c>
      <c r="AY4" s="36">
        <v>1212</v>
      </c>
      <c r="AZ4" s="36">
        <v>43608.71115127315</v>
      </c>
      <c r="BA4" t="s">
        <v>178</v>
      </c>
      <c r="BB4" t="s">
        <v>182</v>
      </c>
      <c r="BC4" t="s">
        <v>179</v>
      </c>
      <c r="BE4" t="s">
        <v>180</v>
      </c>
      <c r="BF4" t="s">
        <v>181</v>
      </c>
      <c r="BG4" t="s">
        <v>226</v>
      </c>
      <c r="BH4" t="s">
        <v>178</v>
      </c>
      <c r="BI4" t="s">
        <v>182</v>
      </c>
      <c r="BJ4" t="s">
        <v>179</v>
      </c>
      <c r="BL4" t="s">
        <v>180</v>
      </c>
      <c r="BM4" t="s">
        <v>181</v>
      </c>
      <c r="BN4" t="s">
        <v>226</v>
      </c>
      <c r="BO4" t="s">
        <v>179</v>
      </c>
      <c r="BP4" t="s">
        <v>179</v>
      </c>
      <c r="BR4" t="s">
        <v>180</v>
      </c>
      <c r="BS4" t="s">
        <v>192</v>
      </c>
      <c r="BT4" t="s">
        <v>226</v>
      </c>
      <c r="BU4" t="s">
        <v>214</v>
      </c>
      <c r="BV4" t="s">
        <v>215</v>
      </c>
      <c r="BW4" t="s">
        <v>108</v>
      </c>
      <c r="BX4" t="s">
        <v>216</v>
      </c>
      <c r="BY4">
        <v>2019</v>
      </c>
      <c r="BZ4">
        <v>0</v>
      </c>
      <c r="CA4">
        <v>0</v>
      </c>
      <c r="CB4" t="s">
        <v>108</v>
      </c>
      <c r="CC4" t="s">
        <v>227</v>
      </c>
      <c r="CD4" t="s">
        <v>228</v>
      </c>
      <c r="CE4">
        <v>2016</v>
      </c>
      <c r="CF4" s="110" t="s">
        <v>206</v>
      </c>
      <c r="CG4" t="s">
        <v>108</v>
      </c>
      <c r="CH4" s="110" t="s">
        <v>109</v>
      </c>
      <c r="CI4">
        <v>0</v>
      </c>
      <c r="CJ4" s="110" t="s">
        <v>208</v>
      </c>
      <c r="CK4" t="s">
        <v>207</v>
      </c>
      <c r="CM4" s="110">
        <v>13</v>
      </c>
      <c r="CN4">
        <v>12</v>
      </c>
      <c r="CO4">
        <v>12</v>
      </c>
      <c r="CP4">
        <v>11</v>
      </c>
      <c r="CQ4" t="s">
        <v>229</v>
      </c>
      <c r="CR4" t="s">
        <v>230</v>
      </c>
      <c r="CS4" t="s">
        <v>231</v>
      </c>
      <c r="CT4" t="s">
        <v>232</v>
      </c>
      <c r="CU4" t="s">
        <v>233</v>
      </c>
      <c r="CV4" t="s">
        <v>234</v>
      </c>
      <c r="CW4" t="s">
        <v>235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2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5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3" t="s">
        <v>250</v>
      </c>
      <c r="C12" s="25" t="s">
        <v>245</v>
      </c>
      <c r="D12" s="113" t="s">
        <v>244</v>
      </c>
      <c r="E12" s="114" t="s">
        <v>246</v>
      </c>
      <c r="F12" s="116" t="s">
        <v>247</v>
      </c>
      <c r="G12" s="25" t="s">
        <v>248</v>
      </c>
      <c r="H12" s="25" t="s">
        <v>249</v>
      </c>
    </row>
    <row r="13" spans="2:8" x14ac:dyDescent="0.25">
      <c r="B13" s="19">
        <v>9</v>
      </c>
      <c r="C13" s="112" t="s">
        <v>252</v>
      </c>
      <c r="D13" s="19">
        <v>22</v>
      </c>
      <c r="F13" s="2">
        <v>43554.784374768518</v>
      </c>
      <c r="G13" t="s">
        <v>178</v>
      </c>
      <c r="H13" t="s">
        <v>178</v>
      </c>
    </row>
    <row r="14" spans="2:8" x14ac:dyDescent="0.25">
      <c r="B14" s="19">
        <v>8</v>
      </c>
      <c r="C14" s="112" t="s">
        <v>253</v>
      </c>
      <c r="D14" s="19">
        <v>21</v>
      </c>
      <c r="F14" s="2">
        <v>43554.782228321761</v>
      </c>
      <c r="G14" t="s">
        <v>178</v>
      </c>
      <c r="H14" t="s">
        <v>178</v>
      </c>
    </row>
    <row r="15" spans="2:8" x14ac:dyDescent="0.25">
      <c r="B15" s="19">
        <v>7</v>
      </c>
      <c r="C15" s="112" t="s">
        <v>254</v>
      </c>
      <c r="D15" s="19">
        <v>20</v>
      </c>
      <c r="F15" s="2">
        <v>43554.782133298613</v>
      </c>
      <c r="G15" t="s">
        <v>178</v>
      </c>
      <c r="H15" t="s">
        <v>178</v>
      </c>
    </row>
    <row r="16" spans="2:8" x14ac:dyDescent="0.25">
      <c r="B16" s="19">
        <v>6</v>
      </c>
      <c r="C16" s="112" t="s">
        <v>255</v>
      </c>
      <c r="D16" s="19">
        <v>19</v>
      </c>
      <c r="F16" s="2">
        <v>43554.781524189813</v>
      </c>
      <c r="G16" t="s">
        <v>178</v>
      </c>
      <c r="H16" t="s">
        <v>178</v>
      </c>
    </row>
    <row r="17" spans="2:8" x14ac:dyDescent="0.25">
      <c r="B17" s="19">
        <v>35</v>
      </c>
      <c r="C17" s="112" t="s">
        <v>256</v>
      </c>
      <c r="D17" s="19">
        <v>41</v>
      </c>
      <c r="F17" s="2">
        <v>43607.795680439813</v>
      </c>
      <c r="G17" t="s">
        <v>257</v>
      </c>
      <c r="H17" t="s">
        <v>258</v>
      </c>
    </row>
    <row r="18" spans="2:8" ht="15.95" customHeight="1" x14ac:dyDescent="0.25">
      <c r="B18" s="19">
        <v>35</v>
      </c>
      <c r="C18" s="112" t="s">
        <v>256</v>
      </c>
      <c r="D18" s="19">
        <v>42</v>
      </c>
      <c r="F18" s="2">
        <v>43607.808764930553</v>
      </c>
      <c r="G18" t="s">
        <v>257</v>
      </c>
      <c r="H18" t="s">
        <v>258</v>
      </c>
    </row>
    <row r="19" spans="2:8" x14ac:dyDescent="0.25">
      <c r="B19" s="19">
        <v>13</v>
      </c>
      <c r="C19" s="112" t="s">
        <v>259</v>
      </c>
      <c r="D19" s="19">
        <v>26</v>
      </c>
      <c r="F19" s="2">
        <v>43555.732841979167</v>
      </c>
      <c r="G19" t="s">
        <v>178</v>
      </c>
      <c r="H19" t="s">
        <v>178</v>
      </c>
    </row>
    <row r="20" spans="2:8" x14ac:dyDescent="0.25">
      <c r="B20" s="19">
        <v>12</v>
      </c>
      <c r="C20" s="112" t="s">
        <v>260</v>
      </c>
      <c r="D20" s="19">
        <v>25</v>
      </c>
      <c r="F20" s="2">
        <v>43555.731991932873</v>
      </c>
      <c r="G20" t="s">
        <v>178</v>
      </c>
      <c r="H20" t="s">
        <v>178</v>
      </c>
    </row>
    <row r="21" spans="2:8" x14ac:dyDescent="0.25">
      <c r="B21" s="19">
        <v>11</v>
      </c>
      <c r="C21" s="112" t="s">
        <v>261</v>
      </c>
      <c r="D21" s="19">
        <v>24</v>
      </c>
      <c r="F21" s="2">
        <v>43555.721536655095</v>
      </c>
      <c r="G21" t="s">
        <v>178</v>
      </c>
      <c r="H21" t="s">
        <v>178</v>
      </c>
    </row>
    <row r="22" spans="2:8" x14ac:dyDescent="0.25">
      <c r="B22" s="19">
        <v>10</v>
      </c>
      <c r="C22" s="112" t="s">
        <v>262</v>
      </c>
      <c r="D22" s="19">
        <v>23</v>
      </c>
      <c r="F22" s="2">
        <v>43554.786333530094</v>
      </c>
      <c r="G22" t="s">
        <v>178</v>
      </c>
      <c r="H22" t="s">
        <v>178</v>
      </c>
    </row>
    <row r="23" spans="2:8" x14ac:dyDescent="0.25">
      <c r="B23" s="19">
        <v>39</v>
      </c>
      <c r="C23" s="112" t="s">
        <v>221</v>
      </c>
      <c r="D23" s="19">
        <v>47</v>
      </c>
      <c r="E23" s="2" t="s">
        <v>223</v>
      </c>
      <c r="F23" s="2">
        <v>43608.71115127315</v>
      </c>
      <c r="G23" t="s">
        <v>178</v>
      </c>
      <c r="H23" t="s">
        <v>178</v>
      </c>
    </row>
    <row r="24" spans="2:8" x14ac:dyDescent="0.25">
      <c r="B24" s="19">
        <v>39</v>
      </c>
      <c r="C24" s="112" t="s">
        <v>221</v>
      </c>
      <c r="D24" s="19">
        <v>52</v>
      </c>
      <c r="E24" s="2" t="s">
        <v>223</v>
      </c>
      <c r="F24" s="2">
        <v>43641.855874421293</v>
      </c>
      <c r="G24" t="s">
        <v>178</v>
      </c>
      <c r="H24" t="s">
        <v>178</v>
      </c>
    </row>
    <row r="25" spans="2:8" x14ac:dyDescent="0.25">
      <c r="B25" s="19">
        <v>37</v>
      </c>
      <c r="C25" s="112" t="s">
        <v>263</v>
      </c>
      <c r="D25" s="19">
        <v>53</v>
      </c>
      <c r="F25" s="2">
        <v>43641.856067395835</v>
      </c>
      <c r="G25" t="s">
        <v>178</v>
      </c>
      <c r="H25" t="s">
        <v>178</v>
      </c>
    </row>
    <row r="26" spans="2:8" x14ac:dyDescent="0.25">
      <c r="B26" s="19">
        <v>37</v>
      </c>
      <c r="C26" s="112" t="s">
        <v>263</v>
      </c>
      <c r="D26" s="19">
        <v>44</v>
      </c>
      <c r="F26" s="2">
        <v>43608.687795104168</v>
      </c>
      <c r="G26" t="s">
        <v>178</v>
      </c>
      <c r="H26" t="s">
        <v>178</v>
      </c>
    </row>
    <row r="27" spans="2:8" x14ac:dyDescent="0.25">
      <c r="B27" s="19">
        <v>36</v>
      </c>
      <c r="C27" s="112" t="s">
        <v>264</v>
      </c>
      <c r="D27" s="19">
        <v>43</v>
      </c>
      <c r="F27" s="2">
        <v>43608.681211226853</v>
      </c>
      <c r="G27" t="s">
        <v>178</v>
      </c>
      <c r="H27" t="s">
        <v>178</v>
      </c>
    </row>
    <row r="28" spans="2:8" x14ac:dyDescent="0.25">
      <c r="B28" s="19">
        <v>34</v>
      </c>
      <c r="C28" s="112" t="s">
        <v>265</v>
      </c>
      <c r="D28" s="19">
        <v>40</v>
      </c>
      <c r="F28" s="2">
        <v>43607.790823958334</v>
      </c>
      <c r="G28" t="s">
        <v>266</v>
      </c>
      <c r="H28" t="s">
        <v>178</v>
      </c>
    </row>
    <row r="29" spans="2:8" x14ac:dyDescent="0.25">
      <c r="B29" s="19">
        <v>33</v>
      </c>
      <c r="C29" s="112" t="s">
        <v>267</v>
      </c>
      <c r="D29" s="19">
        <v>39</v>
      </c>
      <c r="F29" s="2">
        <v>43607.79031369213</v>
      </c>
      <c r="G29" t="s">
        <v>268</v>
      </c>
      <c r="H29" t="s">
        <v>178</v>
      </c>
    </row>
    <row r="30" spans="2:8" x14ac:dyDescent="0.25">
      <c r="B30" s="19">
        <v>32</v>
      </c>
      <c r="C30" s="112" t="s">
        <v>269</v>
      </c>
      <c r="D30" s="19">
        <v>36</v>
      </c>
      <c r="F30" s="2">
        <v>43597.715333796295</v>
      </c>
      <c r="G30" t="s">
        <v>178</v>
      </c>
      <c r="H30" t="s">
        <v>178</v>
      </c>
    </row>
    <row r="31" spans="2:8" x14ac:dyDescent="0.25">
      <c r="B31" s="19">
        <v>32</v>
      </c>
      <c r="C31" s="112" t="s">
        <v>269</v>
      </c>
      <c r="D31" s="19">
        <v>37</v>
      </c>
      <c r="F31" s="2">
        <v>43597.720580127316</v>
      </c>
      <c r="G31" t="s">
        <v>178</v>
      </c>
      <c r="H31" t="s">
        <v>178</v>
      </c>
    </row>
    <row r="32" spans="2:8" x14ac:dyDescent="0.25">
      <c r="B32" s="19">
        <v>31</v>
      </c>
      <c r="C32" s="112" t="s">
        <v>270</v>
      </c>
      <c r="D32" s="19">
        <v>38</v>
      </c>
      <c r="F32" s="2">
        <v>43604.774235613426</v>
      </c>
      <c r="G32" t="s">
        <v>178</v>
      </c>
      <c r="H32" t="s">
        <v>178</v>
      </c>
    </row>
    <row r="33" spans="2:8" x14ac:dyDescent="0.25">
      <c r="B33" s="19">
        <v>31</v>
      </c>
      <c r="C33" s="112" t="s">
        <v>270</v>
      </c>
      <c r="D33" s="19">
        <v>34</v>
      </c>
      <c r="F33" s="2">
        <v>43590.760459606485</v>
      </c>
      <c r="G33" t="s">
        <v>178</v>
      </c>
      <c r="H33" t="s">
        <v>178</v>
      </c>
    </row>
    <row r="34" spans="2:8" x14ac:dyDescent="0.25">
      <c r="B34" s="19">
        <v>31</v>
      </c>
      <c r="C34" s="112" t="s">
        <v>270</v>
      </c>
      <c r="D34" s="19">
        <v>35</v>
      </c>
      <c r="F34" s="2">
        <v>43590.825798067126</v>
      </c>
      <c r="G34" t="s">
        <v>178</v>
      </c>
      <c r="H34" t="s">
        <v>178</v>
      </c>
    </row>
    <row r="35" spans="2:8" x14ac:dyDescent="0.25">
      <c r="B35" s="19">
        <v>30</v>
      </c>
      <c r="C35" s="112" t="s">
        <v>271</v>
      </c>
      <c r="D35" s="19">
        <v>33</v>
      </c>
      <c r="F35" s="2">
        <v>43590.760064780094</v>
      </c>
      <c r="G35" t="s">
        <v>178</v>
      </c>
      <c r="H35" t="s">
        <v>178</v>
      </c>
    </row>
    <row r="36" spans="2:8" x14ac:dyDescent="0.25">
      <c r="B36" s="19">
        <v>16</v>
      </c>
      <c r="C36" s="112" t="s">
        <v>272</v>
      </c>
      <c r="D36" s="19">
        <v>31</v>
      </c>
      <c r="F36" s="2">
        <v>43562.717906944446</v>
      </c>
      <c r="G36" t="s">
        <v>178</v>
      </c>
      <c r="H36" t="s">
        <v>178</v>
      </c>
    </row>
    <row r="37" spans="2:8" x14ac:dyDescent="0.25">
      <c r="B37" s="19">
        <v>16</v>
      </c>
      <c r="C37" s="112" t="s">
        <v>272</v>
      </c>
      <c r="D37" s="19">
        <v>32</v>
      </c>
      <c r="F37" s="2">
        <v>43569.762119016203</v>
      </c>
      <c r="G37" t="s">
        <v>178</v>
      </c>
      <c r="H37" t="s">
        <v>178</v>
      </c>
    </row>
    <row r="38" spans="2:8" x14ac:dyDescent="0.25">
      <c r="B38" s="19">
        <v>15</v>
      </c>
      <c r="C38" s="112" t="s">
        <v>273</v>
      </c>
      <c r="D38" s="19">
        <v>30</v>
      </c>
      <c r="F38" s="2">
        <v>43555.750073877316</v>
      </c>
      <c r="G38" t="s">
        <v>178</v>
      </c>
      <c r="H38" t="s">
        <v>178</v>
      </c>
    </row>
    <row r="39" spans="2:8" x14ac:dyDescent="0.25">
      <c r="B39" s="19">
        <v>14</v>
      </c>
      <c r="C39" s="112" t="s">
        <v>274</v>
      </c>
      <c r="D39" s="19">
        <v>27</v>
      </c>
      <c r="F39" s="2">
        <v>43555.736252858798</v>
      </c>
      <c r="G39" t="s">
        <v>178</v>
      </c>
      <c r="H39" t="s">
        <v>178</v>
      </c>
    </row>
    <row r="40" spans="2:8" x14ac:dyDescent="0.25">
      <c r="B40" s="19">
        <v>14</v>
      </c>
      <c r="C40" s="112" t="s">
        <v>274</v>
      </c>
      <c r="D40" s="19">
        <v>28</v>
      </c>
      <c r="F40" s="2">
        <v>43555.738319942131</v>
      </c>
      <c r="G40" t="s">
        <v>178</v>
      </c>
      <c r="H40" t="s">
        <v>178</v>
      </c>
    </row>
    <row r="41" spans="2:8" x14ac:dyDescent="0.25">
      <c r="B41" s="19">
        <v>14</v>
      </c>
      <c r="C41" s="112" t="s">
        <v>274</v>
      </c>
      <c r="D41" s="19">
        <v>29</v>
      </c>
      <c r="F41" s="2">
        <v>43555.73908240741</v>
      </c>
      <c r="G41" t="s">
        <v>178</v>
      </c>
      <c r="H41" t="s">
        <v>178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162</v>
      </c>
      <c r="C5" s="1"/>
    </row>
    <row r="6" spans="2:3" x14ac:dyDescent="0.25">
      <c r="B6" s="1"/>
      <c r="C6" s="2"/>
    </row>
    <row r="7" spans="2:3" x14ac:dyDescent="0.25">
      <c r="B7" s="5" t="s">
        <v>170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CCB62-06FC-4013-B80F-2907021E0539}">
  <sheetPr codeName="S8"/>
  <dimension ref="A2:N48"/>
  <sheetViews>
    <sheetView showGridLines="0" tabSelected="1" zoomScaleNormal="100" workbookViewId="0">
      <selection activeCell="F3" sqref="F3"/>
    </sheetView>
  </sheetViews>
  <sheetFormatPr defaultRowHeight="18" customHeight="1" x14ac:dyDescent="0.25"/>
  <cols>
    <col min="1" max="1" width="34.28515625" style="132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32" t="s">
        <v>0</v>
      </c>
      <c r="B2" s="105" t="s">
        <v>324</v>
      </c>
    </row>
    <row r="3" spans="1:10" ht="18" customHeight="1" x14ac:dyDescent="0.25">
      <c r="A3" s="132" t="s">
        <v>205</v>
      </c>
      <c r="B3" s="125">
        <v>76</v>
      </c>
      <c r="J3" s="19"/>
    </row>
    <row r="4" spans="1:10" ht="18" customHeight="1" x14ac:dyDescent="0.25">
      <c r="A4" s="132" t="s">
        <v>308</v>
      </c>
      <c r="B4" s="106" t="s">
        <v>323</v>
      </c>
      <c r="E4" s="40"/>
      <c r="F4" s="40"/>
      <c r="H4" s="10"/>
      <c r="I4" s="19"/>
      <c r="J4" s="19"/>
    </row>
    <row r="5" spans="1:10" ht="18" customHeight="1" x14ac:dyDescent="0.25">
      <c r="A5" s="132" t="s">
        <v>16</v>
      </c>
      <c r="B5" s="105">
        <v>12</v>
      </c>
      <c r="F5" s="43"/>
      <c r="H5" s="10"/>
      <c r="I5" s="19"/>
      <c r="J5" s="19"/>
    </row>
    <row r="6" spans="1:10" ht="18" customHeight="1" x14ac:dyDescent="0.25">
      <c r="A6" s="132" t="s">
        <v>18</v>
      </c>
      <c r="B6" s="105">
        <v>11</v>
      </c>
      <c r="F6" s="41"/>
      <c r="H6" s="10"/>
    </row>
    <row r="7" spans="1:10" ht="18" customHeight="1" x14ac:dyDescent="0.25">
      <c r="A7" s="132" t="s">
        <v>203</v>
      </c>
      <c r="B7" s="108">
        <f>(3.14*(SubDiameter/2)^2)*(SubLength)*(1/12)^3</f>
        <v>0.71958333333333335</v>
      </c>
      <c r="E7" s="1"/>
      <c r="F7" s="41"/>
      <c r="H7" s="10"/>
      <c r="I7" s="19"/>
      <c r="J7" s="19"/>
    </row>
    <row r="8" spans="1:10" ht="18" customHeight="1" x14ac:dyDescent="0.25">
      <c r="A8" s="132" t="s">
        <v>204</v>
      </c>
      <c r="B8" s="109">
        <f>Volume*28.317</f>
        <v>20.376441249999999</v>
      </c>
      <c r="F8" s="41"/>
      <c r="H8" s="10"/>
      <c r="I8" s="19"/>
      <c r="J8" s="19"/>
    </row>
    <row r="9" spans="1:10" ht="18" customHeight="1" x14ac:dyDescent="0.25">
      <c r="E9" s="41"/>
      <c r="F9" s="41"/>
      <c r="H9" s="10"/>
      <c r="I9" s="19"/>
      <c r="J9" s="19"/>
    </row>
    <row r="10" spans="1:10" ht="18" customHeight="1" x14ac:dyDescent="0.25">
      <c r="A10" s="132" t="s">
        <v>300</v>
      </c>
      <c r="B10" s="1" t="s">
        <v>49</v>
      </c>
      <c r="C10" s="1" t="s">
        <v>50</v>
      </c>
      <c r="D10" s="1" t="s">
        <v>50</v>
      </c>
      <c r="G10" s="134" t="s">
        <v>304</v>
      </c>
      <c r="J10" s="19"/>
    </row>
    <row r="11" spans="1:10" ht="18" customHeight="1" x14ac:dyDescent="0.25">
      <c r="B11" s="132" t="s">
        <v>311</v>
      </c>
      <c r="C11" s="132" t="s">
        <v>310</v>
      </c>
      <c r="D11" s="132" t="s">
        <v>309</v>
      </c>
      <c r="E11" s="132" t="s">
        <v>193</v>
      </c>
      <c r="F11" s="41"/>
      <c r="G11" s="136" t="s">
        <v>288</v>
      </c>
      <c r="H11" s="135"/>
      <c r="J11" s="19"/>
    </row>
    <row r="12" spans="1:10" ht="18" customHeight="1" x14ac:dyDescent="0.25">
      <c r="A12" s="132" t="s">
        <v>51</v>
      </c>
      <c r="B12" s="44">
        <v>41</v>
      </c>
      <c r="C12" s="44">
        <v>40.5</v>
      </c>
      <c r="D12" s="44">
        <v>40</v>
      </c>
      <c r="E12" s="109">
        <f>B12-D12</f>
        <v>1</v>
      </c>
      <c r="F12" s="140" t="s">
        <v>289</v>
      </c>
      <c r="G12" s="41"/>
      <c r="H12" s="10" t="s">
        <v>60</v>
      </c>
      <c r="I12" s="44"/>
    </row>
    <row r="13" spans="1:10" ht="18" customHeight="1" x14ac:dyDescent="0.25">
      <c r="B13" s="41"/>
      <c r="C13" s="41"/>
      <c r="D13" s="127"/>
      <c r="E13" s="20"/>
      <c r="F13" s="126"/>
      <c r="G13" s="42"/>
      <c r="H13" s="10" t="s">
        <v>59</v>
      </c>
      <c r="I13" s="44"/>
    </row>
    <row r="14" spans="1:10" ht="18" customHeight="1" x14ac:dyDescent="0.25">
      <c r="A14" s="134" t="s">
        <v>301</v>
      </c>
      <c r="B14" s="41"/>
      <c r="C14" s="41"/>
      <c r="D14" s="127"/>
      <c r="E14" s="20"/>
      <c r="F14" s="128"/>
      <c r="G14" s="136" t="s">
        <v>290</v>
      </c>
    </row>
    <row r="15" spans="1:10" ht="18" customHeight="1" x14ac:dyDescent="0.25">
      <c r="A15" s="133" t="s">
        <v>291</v>
      </c>
      <c r="B15" s="41"/>
      <c r="C15" s="41"/>
      <c r="D15" s="127"/>
      <c r="E15" s="20"/>
      <c r="F15" s="128"/>
      <c r="G15" s="42"/>
      <c r="H15" s="10" t="s">
        <v>166</v>
      </c>
      <c r="I15" s="44"/>
    </row>
    <row r="16" spans="1:10" ht="18" customHeight="1" x14ac:dyDescent="0.25">
      <c r="A16" s="132" t="s">
        <v>292</v>
      </c>
      <c r="B16" s="129" t="s">
        <v>152</v>
      </c>
      <c r="C16" s="41"/>
      <c r="D16" s="127"/>
      <c r="E16" s="20"/>
      <c r="F16" s="128"/>
      <c r="G16" s="42"/>
      <c r="H16" s="10" t="s">
        <v>167</v>
      </c>
      <c r="I16" s="44"/>
    </row>
    <row r="17" spans="1:14" ht="18" customHeight="1" x14ac:dyDescent="0.25">
      <c r="B17" s="129" t="s">
        <v>58</v>
      </c>
      <c r="C17" s="41"/>
      <c r="D17" s="127"/>
      <c r="E17" s="20"/>
      <c r="F17" s="128"/>
      <c r="G17" s="42"/>
      <c r="H17" s="10" t="s">
        <v>168</v>
      </c>
      <c r="I17" s="44"/>
    </row>
    <row r="18" spans="1:14" ht="18" customHeight="1" x14ac:dyDescent="0.25">
      <c r="B18" s="129" t="s">
        <v>153</v>
      </c>
      <c r="C18" s="41"/>
      <c r="E18" s="130"/>
      <c r="F18" s="128"/>
      <c r="G18" s="42"/>
      <c r="H18" s="10" t="s">
        <v>22</v>
      </c>
      <c r="I18" s="44"/>
    </row>
    <row r="19" spans="1:14" ht="18" customHeight="1" x14ac:dyDescent="0.25">
      <c r="C19" s="41"/>
      <c r="D19" s="127"/>
      <c r="E19" s="20"/>
      <c r="F19" s="128"/>
      <c r="G19" s="42"/>
    </row>
    <row r="20" spans="1:14" ht="18" customHeight="1" x14ac:dyDescent="0.25">
      <c r="A20" s="132" t="s">
        <v>293</v>
      </c>
      <c r="B20" s="129" t="s">
        <v>61</v>
      </c>
      <c r="C20" s="41"/>
      <c r="D20" s="127"/>
      <c r="E20" s="130"/>
      <c r="F20" s="128"/>
      <c r="G20" s="134" t="s">
        <v>305</v>
      </c>
    </row>
    <row r="21" spans="1:14" ht="18" customHeight="1" x14ac:dyDescent="0.25">
      <c r="A21" s="132" t="s">
        <v>7</v>
      </c>
      <c r="B21" s="41"/>
      <c r="C21" s="41"/>
      <c r="D21" s="127"/>
      <c r="E21" s="20"/>
      <c r="F21" s="128"/>
      <c r="G21" s="137" t="s">
        <v>294</v>
      </c>
    </row>
    <row r="22" spans="1:14" ht="18" customHeight="1" x14ac:dyDescent="0.25">
      <c r="A22" s="133" t="s">
        <v>295</v>
      </c>
      <c r="B22" s="41"/>
      <c r="C22" s="41"/>
      <c r="D22" s="127"/>
      <c r="E22" s="20"/>
      <c r="F22" s="128"/>
      <c r="H22" s="40" t="s">
        <v>169</v>
      </c>
    </row>
    <row r="23" spans="1:14" ht="18" customHeight="1" x14ac:dyDescent="0.25">
      <c r="B23" s="39" t="s">
        <v>52</v>
      </c>
      <c r="C23" s="44"/>
      <c r="D23" s="126"/>
      <c r="E23" s="20"/>
      <c r="F23" s="128"/>
      <c r="G23" s="19"/>
    </row>
    <row r="24" spans="1:14" ht="18" customHeight="1" x14ac:dyDescent="0.25">
      <c r="B24" s="41"/>
      <c r="C24" s="41"/>
      <c r="D24" s="127"/>
      <c r="E24" s="20"/>
      <c r="F24" s="128"/>
      <c r="G24" s="137" t="s">
        <v>296</v>
      </c>
      <c r="I24" s="143" t="s">
        <v>326</v>
      </c>
      <c r="J24" s="144"/>
      <c r="K24" s="144"/>
      <c r="L24" s="144"/>
      <c r="M24" s="144"/>
      <c r="N24" s="145"/>
    </row>
    <row r="25" spans="1:14" ht="18" customHeight="1" x14ac:dyDescent="0.25">
      <c r="A25" s="133" t="s">
        <v>297</v>
      </c>
      <c r="B25" s="127"/>
      <c r="C25" s="127"/>
      <c r="D25" s="127"/>
      <c r="E25" s="20"/>
      <c r="F25" s="128"/>
      <c r="H25" s="10"/>
      <c r="I25" s="146"/>
      <c r="J25" s="147"/>
      <c r="K25" s="147"/>
      <c r="L25" s="147"/>
      <c r="M25" s="147"/>
      <c r="N25" s="148"/>
    </row>
    <row r="26" spans="1:14" ht="18" customHeight="1" x14ac:dyDescent="0.25">
      <c r="A26" s="133"/>
      <c r="B26" s="141" t="s">
        <v>312</v>
      </c>
      <c r="C26" s="44">
        <v>9.9499998092651367</v>
      </c>
      <c r="D26" s="142" t="s">
        <v>298</v>
      </c>
      <c r="E26" s="20"/>
      <c r="F26" s="128"/>
      <c r="I26" s="146"/>
      <c r="J26" s="147"/>
      <c r="K26" s="147"/>
      <c r="L26" s="147"/>
      <c r="M26" s="147"/>
      <c r="N26" s="148"/>
    </row>
    <row r="27" spans="1:14" ht="18" customHeight="1" x14ac:dyDescent="0.25">
      <c r="C27" s="20" t="s">
        <v>53</v>
      </c>
      <c r="D27" s="20" t="s">
        <v>54</v>
      </c>
      <c r="E27" s="20"/>
      <c r="F27" s="128"/>
      <c r="I27" s="146"/>
      <c r="J27" s="147"/>
      <c r="K27" s="147"/>
      <c r="L27" s="147"/>
      <c r="M27" s="147"/>
      <c r="N27" s="148"/>
    </row>
    <row r="28" spans="1:14" ht="18" customHeight="1" x14ac:dyDescent="0.25">
      <c r="A28" s="132" t="s">
        <v>306</v>
      </c>
      <c r="B28" s="129" t="s">
        <v>307</v>
      </c>
      <c r="C28" s="44">
        <v>9</v>
      </c>
      <c r="D28" s="44">
        <v>10</v>
      </c>
      <c r="E28" s="138"/>
      <c r="F28" s="128"/>
      <c r="I28" s="146"/>
      <c r="J28" s="147"/>
      <c r="K28" s="147"/>
      <c r="L28" s="147"/>
      <c r="M28" s="147"/>
      <c r="N28" s="148"/>
    </row>
    <row r="29" spans="1:14" ht="18" customHeight="1" x14ac:dyDescent="0.25">
      <c r="B29" s="129" t="s">
        <v>55</v>
      </c>
      <c r="C29" s="44">
        <v>10</v>
      </c>
      <c r="D29" s="44">
        <v>11</v>
      </c>
      <c r="E29" s="139"/>
      <c r="F29" s="42"/>
      <c r="I29" s="149"/>
      <c r="J29" s="150"/>
      <c r="K29" s="150"/>
      <c r="L29" s="150"/>
      <c r="M29" s="150"/>
      <c r="N29" s="151"/>
    </row>
    <row r="30" spans="1:14" ht="18" customHeight="1" x14ac:dyDescent="0.25">
      <c r="B30" s="129" t="s">
        <v>56</v>
      </c>
      <c r="C30" s="44">
        <v>11</v>
      </c>
      <c r="D30" s="44">
        <v>12</v>
      </c>
      <c r="E30" s="139"/>
      <c r="F30" s="20"/>
    </row>
    <row r="31" spans="1:14" ht="18" customHeight="1" x14ac:dyDescent="0.25">
      <c r="B31" s="129" t="s">
        <v>57</v>
      </c>
      <c r="C31" s="44">
        <v>12</v>
      </c>
      <c r="D31" s="44">
        <v>13</v>
      </c>
      <c r="E31" s="139"/>
      <c r="F31" s="20"/>
    </row>
    <row r="32" spans="1:14" ht="18" customHeight="1" x14ac:dyDescent="0.25">
      <c r="B32" s="38" t="s">
        <v>325</v>
      </c>
      <c r="C32" s="44">
        <v>13</v>
      </c>
      <c r="D32" s="44">
        <v>14</v>
      </c>
      <c r="E32" s="139"/>
      <c r="F32" s="20"/>
    </row>
    <row r="33" spans="1:10" ht="18" customHeight="1" x14ac:dyDescent="0.25">
      <c r="E33" s="131"/>
      <c r="F33" s="20"/>
      <c r="H33" s="19"/>
    </row>
    <row r="34" spans="1:10" ht="18" customHeight="1" x14ac:dyDescent="0.25">
      <c r="A34" s="133" t="s">
        <v>299</v>
      </c>
      <c r="H34" s="19"/>
    </row>
    <row r="35" spans="1:10" ht="18" customHeight="1" x14ac:dyDescent="0.25">
      <c r="A35" s="132" t="s">
        <v>302</v>
      </c>
      <c r="H35" s="19"/>
      <c r="I35" s="19"/>
    </row>
    <row r="36" spans="1:10" ht="18" customHeight="1" x14ac:dyDescent="0.25">
      <c r="A36" s="132" t="s">
        <v>303</v>
      </c>
      <c r="E36" s="19"/>
      <c r="H36" s="19"/>
      <c r="I36" s="19"/>
    </row>
    <row r="37" spans="1:10" ht="18" customHeight="1" x14ac:dyDescent="0.25">
      <c r="E37" s="19"/>
    </row>
    <row r="38" spans="1:10" ht="18" customHeight="1" x14ac:dyDescent="0.25">
      <c r="F38" s="19"/>
    </row>
    <row r="39" spans="1:10" ht="18" customHeight="1" x14ac:dyDescent="0.25">
      <c r="F39" s="19"/>
    </row>
    <row r="40" spans="1:10" ht="18" customHeight="1" x14ac:dyDescent="0.25">
      <c r="B40" s="21" t="s">
        <v>7</v>
      </c>
      <c r="C40" s="19"/>
      <c r="D40" s="19"/>
      <c r="I40" s="19"/>
    </row>
    <row r="41" spans="1:10" ht="18" customHeight="1" x14ac:dyDescent="0.25">
      <c r="B41" t="s">
        <v>7</v>
      </c>
      <c r="C41" s="19"/>
      <c r="D41" s="19"/>
    </row>
    <row r="42" spans="1:10" ht="18" customHeight="1" x14ac:dyDescent="0.25">
      <c r="J42" s="19"/>
    </row>
    <row r="43" spans="1:10" ht="18" customHeight="1" x14ac:dyDescent="0.25">
      <c r="B43" s="4"/>
    </row>
    <row r="45" spans="1:10" ht="18" customHeight="1" x14ac:dyDescent="0.25">
      <c r="B45" s="4"/>
      <c r="C45" s="1"/>
    </row>
    <row r="46" spans="1:10" ht="18" customHeight="1" x14ac:dyDescent="0.25">
      <c r="B46" s="4"/>
      <c r="C46" s="1"/>
    </row>
    <row r="48" spans="1:10" ht="18" customHeight="1" x14ac:dyDescent="0.25">
      <c r="B48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276225</xdr:colOff>
                <xdr:row>11</xdr:row>
                <xdr:rowOff>190500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5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323850</xdr:colOff>
                <xdr:row>22</xdr:row>
                <xdr:rowOff>190500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7" name="cmdSave">
          <controlPr defaultSize="0" autoFill="0" autoLine="0" r:id="rId8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1381125</xdr:colOff>
                <xdr:row>3</xdr:row>
                <xdr:rowOff>152400</xdr:rowOff>
              </to>
            </anchor>
          </controlPr>
        </control>
      </mc:Choice>
      <mc:Fallback>
        <control shapeId="34820" r:id="rId7" name="cmdSave"/>
      </mc:Fallback>
    </mc:AlternateContent>
    <mc:AlternateContent xmlns:mc="http://schemas.openxmlformats.org/markup-compatibility/2006">
      <mc:Choice Requires="x14">
        <control shapeId="34821" r:id="rId9" name="chkRedAsh">
          <controlPr autoLine="0" r:id="rId5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276225</xdr:colOff>
                <xdr:row>12</xdr:row>
                <xdr:rowOff>200025</xdr:rowOff>
              </to>
            </anchor>
          </controlPr>
        </control>
      </mc:Choice>
      <mc:Fallback>
        <control shapeId="34821" r:id="rId9" name="chkRedAsh"/>
      </mc:Fallback>
    </mc:AlternateContent>
    <mc:AlternateContent xmlns:mc="http://schemas.openxmlformats.org/markup-compatibility/2006">
      <mc:Choice Requires="x14">
        <control shapeId="34822" r:id="rId10" name="cbSoot">
          <controlPr defaultSize="0" autoFill="0" autoLine="0" r:id="rId11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10" name="cbSoot"/>
      </mc:Fallback>
    </mc:AlternateContent>
    <mc:AlternateContent xmlns:mc="http://schemas.openxmlformats.org/markup-compatibility/2006">
      <mc:Choice Requires="x14">
        <control shapeId="34823" r:id="rId12" name="cbAsh">
          <controlPr defaultSize="0" autoFill="0" autoLine="0" r:id="rId13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12" name="cbAsh"/>
      </mc:Fallback>
    </mc:AlternateContent>
    <mc:AlternateContent xmlns:mc="http://schemas.openxmlformats.org/markup-compatibility/2006">
      <mc:Choice Requires="x14">
        <control shapeId="34824" r:id="rId14" name="cbAshColor">
          <controlPr defaultSize="0" autoFill="0" autoLine="0" r:id="rId15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14" name="cbAshColor"/>
      </mc:Fallback>
    </mc:AlternateContent>
    <mc:AlternateContent xmlns:mc="http://schemas.openxmlformats.org/markup-compatibility/2006">
      <mc:Choice Requires="x14">
        <control shapeId="34825" r:id="rId16" name="cbOutletColor">
          <controlPr defaultSize="0" autoFill="0" autoLine="0" r:id="rId17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16" name="cbOutletColor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34</xdr:row>
                <xdr:rowOff>28575</xdr:rowOff>
              </from>
              <to>
                <xdr:col>1</xdr:col>
                <xdr:colOff>1162050</xdr:colOff>
                <xdr:row>35</xdr:row>
                <xdr:rowOff>19050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7" r:id="rId20" name="cbCracking">
          <controlPr defaultSize="0" autoFill="0" autoLine="0" r:id="rId21">
            <anchor moveWithCells="1">
              <from>
                <xdr:col>1</xdr:col>
                <xdr:colOff>19050</xdr:colOff>
                <xdr:row>35</xdr:row>
                <xdr:rowOff>47625</xdr:rowOff>
              </from>
              <to>
                <xdr:col>1</xdr:col>
                <xdr:colOff>1162050</xdr:colOff>
                <xdr:row>36</xdr:row>
                <xdr:rowOff>38100</xdr:rowOff>
              </to>
            </anchor>
          </controlPr>
        </control>
      </mc:Choice>
      <mc:Fallback>
        <control shapeId="34827" r:id="rId20" name="cbCracking"/>
      </mc:Fallback>
    </mc:AlternateContent>
    <mc:AlternateContent xmlns:mc="http://schemas.openxmlformats.org/markup-compatibility/2006">
      <mc:Choice Requires="x14">
        <control shapeId="34828" r:id="rId22" name="chkFuelOil">
          <controlPr autoLine="0" r:id="rId5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276225</xdr:colOff>
                <xdr:row>14</xdr:row>
                <xdr:rowOff>190500</xdr:rowOff>
              </to>
            </anchor>
          </controlPr>
        </control>
      </mc:Choice>
      <mc:Fallback>
        <control shapeId="34828" r:id="rId22" name="chkFuelOil"/>
      </mc:Fallback>
    </mc:AlternateContent>
    <mc:AlternateContent xmlns:mc="http://schemas.openxmlformats.org/markup-compatibility/2006">
      <mc:Choice Requires="x14">
        <control shapeId="34829" r:id="rId23" name="chkEngineEGRCoolant">
          <controlPr autoLine="0" r:id="rId5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276225</xdr:colOff>
                <xdr:row>15</xdr:row>
                <xdr:rowOff>200025</xdr:rowOff>
              </to>
            </anchor>
          </controlPr>
        </control>
      </mc:Choice>
      <mc:Fallback>
        <control shapeId="34829" r:id="rId23" name="chkEngineEGRCoolant"/>
      </mc:Fallback>
    </mc:AlternateContent>
    <mc:AlternateContent xmlns:mc="http://schemas.openxmlformats.org/markup-compatibility/2006">
      <mc:Choice Requires="x14">
        <control shapeId="34830" r:id="rId24" name="chkWearCorrosion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4830" r:id="rId24" name="chkWearCorrosion"/>
      </mc:Fallback>
    </mc:AlternateContent>
    <mc:AlternateContent xmlns:mc="http://schemas.openxmlformats.org/markup-compatibility/2006">
      <mc:Choice Requires="x14">
        <control shapeId="34831" r:id="rId25" name="txtContaminantsOther">
          <controlPr autoLine="0" r:id="rId26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25" name="txtContaminantsOther"/>
      </mc:Fallback>
    </mc:AlternateContent>
    <mc:AlternateContent xmlns:mc="http://schemas.openxmlformats.org/markup-compatibility/2006">
      <mc:Choice Requires="x14">
        <control shapeId="34832" r:id="rId27" name="cbSubstrateOveralCondition">
          <controlPr defaultSize="0" autoFill="0" autoLine="0" r:id="rId28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27" name="cbSubstrateOveralCondition"/>
      </mc:Fallback>
    </mc:AlternateContent>
    <mc:AlternateContent xmlns:mc="http://schemas.openxmlformats.org/markup-compatibility/2006">
      <mc:Choice Requires="x14">
        <control shapeId="34833" r:id="rId29" name="cmdBack">
          <controlPr autoLine="0" r:id="rId30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1381125</xdr:colOff>
                <xdr:row>6</xdr:row>
                <xdr:rowOff>190500</xdr:rowOff>
              </to>
            </anchor>
          </controlPr>
        </control>
      </mc:Choice>
      <mc:Fallback>
        <control shapeId="34833" r:id="rId29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F2" sqref="F2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9" t="s">
        <v>194</v>
      </c>
      <c r="C3" s="1"/>
    </row>
    <row r="4" spans="2:9" ht="18.75" x14ac:dyDescent="0.3">
      <c r="I4" s="45"/>
    </row>
    <row r="5" spans="2:9" x14ac:dyDescent="0.25">
      <c r="B5" s="103" t="s">
        <v>16</v>
      </c>
      <c r="C5" s="104"/>
      <c r="D5" s="59"/>
      <c r="E5" s="59" t="s">
        <v>196</v>
      </c>
      <c r="F5" s="90">
        <v>110000</v>
      </c>
      <c r="G5" s="91" t="s">
        <v>82</v>
      </c>
      <c r="H5" s="62"/>
    </row>
    <row r="6" spans="2:9" x14ac:dyDescent="0.25">
      <c r="B6" s="92" t="s">
        <v>18</v>
      </c>
      <c r="C6" s="93"/>
      <c r="D6" s="62"/>
      <c r="E6" s="62" t="s">
        <v>195</v>
      </c>
      <c r="F6" s="94">
        <v>60</v>
      </c>
      <c r="G6" s="65" t="s">
        <v>83</v>
      </c>
      <c r="H6" s="62"/>
    </row>
    <row r="7" spans="2:9" x14ac:dyDescent="0.25">
      <c r="B7" s="95" t="s">
        <v>159</v>
      </c>
      <c r="C7" s="93">
        <f>(3.14*(SubDiameter/2)^2)*(SubLength)*(1/12)^3</f>
        <v>0</v>
      </c>
      <c r="D7" s="96"/>
      <c r="E7" s="62" t="s">
        <v>197</v>
      </c>
      <c r="F7" s="94">
        <f>(Volume*MaxSpaceVelocity)*(1/60)*(61.7)/(2350*0.395)</f>
        <v>0</v>
      </c>
      <c r="G7" s="65" t="s">
        <v>83</v>
      </c>
      <c r="H7" s="62"/>
    </row>
    <row r="8" spans="2:9" x14ac:dyDescent="0.25">
      <c r="B8" s="97" t="s">
        <v>160</v>
      </c>
      <c r="C8" s="98">
        <f>Volume*28.317</f>
        <v>0</v>
      </c>
      <c r="D8" s="99"/>
      <c r="E8" s="100" t="s">
        <v>198</v>
      </c>
      <c r="F8" s="102">
        <f>IF(F7&gt;MaxHertz,"60",F7)</f>
        <v>0</v>
      </c>
      <c r="G8" s="101" t="s">
        <v>83</v>
      </c>
      <c r="H8" s="62"/>
    </row>
    <row r="9" spans="2:9" x14ac:dyDescent="0.25">
      <c r="H9" s="62"/>
    </row>
    <row r="11" spans="2:9" x14ac:dyDescent="0.25">
      <c r="B11" s="85" t="s">
        <v>62</v>
      </c>
      <c r="C11" s="59"/>
      <c r="D11" s="86"/>
      <c r="E11" s="59" t="s">
        <v>63</v>
      </c>
      <c r="F11" s="59"/>
      <c r="G11" s="60" t="s">
        <v>78</v>
      </c>
      <c r="H11" s="60" t="s">
        <v>79</v>
      </c>
      <c r="I11" s="87"/>
    </row>
    <row r="12" spans="2:9" x14ac:dyDescent="0.25">
      <c r="B12" s="61" t="s">
        <v>64</v>
      </c>
      <c r="C12" s="62"/>
      <c r="D12" s="63"/>
      <c r="E12" s="62" t="s">
        <v>65</v>
      </c>
      <c r="F12" s="62"/>
      <c r="G12" s="62"/>
      <c r="H12" s="64" t="s">
        <v>80</v>
      </c>
      <c r="I12" s="88"/>
    </row>
    <row r="13" spans="2:9" x14ac:dyDescent="0.25">
      <c r="B13" s="61" t="s">
        <v>66</v>
      </c>
      <c r="C13" s="62"/>
      <c r="D13" s="62"/>
      <c r="E13" s="62"/>
      <c r="F13" s="62"/>
      <c r="G13" s="62"/>
      <c r="H13" s="64" t="s">
        <v>81</v>
      </c>
      <c r="I13" s="88"/>
    </row>
    <row r="14" spans="2:9" x14ac:dyDescent="0.25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25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25">
      <c r="B16" s="72">
        <f>0.25*$F$8</f>
        <v>0</v>
      </c>
      <c r="C16" s="73">
        <f>(2350/61.7)*B16*0.395</f>
        <v>0</v>
      </c>
      <c r="D16" s="66"/>
      <c r="E16" s="73">
        <f t="shared" ref="E16:E26" si="0">C16-(34.4764881*D16-4.325744048*D16^2+0.369475446*D16^3-0.01733631*D16^4+0.000339472*D16^5)</f>
        <v>0</v>
      </c>
      <c r="F16" s="74" t="e">
        <f t="shared" ref="F16:F26" si="1">(E16*60)/Volume</f>
        <v>#DIV/0!</v>
      </c>
      <c r="G16" s="117">
        <v>20000</v>
      </c>
      <c r="H16" s="75">
        <f t="shared" ref="H16:H26" si="2">G16*Volume/60</f>
        <v>0</v>
      </c>
      <c r="I16" s="76">
        <f t="shared" ref="I16:I26" si="3">G16^2*P0a+G16*P0b+P0c</f>
        <v>0</v>
      </c>
    </row>
    <row r="17" spans="2:9" x14ac:dyDescent="0.25">
      <c r="B17" s="72">
        <f>0.4*$F$8</f>
        <v>0</v>
      </c>
      <c r="C17" s="73">
        <f t="shared" ref="C17:C26" si="4">(2350/61.7)*B17*0.395</f>
        <v>0</v>
      </c>
      <c r="D17" s="66"/>
      <c r="E17" s="73">
        <f t="shared" si="0"/>
        <v>0</v>
      </c>
      <c r="F17" s="74" t="e">
        <f t="shared" si="1"/>
        <v>#DIV/0!</v>
      </c>
      <c r="G17" s="117">
        <v>35000</v>
      </c>
      <c r="H17" s="75">
        <f t="shared" si="2"/>
        <v>0</v>
      </c>
      <c r="I17" s="76">
        <f t="shared" si="3"/>
        <v>0</v>
      </c>
    </row>
    <row r="18" spans="2:9" x14ac:dyDescent="0.25">
      <c r="B18" s="72">
        <f>0.5*$F$8</f>
        <v>0</v>
      </c>
      <c r="C18" s="73">
        <f t="shared" si="4"/>
        <v>0</v>
      </c>
      <c r="D18" s="119"/>
      <c r="E18" s="73">
        <f t="shared" si="0"/>
        <v>0</v>
      </c>
      <c r="F18" s="74" t="e">
        <f t="shared" si="1"/>
        <v>#DIV/0!</v>
      </c>
      <c r="G18" s="117">
        <v>50000</v>
      </c>
      <c r="H18" s="75">
        <f t="shared" si="2"/>
        <v>0</v>
      </c>
      <c r="I18" s="76">
        <f t="shared" si="3"/>
        <v>0</v>
      </c>
    </row>
    <row r="19" spans="2:9" x14ac:dyDescent="0.25">
      <c r="B19" s="72">
        <f>0.6*$F$8</f>
        <v>0</v>
      </c>
      <c r="C19" s="73">
        <f t="shared" si="4"/>
        <v>0</v>
      </c>
      <c r="D19" s="119"/>
      <c r="E19" s="73">
        <f t="shared" si="0"/>
        <v>0</v>
      </c>
      <c r="F19" s="74" t="e">
        <f t="shared" si="1"/>
        <v>#DIV/0!</v>
      </c>
      <c r="G19" s="117">
        <v>60000</v>
      </c>
      <c r="H19" s="75">
        <f t="shared" si="2"/>
        <v>0</v>
      </c>
      <c r="I19" s="76">
        <f t="shared" si="3"/>
        <v>0</v>
      </c>
    </row>
    <row r="20" spans="2:9" x14ac:dyDescent="0.25">
      <c r="B20" s="72">
        <f>0.7*$F$8</f>
        <v>0</v>
      </c>
      <c r="C20" s="73">
        <f t="shared" si="4"/>
        <v>0</v>
      </c>
      <c r="D20" s="119"/>
      <c r="E20" s="73">
        <f t="shared" si="0"/>
        <v>0</v>
      </c>
      <c r="F20" s="74" t="e">
        <f t="shared" si="1"/>
        <v>#DIV/0!</v>
      </c>
      <c r="G20" s="117">
        <v>70000</v>
      </c>
      <c r="H20" s="75">
        <f t="shared" si="2"/>
        <v>0</v>
      </c>
      <c r="I20" s="76">
        <f t="shared" si="3"/>
        <v>0</v>
      </c>
    </row>
    <row r="21" spans="2:9" x14ac:dyDescent="0.25">
      <c r="B21" s="72">
        <f>0.75*$F$8</f>
        <v>0</v>
      </c>
      <c r="C21" s="73">
        <f t="shared" si="4"/>
        <v>0</v>
      </c>
      <c r="D21" s="119"/>
      <c r="E21" s="73">
        <f t="shared" si="0"/>
        <v>0</v>
      </c>
      <c r="F21" s="74" t="e">
        <f t="shared" si="1"/>
        <v>#DIV/0!</v>
      </c>
      <c r="G21" s="117">
        <v>75000</v>
      </c>
      <c r="H21" s="75">
        <f t="shared" si="2"/>
        <v>0</v>
      </c>
      <c r="I21" s="76">
        <f t="shared" si="3"/>
        <v>0</v>
      </c>
    </row>
    <row r="22" spans="2:9" x14ac:dyDescent="0.25">
      <c r="B22" s="72">
        <f>0.8*$F$8</f>
        <v>0</v>
      </c>
      <c r="C22" s="73">
        <f t="shared" si="4"/>
        <v>0</v>
      </c>
      <c r="D22" s="119"/>
      <c r="E22" s="73">
        <f t="shared" si="0"/>
        <v>0</v>
      </c>
      <c r="F22" s="74" t="e">
        <f t="shared" si="1"/>
        <v>#DIV/0!</v>
      </c>
      <c r="G22" s="117">
        <v>80000</v>
      </c>
      <c r="H22" s="75">
        <f t="shared" si="2"/>
        <v>0</v>
      </c>
      <c r="I22" s="76">
        <f t="shared" si="3"/>
        <v>0</v>
      </c>
    </row>
    <row r="23" spans="2:9" x14ac:dyDescent="0.25">
      <c r="B23" s="72">
        <f>0.85*$F$8</f>
        <v>0</v>
      </c>
      <c r="C23" s="73">
        <f t="shared" si="4"/>
        <v>0</v>
      </c>
      <c r="D23" s="119"/>
      <c r="E23" s="73">
        <f t="shared" si="0"/>
        <v>0</v>
      </c>
      <c r="F23" s="74" t="e">
        <f t="shared" si="1"/>
        <v>#DIV/0!</v>
      </c>
      <c r="G23" s="117">
        <v>85000</v>
      </c>
      <c r="H23" s="75">
        <f t="shared" si="2"/>
        <v>0</v>
      </c>
      <c r="I23" s="76">
        <f t="shared" si="3"/>
        <v>0</v>
      </c>
    </row>
    <row r="24" spans="2:9" x14ac:dyDescent="0.25">
      <c r="B24" s="72">
        <f>0.9*$F$8</f>
        <v>0</v>
      </c>
      <c r="C24" s="73">
        <f t="shared" si="4"/>
        <v>0</v>
      </c>
      <c r="D24" s="119"/>
      <c r="E24" s="73">
        <f t="shared" si="0"/>
        <v>0</v>
      </c>
      <c r="F24" s="74" t="e">
        <f t="shared" si="1"/>
        <v>#DIV/0!</v>
      </c>
      <c r="G24" s="117">
        <v>90000</v>
      </c>
      <c r="H24" s="75">
        <f t="shared" si="2"/>
        <v>0</v>
      </c>
      <c r="I24" s="76">
        <f t="shared" si="3"/>
        <v>0</v>
      </c>
    </row>
    <row r="25" spans="2:9" x14ac:dyDescent="0.25">
      <c r="B25" s="72">
        <f>0.95*$F$8</f>
        <v>0</v>
      </c>
      <c r="C25" s="73">
        <f t="shared" si="4"/>
        <v>0</v>
      </c>
      <c r="D25" s="119"/>
      <c r="E25" s="73">
        <f t="shared" si="0"/>
        <v>0</v>
      </c>
      <c r="F25" s="74" t="e">
        <f t="shared" si="1"/>
        <v>#DIV/0!</v>
      </c>
      <c r="G25" s="117">
        <v>95000</v>
      </c>
      <c r="H25" s="75">
        <f t="shared" si="2"/>
        <v>0</v>
      </c>
      <c r="I25" s="76">
        <f t="shared" si="3"/>
        <v>0</v>
      </c>
    </row>
    <row r="26" spans="2:9" x14ac:dyDescent="0.25">
      <c r="B26" s="77">
        <f>1*$F$8</f>
        <v>0</v>
      </c>
      <c r="C26" s="78">
        <f t="shared" si="4"/>
        <v>0</v>
      </c>
      <c r="D26" s="119"/>
      <c r="E26" s="78">
        <f t="shared" si="0"/>
        <v>0</v>
      </c>
      <c r="F26" s="80" t="e">
        <f t="shared" si="1"/>
        <v>#DIV/0!</v>
      </c>
      <c r="G26" s="118">
        <v>100000</v>
      </c>
      <c r="H26" s="81">
        <f t="shared" si="2"/>
        <v>0</v>
      </c>
      <c r="I26" s="82">
        <f t="shared" si="3"/>
        <v>0</v>
      </c>
    </row>
    <row r="28" spans="2:9" x14ac:dyDescent="0.25">
      <c r="B28" s="85" t="s">
        <v>62</v>
      </c>
      <c r="C28" s="59"/>
      <c r="D28" s="86"/>
      <c r="E28" s="59" t="s">
        <v>63</v>
      </c>
      <c r="F28" s="59"/>
      <c r="G28" s="60" t="s">
        <v>78</v>
      </c>
      <c r="H28" s="60" t="s">
        <v>79</v>
      </c>
      <c r="I28" s="87"/>
    </row>
    <row r="29" spans="2:9" x14ac:dyDescent="0.25">
      <c r="B29" s="61" t="s">
        <v>64</v>
      </c>
      <c r="C29" s="62"/>
      <c r="D29" s="63"/>
      <c r="E29" s="62" t="s">
        <v>65</v>
      </c>
      <c r="F29" s="62"/>
      <c r="G29" s="62"/>
      <c r="H29" s="64" t="s">
        <v>80</v>
      </c>
      <c r="I29" s="88"/>
    </row>
    <row r="30" spans="2:9" x14ac:dyDescent="0.25">
      <c r="B30" s="61" t="s">
        <v>66</v>
      </c>
      <c r="C30" s="62"/>
      <c r="D30" s="62"/>
      <c r="E30" s="62"/>
      <c r="F30" s="62"/>
      <c r="G30" s="62"/>
      <c r="H30" s="64" t="s">
        <v>81</v>
      </c>
      <c r="I30" s="88"/>
    </row>
    <row r="31" spans="2:9" x14ac:dyDescent="0.25">
      <c r="B31" s="67" t="s">
        <v>67</v>
      </c>
      <c r="C31" s="68" t="s">
        <v>68</v>
      </c>
      <c r="D31" s="68" t="s">
        <v>69</v>
      </c>
      <c r="E31" s="68" t="s">
        <v>70</v>
      </c>
      <c r="F31" s="83"/>
      <c r="G31" s="68" t="s">
        <v>71</v>
      </c>
      <c r="H31" s="68"/>
      <c r="I31" s="69"/>
    </row>
    <row r="32" spans="2:9" x14ac:dyDescent="0.25">
      <c r="B32" s="84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25">
      <c r="B33" s="72">
        <f>0.25*$F$8</f>
        <v>0</v>
      </c>
      <c r="C33" s="73">
        <f>(2350/61.7)*B33*0.395</f>
        <v>0</v>
      </c>
      <c r="D33" s="66"/>
      <c r="E33" s="73">
        <f t="shared" ref="E33:E43" si="5">C33-(34.4764881*D33-4.325744048*D33^2+0.369475446*D33^3-0.01733631*D33^4+0.000339472*D33^5)</f>
        <v>0</v>
      </c>
      <c r="F33" s="74" t="e">
        <f t="shared" ref="F33:F43" si="6">(E33*60)/Volume</f>
        <v>#DIV/0!</v>
      </c>
      <c r="G33" s="117">
        <v>20000</v>
      </c>
      <c r="H33" s="75">
        <f t="shared" ref="H33:H43" si="7">G33*Volume/60</f>
        <v>0</v>
      </c>
      <c r="I33" s="76">
        <f t="shared" ref="I33:I43" si="8">G33^2*P1a+G33*P1b+P1c</f>
        <v>0</v>
      </c>
    </row>
    <row r="34" spans="2:9" x14ac:dyDescent="0.25">
      <c r="B34" s="72">
        <f>0.4*$F$8</f>
        <v>0</v>
      </c>
      <c r="C34" s="73">
        <f t="shared" ref="C34:C42" si="9">(2350/61.7)*B34*0.395</f>
        <v>0</v>
      </c>
      <c r="D34" s="66"/>
      <c r="E34" s="73">
        <f t="shared" si="5"/>
        <v>0</v>
      </c>
      <c r="F34" s="74" t="e">
        <f t="shared" si="6"/>
        <v>#DIV/0!</v>
      </c>
      <c r="G34" s="117">
        <v>35000</v>
      </c>
      <c r="H34" s="75">
        <f t="shared" si="7"/>
        <v>0</v>
      </c>
      <c r="I34" s="76">
        <f t="shared" si="8"/>
        <v>0</v>
      </c>
    </row>
    <row r="35" spans="2:9" x14ac:dyDescent="0.25">
      <c r="B35" s="72">
        <f>0.5*$F$8</f>
        <v>0</v>
      </c>
      <c r="C35" s="73">
        <f t="shared" si="9"/>
        <v>0</v>
      </c>
      <c r="D35" s="66"/>
      <c r="E35" s="73">
        <f t="shared" si="5"/>
        <v>0</v>
      </c>
      <c r="F35" s="74" t="e">
        <f t="shared" si="6"/>
        <v>#DIV/0!</v>
      </c>
      <c r="G35" s="117">
        <v>50000</v>
      </c>
      <c r="H35" s="75">
        <f t="shared" si="7"/>
        <v>0</v>
      </c>
      <c r="I35" s="76">
        <f t="shared" si="8"/>
        <v>0</v>
      </c>
    </row>
    <row r="36" spans="2:9" x14ac:dyDescent="0.25">
      <c r="B36" s="72">
        <f>0.6*$F$8</f>
        <v>0</v>
      </c>
      <c r="C36" s="73">
        <f t="shared" si="9"/>
        <v>0</v>
      </c>
      <c r="D36" s="66"/>
      <c r="E36" s="73">
        <f t="shared" si="5"/>
        <v>0</v>
      </c>
      <c r="F36" s="74" t="e">
        <f t="shared" si="6"/>
        <v>#DIV/0!</v>
      </c>
      <c r="G36" s="117">
        <v>60000</v>
      </c>
      <c r="H36" s="75">
        <f t="shared" si="7"/>
        <v>0</v>
      </c>
      <c r="I36" s="76">
        <f t="shared" si="8"/>
        <v>0</v>
      </c>
    </row>
    <row r="37" spans="2:9" x14ac:dyDescent="0.25">
      <c r="B37" s="72">
        <f>0.7*$F$8</f>
        <v>0</v>
      </c>
      <c r="C37" s="73">
        <f t="shared" si="9"/>
        <v>0</v>
      </c>
      <c r="D37" s="66"/>
      <c r="E37" s="73">
        <f t="shared" si="5"/>
        <v>0</v>
      </c>
      <c r="F37" s="74" t="e">
        <f t="shared" si="6"/>
        <v>#DIV/0!</v>
      </c>
      <c r="G37" s="117">
        <v>70000</v>
      </c>
      <c r="H37" s="75">
        <f t="shared" si="7"/>
        <v>0</v>
      </c>
      <c r="I37" s="76">
        <f t="shared" si="8"/>
        <v>0</v>
      </c>
    </row>
    <row r="38" spans="2:9" x14ac:dyDescent="0.25">
      <c r="B38" s="72">
        <f>0.75*$F$8</f>
        <v>0</v>
      </c>
      <c r="C38" s="73">
        <f t="shared" si="9"/>
        <v>0</v>
      </c>
      <c r="D38" s="66"/>
      <c r="E38" s="73">
        <f t="shared" si="5"/>
        <v>0</v>
      </c>
      <c r="F38" s="74" t="e">
        <f t="shared" si="6"/>
        <v>#DIV/0!</v>
      </c>
      <c r="G38" s="117">
        <v>75000</v>
      </c>
      <c r="H38" s="75">
        <f t="shared" si="7"/>
        <v>0</v>
      </c>
      <c r="I38" s="76">
        <f t="shared" si="8"/>
        <v>0</v>
      </c>
    </row>
    <row r="39" spans="2:9" x14ac:dyDescent="0.25">
      <c r="B39" s="72">
        <f>0.8*$F$8</f>
        <v>0</v>
      </c>
      <c r="C39" s="73">
        <f t="shared" si="9"/>
        <v>0</v>
      </c>
      <c r="D39" s="66"/>
      <c r="E39" s="73">
        <f t="shared" si="5"/>
        <v>0</v>
      </c>
      <c r="F39" s="74" t="e">
        <f t="shared" si="6"/>
        <v>#DIV/0!</v>
      </c>
      <c r="G39" s="117">
        <v>80000</v>
      </c>
      <c r="H39" s="75">
        <f t="shared" si="7"/>
        <v>0</v>
      </c>
      <c r="I39" s="76">
        <f t="shared" si="8"/>
        <v>0</v>
      </c>
    </row>
    <row r="40" spans="2:9" x14ac:dyDescent="0.25">
      <c r="B40" s="72">
        <f>0.85*$F$8</f>
        <v>0</v>
      </c>
      <c r="C40" s="73">
        <f t="shared" si="9"/>
        <v>0</v>
      </c>
      <c r="D40" s="66"/>
      <c r="E40" s="73">
        <f t="shared" si="5"/>
        <v>0</v>
      </c>
      <c r="F40" s="74" t="e">
        <f t="shared" si="6"/>
        <v>#DIV/0!</v>
      </c>
      <c r="G40" s="117">
        <v>85000</v>
      </c>
      <c r="H40" s="75">
        <f t="shared" si="7"/>
        <v>0</v>
      </c>
      <c r="I40" s="76">
        <f t="shared" si="8"/>
        <v>0</v>
      </c>
    </row>
    <row r="41" spans="2:9" x14ac:dyDescent="0.25">
      <c r="B41" s="72">
        <f>0.9*$F$8</f>
        <v>0</v>
      </c>
      <c r="C41" s="73">
        <f t="shared" si="9"/>
        <v>0</v>
      </c>
      <c r="D41" s="66"/>
      <c r="E41" s="73">
        <f t="shared" si="5"/>
        <v>0</v>
      </c>
      <c r="F41" s="74" t="e">
        <f t="shared" si="6"/>
        <v>#DIV/0!</v>
      </c>
      <c r="G41" s="117">
        <v>90000</v>
      </c>
      <c r="H41" s="75">
        <f t="shared" si="7"/>
        <v>0</v>
      </c>
      <c r="I41" s="76">
        <f t="shared" si="8"/>
        <v>0</v>
      </c>
    </row>
    <row r="42" spans="2:9" x14ac:dyDescent="0.25">
      <c r="B42" s="72">
        <f>0.95*$F$8</f>
        <v>0</v>
      </c>
      <c r="C42" s="73">
        <f t="shared" si="9"/>
        <v>0</v>
      </c>
      <c r="D42" s="66"/>
      <c r="E42" s="73">
        <f t="shared" si="5"/>
        <v>0</v>
      </c>
      <c r="F42" s="74" t="e">
        <f t="shared" si="6"/>
        <v>#DIV/0!</v>
      </c>
      <c r="G42" s="117">
        <v>95000</v>
      </c>
      <c r="H42" s="75">
        <f t="shared" si="7"/>
        <v>0</v>
      </c>
      <c r="I42" s="76">
        <f t="shared" si="8"/>
        <v>0</v>
      </c>
    </row>
    <row r="43" spans="2:9" x14ac:dyDescent="0.25">
      <c r="B43" s="77">
        <f>1*$F$8</f>
        <v>0</v>
      </c>
      <c r="C43" s="78">
        <f>(2350/61.7)*B43*0.395</f>
        <v>0</v>
      </c>
      <c r="D43" s="79"/>
      <c r="E43" s="78">
        <f t="shared" si="5"/>
        <v>0</v>
      </c>
      <c r="F43" s="80" t="e">
        <f t="shared" si="6"/>
        <v>#DIV/0!</v>
      </c>
      <c r="G43" s="118">
        <v>100000</v>
      </c>
      <c r="H43" s="81">
        <f t="shared" si="7"/>
        <v>0</v>
      </c>
      <c r="I43" s="82">
        <f t="shared" si="8"/>
        <v>0</v>
      </c>
    </row>
    <row r="45" spans="2:9" x14ac:dyDescent="0.25">
      <c r="B45" s="85" t="s">
        <v>62</v>
      </c>
      <c r="C45" s="59"/>
      <c r="D45" s="86"/>
      <c r="E45" s="59" t="s">
        <v>63</v>
      </c>
      <c r="F45" s="59"/>
      <c r="G45" s="60" t="s">
        <v>78</v>
      </c>
      <c r="H45" s="60" t="s">
        <v>79</v>
      </c>
      <c r="I45" s="87"/>
    </row>
    <row r="46" spans="2:9" x14ac:dyDescent="0.25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8"/>
    </row>
    <row r="47" spans="2:9" x14ac:dyDescent="0.25">
      <c r="B47" s="61" t="s">
        <v>66</v>
      </c>
      <c r="C47" s="62"/>
      <c r="E47" s="62"/>
      <c r="F47" s="62"/>
      <c r="G47" s="62"/>
      <c r="H47" s="64" t="s">
        <v>81</v>
      </c>
      <c r="I47" s="88"/>
    </row>
    <row r="48" spans="2:9" x14ac:dyDescent="0.25">
      <c r="B48" s="67" t="s">
        <v>67</v>
      </c>
      <c r="C48" s="68" t="s">
        <v>68</v>
      </c>
      <c r="D48" s="68" t="s">
        <v>69</v>
      </c>
      <c r="E48" s="68" t="s">
        <v>70</v>
      </c>
      <c r="F48" s="83"/>
      <c r="G48" s="68" t="s">
        <v>71</v>
      </c>
      <c r="H48" s="68"/>
      <c r="I48" s="69"/>
    </row>
    <row r="49" spans="2:9" x14ac:dyDescent="0.25">
      <c r="B49" s="84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25">
      <c r="B50" s="72">
        <f>0.25*$F$8</f>
        <v>0</v>
      </c>
      <c r="C50" s="73">
        <f>(2350/61.7)*B50*0.395</f>
        <v>0</v>
      </c>
      <c r="D50" s="66"/>
      <c r="E50" s="73">
        <f t="shared" ref="E50:E60" si="10">C50-(34.4764881*D50-4.325744048*D50^2+0.369475446*D50^3-0.01733631*D50^4+0.000339472*D50^5)</f>
        <v>0</v>
      </c>
      <c r="F50" s="73" t="e">
        <f t="shared" ref="F50:F60" si="11">(E50*60)/Volume</f>
        <v>#DIV/0!</v>
      </c>
      <c r="G50" s="117">
        <v>20000</v>
      </c>
      <c r="H50" s="75">
        <f t="shared" ref="H50:H60" si="12">G50*Volume/60</f>
        <v>0</v>
      </c>
      <c r="I50" s="76">
        <f t="shared" ref="I50:I60" si="13">G50^2*P2a+G50*P2b+P2c</f>
        <v>0</v>
      </c>
    </row>
    <row r="51" spans="2:9" x14ac:dyDescent="0.25">
      <c r="B51" s="72">
        <f>0.4*$F$8</f>
        <v>0</v>
      </c>
      <c r="C51" s="73">
        <f t="shared" ref="C51:C60" si="14">(2350/61.7)*B51*0.395</f>
        <v>0</v>
      </c>
      <c r="D51" s="66"/>
      <c r="E51" s="73">
        <f t="shared" si="10"/>
        <v>0</v>
      </c>
      <c r="F51" s="73" t="e">
        <f t="shared" si="11"/>
        <v>#DIV/0!</v>
      </c>
      <c r="G51" s="117">
        <v>35000</v>
      </c>
      <c r="H51" s="75">
        <f t="shared" si="12"/>
        <v>0</v>
      </c>
      <c r="I51" s="76">
        <f t="shared" si="13"/>
        <v>0</v>
      </c>
    </row>
    <row r="52" spans="2:9" x14ac:dyDescent="0.25">
      <c r="B52" s="72">
        <f>0.5*$F$8</f>
        <v>0</v>
      </c>
      <c r="C52" s="73">
        <f t="shared" si="14"/>
        <v>0</v>
      </c>
      <c r="D52" s="66"/>
      <c r="E52" s="73">
        <f t="shared" si="10"/>
        <v>0</v>
      </c>
      <c r="F52" s="73" t="e">
        <f t="shared" si="11"/>
        <v>#DIV/0!</v>
      </c>
      <c r="G52" s="117">
        <v>50000</v>
      </c>
      <c r="H52" s="75">
        <f t="shared" si="12"/>
        <v>0</v>
      </c>
      <c r="I52" s="76">
        <f t="shared" si="13"/>
        <v>0</v>
      </c>
    </row>
    <row r="53" spans="2:9" x14ac:dyDescent="0.25">
      <c r="B53" s="72">
        <f>0.6*$F$8</f>
        <v>0</v>
      </c>
      <c r="C53" s="73">
        <f t="shared" si="14"/>
        <v>0</v>
      </c>
      <c r="D53" s="66"/>
      <c r="E53" s="73">
        <f t="shared" si="10"/>
        <v>0</v>
      </c>
      <c r="F53" s="73" t="e">
        <f t="shared" si="11"/>
        <v>#DIV/0!</v>
      </c>
      <c r="G53" s="117">
        <v>60000</v>
      </c>
      <c r="H53" s="75">
        <f t="shared" si="12"/>
        <v>0</v>
      </c>
      <c r="I53" s="76">
        <f t="shared" si="13"/>
        <v>0</v>
      </c>
    </row>
    <row r="54" spans="2:9" x14ac:dyDescent="0.25">
      <c r="B54" s="72">
        <f>0.7*$F$8</f>
        <v>0</v>
      </c>
      <c r="C54" s="73">
        <f t="shared" si="14"/>
        <v>0</v>
      </c>
      <c r="D54" s="66"/>
      <c r="E54" s="73">
        <f t="shared" si="10"/>
        <v>0</v>
      </c>
      <c r="F54" s="73" t="e">
        <f t="shared" si="11"/>
        <v>#DIV/0!</v>
      </c>
      <c r="G54" s="117">
        <v>70000</v>
      </c>
      <c r="H54" s="75">
        <f t="shared" si="12"/>
        <v>0</v>
      </c>
      <c r="I54" s="76">
        <f t="shared" si="13"/>
        <v>0</v>
      </c>
    </row>
    <row r="55" spans="2:9" x14ac:dyDescent="0.25">
      <c r="B55" s="72">
        <f>0.75*$F$8</f>
        <v>0</v>
      </c>
      <c r="C55" s="73">
        <f t="shared" si="14"/>
        <v>0</v>
      </c>
      <c r="D55" s="66"/>
      <c r="E55" s="73">
        <f t="shared" si="10"/>
        <v>0</v>
      </c>
      <c r="F55" s="73" t="e">
        <f t="shared" si="11"/>
        <v>#DIV/0!</v>
      </c>
      <c r="G55" s="117">
        <v>75000</v>
      </c>
      <c r="H55" s="75">
        <f t="shared" si="12"/>
        <v>0</v>
      </c>
      <c r="I55" s="76">
        <f t="shared" si="13"/>
        <v>0</v>
      </c>
    </row>
    <row r="56" spans="2:9" x14ac:dyDescent="0.25">
      <c r="B56" s="72">
        <f>0.8*$F$8</f>
        <v>0</v>
      </c>
      <c r="C56" s="73">
        <f t="shared" si="14"/>
        <v>0</v>
      </c>
      <c r="D56" s="66"/>
      <c r="E56" s="73">
        <f t="shared" si="10"/>
        <v>0</v>
      </c>
      <c r="F56" s="73" t="e">
        <f t="shared" si="11"/>
        <v>#DIV/0!</v>
      </c>
      <c r="G56" s="117">
        <v>80000</v>
      </c>
      <c r="H56" s="75">
        <f t="shared" si="12"/>
        <v>0</v>
      </c>
      <c r="I56" s="76">
        <f t="shared" si="13"/>
        <v>0</v>
      </c>
    </row>
    <row r="57" spans="2:9" x14ac:dyDescent="0.25">
      <c r="B57" s="72">
        <f>0.85*$F$8</f>
        <v>0</v>
      </c>
      <c r="C57" s="73">
        <f t="shared" si="14"/>
        <v>0</v>
      </c>
      <c r="D57" s="66"/>
      <c r="E57" s="73">
        <f t="shared" si="10"/>
        <v>0</v>
      </c>
      <c r="F57" s="73" t="e">
        <f t="shared" si="11"/>
        <v>#DIV/0!</v>
      </c>
      <c r="G57" s="117">
        <v>85000</v>
      </c>
      <c r="H57" s="75">
        <f t="shared" si="12"/>
        <v>0</v>
      </c>
      <c r="I57" s="76">
        <f t="shared" si="13"/>
        <v>0</v>
      </c>
    </row>
    <row r="58" spans="2:9" x14ac:dyDescent="0.25">
      <c r="B58" s="72">
        <f>0.9*$F$8</f>
        <v>0</v>
      </c>
      <c r="C58" s="73">
        <f t="shared" si="14"/>
        <v>0</v>
      </c>
      <c r="D58" s="66"/>
      <c r="E58" s="73">
        <f t="shared" si="10"/>
        <v>0</v>
      </c>
      <c r="F58" s="73" t="e">
        <f t="shared" si="11"/>
        <v>#DIV/0!</v>
      </c>
      <c r="G58" s="117">
        <v>90000</v>
      </c>
      <c r="H58" s="75">
        <f t="shared" si="12"/>
        <v>0</v>
      </c>
      <c r="I58" s="76">
        <f t="shared" si="13"/>
        <v>0</v>
      </c>
    </row>
    <row r="59" spans="2:9" x14ac:dyDescent="0.25">
      <c r="B59" s="72">
        <f>0.95*$F$8</f>
        <v>0</v>
      </c>
      <c r="C59" s="73">
        <f t="shared" si="14"/>
        <v>0</v>
      </c>
      <c r="D59" s="66"/>
      <c r="E59" s="73">
        <f t="shared" si="10"/>
        <v>0</v>
      </c>
      <c r="F59" s="73" t="e">
        <f t="shared" si="11"/>
        <v>#DIV/0!</v>
      </c>
      <c r="G59" s="117">
        <v>95000</v>
      </c>
      <c r="H59" s="75">
        <f t="shared" si="12"/>
        <v>0</v>
      </c>
      <c r="I59" s="76">
        <f t="shared" si="13"/>
        <v>0</v>
      </c>
    </row>
    <row r="60" spans="2:9" x14ac:dyDescent="0.25">
      <c r="B60" s="77">
        <f>1*$F$8</f>
        <v>0</v>
      </c>
      <c r="C60" s="78">
        <f t="shared" si="14"/>
        <v>0</v>
      </c>
      <c r="D60" s="79"/>
      <c r="E60" s="78">
        <f t="shared" si="10"/>
        <v>0</v>
      </c>
      <c r="F60" s="78" t="e">
        <f t="shared" si="11"/>
        <v>#DIV/0!</v>
      </c>
      <c r="G60" s="118">
        <v>100000</v>
      </c>
      <c r="H60" s="81">
        <f t="shared" si="12"/>
        <v>0</v>
      </c>
      <c r="I60" s="82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66</vt:i4>
      </vt:variant>
    </vt:vector>
  </HeadingPairs>
  <TitlesOfParts>
    <vt:vector size="8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OSNotes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2019-07-28T19:45:36Z</dcterms:modified>
</cp:coreProperties>
</file>